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lphatracker1-my.sharepoint.com/personal/valentinatundis_alphatracker_eu/Documents/DOC ADMIN/FINANCIERO/ALPHATRACKER/2026/Facturas/"/>
    </mc:Choice>
  </mc:AlternateContent>
  <xr:revisionPtr revIDLastSave="5224" documentId="6_{00F920A7-85AB-4438-A2B2-888E63E7BC72}" xr6:coauthVersionLast="47" xr6:coauthVersionMax="47" xr10:uidLastSave="{6B144F5B-402E-45BA-A049-7FEA1FB60DA0}"/>
  <bookViews>
    <workbookView xWindow="-110" yWindow="-110" windowWidth="19420" windowHeight="10300" firstSheet="1" activeTab="1" xr2:uid="{12A57879-1117-4EA9-91FA-4CFB363DA668}"/>
  </bookViews>
  <sheets>
    <sheet name="COPIA SEGURIDAD 10.07.26" sheetId="2" state="hidden" r:id="rId1"/>
    <sheet name="FACTURAS EMITIDAS" sheetId="1" r:id="rId2"/>
  </sheets>
  <definedNames>
    <definedName name="_xlnm._FilterDatabase" localSheetId="1" hidden="1">'FACTURAS EMITIDAS'!$A$1:$R$320</definedName>
    <definedName name="_xlnm._FilterDatabase" localSheetId="0" hidden="1">'FACTURAS EMITIDAS'!$A$1:$R$320</definedName>
    <definedName name="_xlnm.Print_Area" localSheetId="1">'FACTURAS EMITIDAS'!$A$1:$K$10</definedName>
    <definedName name="_xlnm.Print_Area" localSheetId="0">'FACTURAS EMITIDAS'!$A$1:$K$10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5" i="1" l="1"/>
  <c r="J319" i="1"/>
  <c r="J318" i="1"/>
  <c r="J317" i="1"/>
  <c r="J316" i="1"/>
  <c r="J314" i="1"/>
  <c r="J312" i="1"/>
  <c r="J313" i="1"/>
  <c r="J254" i="1"/>
  <c r="H323" i="2"/>
  <c r="J318" i="2"/>
  <c r="J317" i="2"/>
  <c r="J316" i="2"/>
  <c r="J314" i="2"/>
  <c r="J313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H264" i="2"/>
  <c r="J264" i="2" s="1"/>
  <c r="H263" i="2"/>
  <c r="J263" i="2" s="1"/>
  <c r="J262" i="2"/>
  <c r="H261" i="2"/>
  <c r="J261" i="2" s="1"/>
  <c r="J260" i="2"/>
  <c r="J259" i="2"/>
  <c r="J258" i="2"/>
  <c r="J257" i="2"/>
  <c r="J256" i="2"/>
  <c r="J255" i="2"/>
  <c r="J254" i="2"/>
  <c r="J253" i="2"/>
  <c r="J252" i="2"/>
  <c r="H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311" i="1"/>
  <c r="J310" i="1"/>
  <c r="J320" i="1"/>
  <c r="J309" i="1"/>
  <c r="J208" i="1"/>
  <c r="J306" i="1"/>
  <c r="J304" i="1"/>
  <c r="J307" i="1"/>
  <c r="J308" i="1"/>
  <c r="J303" i="1"/>
  <c r="J302" i="1"/>
  <c r="J301" i="1"/>
  <c r="J305" i="1"/>
  <c r="J298" i="1"/>
  <c r="J299" i="1"/>
  <c r="J300" i="1"/>
  <c r="J296" i="1"/>
  <c r="J297" i="1"/>
  <c r="J294" i="1"/>
  <c r="J295" i="1"/>
  <c r="H325" i="1"/>
  <c r="J293" i="1"/>
  <c r="J292" i="1"/>
  <c r="J291" i="1"/>
  <c r="J290" i="1"/>
  <c r="J286" i="1"/>
  <c r="J287" i="1"/>
  <c r="J288" i="1"/>
  <c r="J289" i="1"/>
  <c r="J285" i="1"/>
  <c r="J281" i="1"/>
  <c r="J280" i="1"/>
  <c r="J279" i="1"/>
  <c r="J278" i="1"/>
  <c r="J277" i="1"/>
  <c r="J282" i="1"/>
  <c r="J283" i="1"/>
  <c r="J284" i="1"/>
  <c r="J276" i="1"/>
  <c r="J275" i="1"/>
  <c r="J274" i="1"/>
  <c r="J273" i="1"/>
  <c r="J271" i="1"/>
  <c r="J270" i="1"/>
  <c r="J272" i="1"/>
  <c r="J269" i="1"/>
  <c r="J266" i="1"/>
  <c r="J267" i="1"/>
  <c r="J268" i="1"/>
  <c r="J265" i="1"/>
  <c r="H264" i="1"/>
  <c r="J264" i="1" s="1"/>
  <c r="H263" i="1"/>
  <c r="J263" i="1" s="1"/>
  <c r="J262" i="1"/>
  <c r="H261" i="1"/>
  <c r="J261" i="1" s="1"/>
  <c r="J260" i="1"/>
  <c r="J259" i="1"/>
  <c r="J258" i="1"/>
  <c r="J257" i="1"/>
  <c r="J256" i="1"/>
  <c r="J255" i="1"/>
  <c r="J253" i="1"/>
  <c r="J252" i="1"/>
  <c r="H251" i="1"/>
  <c r="H324" i="1" s="1"/>
  <c r="J250" i="1"/>
  <c r="J249" i="1"/>
  <c r="J248" i="1"/>
  <c r="J247" i="1"/>
  <c r="J246" i="1"/>
  <c r="J245" i="1"/>
  <c r="J244" i="1"/>
  <c r="J243" i="1"/>
  <c r="J238" i="1"/>
  <c r="J242" i="1"/>
  <c r="J240" i="1"/>
  <c r="J239" i="1"/>
  <c r="J237" i="1"/>
  <c r="J236" i="1"/>
  <c r="J235" i="1"/>
  <c r="J241" i="1"/>
  <c r="J211" i="1"/>
  <c r="J234" i="1"/>
  <c r="J233" i="1"/>
  <c r="J232" i="1"/>
  <c r="J231" i="1"/>
  <c r="J216" i="1"/>
  <c r="J220" i="1"/>
  <c r="J221" i="1"/>
  <c r="J222" i="1"/>
  <c r="J223" i="1"/>
  <c r="J225" i="1"/>
  <c r="J226" i="1"/>
  <c r="J227" i="1"/>
  <c r="J228" i="1"/>
  <c r="J229" i="1"/>
  <c r="J230" i="1"/>
  <c r="J215" i="1"/>
  <c r="J224" i="1"/>
  <c r="J219" i="1"/>
  <c r="J218" i="1"/>
  <c r="J217" i="1"/>
  <c r="J214" i="1"/>
  <c r="J213" i="1"/>
  <c r="J212" i="1"/>
  <c r="J210" i="1"/>
  <c r="J209" i="1"/>
  <c r="J207" i="1"/>
  <c r="J206" i="1"/>
  <c r="J205" i="1"/>
  <c r="J204" i="1"/>
  <c r="J203" i="1"/>
  <c r="J202" i="1"/>
  <c r="J201" i="1"/>
  <c r="J199" i="1"/>
  <c r="J198" i="1"/>
  <c r="J200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2" i="1"/>
  <c r="J183" i="1"/>
  <c r="J181" i="1"/>
  <c r="J180" i="1"/>
  <c r="J179" i="1"/>
  <c r="J174" i="1"/>
  <c r="J178" i="1"/>
  <c r="J177" i="1"/>
  <c r="J176" i="1"/>
  <c r="J175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H322" i="2" l="1"/>
  <c r="H325" i="2" s="1"/>
  <c r="J251" i="2"/>
  <c r="J251" i="1"/>
  <c r="H327" i="1"/>
</calcChain>
</file>

<file path=xl/sharedStrings.xml><?xml version="1.0" encoding="utf-8"?>
<sst xmlns="http://schemas.openxmlformats.org/spreadsheetml/2006/main" count="3930" uniqueCount="957">
  <si>
    <t>N. factura</t>
  </si>
  <si>
    <t>Nº factura Dynamics</t>
  </si>
  <si>
    <t>Fecha Factura</t>
  </si>
  <si>
    <t>Cliente</t>
  </si>
  <si>
    <t>Proyecto</t>
  </si>
  <si>
    <t>Objeto</t>
  </si>
  <si>
    <t>%</t>
  </si>
  <si>
    <t>Importe</t>
  </si>
  <si>
    <t>Imp cobrado</t>
  </si>
  <si>
    <t>Imp Pte</t>
  </si>
  <si>
    <t>Fecha de cobro</t>
  </si>
  <si>
    <t>Cobrado</t>
  </si>
  <si>
    <t>Vencimiento</t>
  </si>
  <si>
    <t>Observaciones</t>
  </si>
  <si>
    <t>Abonada</t>
  </si>
  <si>
    <t>NOTAS DE ABONO</t>
  </si>
  <si>
    <t>FECHA</t>
  </si>
  <si>
    <t>IMPORTE2</t>
  </si>
  <si>
    <t>A/198</t>
  </si>
  <si>
    <t>ECOSOUND 1, SRL</t>
  </si>
  <si>
    <t>171.23 Casucci</t>
  </si>
  <si>
    <t>Tracker 1V - 2º pago</t>
  </si>
  <si>
    <t>SI</t>
  </si>
  <si>
    <t>A/201</t>
  </si>
  <si>
    <t>Tracker 1V - 3º pago</t>
  </si>
  <si>
    <t>A/221</t>
  </si>
  <si>
    <t>BAS ITALY PRIMA SRL</t>
  </si>
  <si>
    <t>099.23 Troina</t>
  </si>
  <si>
    <t>Tracker1V - 7º pago</t>
  </si>
  <si>
    <t>A25/139</t>
  </si>
  <si>
    <t>GLOBAL TECHNOLOGY SRL</t>
  </si>
  <si>
    <t>424.24 Pachino 1, 2 Y Noto</t>
  </si>
  <si>
    <t>30 C Poles</t>
  </si>
  <si>
    <t>A25/146</t>
  </si>
  <si>
    <t>ALTENIA, SRL</t>
  </si>
  <si>
    <t>117-118-119.24 Racamulto 1,2,3</t>
  </si>
  <si>
    <t>Aumento hincado</t>
  </si>
  <si>
    <t>Factura reclamada por correo el 20/03/26- RECLAMADA DE NUEVO EL 07/04/26- FACTURA RECLAMADA EL 30/04/26 POR CORREO 12/05/26 RECLAMADA POR CORREO</t>
  </si>
  <si>
    <t>A25/157</t>
  </si>
  <si>
    <t>424.24 Pachino 1</t>
  </si>
  <si>
    <t>A25/158</t>
  </si>
  <si>
    <t>425.24 Pachino 2</t>
  </si>
  <si>
    <t>A25/168</t>
  </si>
  <si>
    <t>COMUNITA´ ENERGETICHE, SPA</t>
  </si>
  <si>
    <t>410.24 Adria</t>
  </si>
  <si>
    <t>Fixed photovoltaic structure 2V - 2º pago</t>
  </si>
  <si>
    <t>A25/169</t>
  </si>
  <si>
    <t>409.24 Trasacco 2</t>
  </si>
  <si>
    <t>A25/176</t>
  </si>
  <si>
    <t>426.24 Noto</t>
  </si>
  <si>
    <t>Tracker 1V - 2º pago + Aditional cost</t>
  </si>
  <si>
    <t>A25/197</t>
  </si>
  <si>
    <t>424.24 pachino 1</t>
  </si>
  <si>
    <t>A25/198</t>
  </si>
  <si>
    <t>Tracker 1V - 4º pago</t>
  </si>
  <si>
    <t>A25/199</t>
  </si>
  <si>
    <t>A25/200</t>
  </si>
  <si>
    <t>A25/201</t>
  </si>
  <si>
    <t>Tracker 1V - 3º pago + Aditional cost</t>
  </si>
  <si>
    <t>A25/202</t>
  </si>
  <si>
    <t>Tracker 1V - 4º pago + Aditional cost</t>
  </si>
  <si>
    <t>A25/207</t>
  </si>
  <si>
    <t>068.25 Leonardo</t>
  </si>
  <si>
    <t>Fixed photovoltaic structure 2V - 1º pago</t>
  </si>
  <si>
    <t>A25/210</t>
  </si>
  <si>
    <t>SAMLIGHT GROUP SRL</t>
  </si>
  <si>
    <t>382.25 Cordao</t>
  </si>
  <si>
    <t>Tracker 1V - 1º pago</t>
  </si>
  <si>
    <t>21/10/2025 cobro 24.000€- 23/10/2025 cobro 11.000€ - 05/12/2025 cobro 6.457,72 € - 05/12 9.660 €</t>
  </si>
  <si>
    <t>A25/220</t>
  </si>
  <si>
    <t>33.000 € con fecha 09/12 pendiente resto 52.196,21 €</t>
  </si>
  <si>
    <t>A25/231</t>
  </si>
  <si>
    <t>266.25 Sarconi</t>
  </si>
  <si>
    <t>A25/232</t>
  </si>
  <si>
    <t>036.25 Soleto 3</t>
  </si>
  <si>
    <t>A25/244</t>
  </si>
  <si>
    <t>116.24 CRC</t>
  </si>
  <si>
    <t>IP</t>
  </si>
  <si>
    <t>Factura reclamada por correo el 20/03/26- RECLAMADA DE NUEVO EL 07/04/26</t>
  </si>
  <si>
    <t>A25/252</t>
  </si>
  <si>
    <t>SOCIETA' AGRICOLA PALMIERI DI VITTORIO PALMIERI &amp; C. S.A.S.</t>
  </si>
  <si>
    <t>008.25 Mondragone 02</t>
  </si>
  <si>
    <t>Tracker 1V- 2º pago</t>
  </si>
  <si>
    <t>A25/253</t>
  </si>
  <si>
    <t>GAIA ENERGY SRL</t>
  </si>
  <si>
    <t>009.25 Mondragone 03</t>
  </si>
  <si>
    <t>A25/255</t>
  </si>
  <si>
    <t>SCOTTA SPA</t>
  </si>
  <si>
    <t>285.25 Rosignano Marittimo</t>
  </si>
  <si>
    <t>A25/261</t>
  </si>
  <si>
    <t>LEA RENERGY SRL</t>
  </si>
  <si>
    <t>373.25 Mordano 2</t>
  </si>
  <si>
    <t>GUARDO JUSTIFICANTE</t>
  </si>
  <si>
    <t>A25/262</t>
  </si>
  <si>
    <t>A25/263</t>
  </si>
  <si>
    <t>Transport</t>
  </si>
  <si>
    <t>A25/266</t>
  </si>
  <si>
    <t>EF AGRI SOCIETA`AGRICOLA SRL</t>
  </si>
  <si>
    <t>142.25 Castrovillari B</t>
  </si>
  <si>
    <t>A25/267</t>
  </si>
  <si>
    <t>142.25 Castrovillari C</t>
  </si>
  <si>
    <t>A25/270</t>
  </si>
  <si>
    <t>483.24 Zelestra Ginosa</t>
  </si>
  <si>
    <t>motor+conteras+transporte</t>
  </si>
  <si>
    <t>Factura reclamada por correo el 20/03/26               OAF 7944</t>
  </si>
  <si>
    <t>A25/271</t>
  </si>
  <si>
    <t>AGRI SARDINIA SOCIETA´ARL</t>
  </si>
  <si>
    <t>007.25 Fattoria Solare La Varchera</t>
  </si>
  <si>
    <t>Tracker standard Agrovoltaic 1V - 4º pago</t>
  </si>
  <si>
    <t>Reclamada 20/01</t>
  </si>
  <si>
    <t>A25/272</t>
  </si>
  <si>
    <t>NILO IMPIANTI SRL</t>
  </si>
  <si>
    <t>047.25 Coci San Michele di Ganzaria</t>
  </si>
  <si>
    <t>Tracker standard Agrovoltaic 1V - 2º pago</t>
  </si>
  <si>
    <t>Reclamada 29/01</t>
  </si>
  <si>
    <t>A25/273</t>
  </si>
  <si>
    <t>Tracker standard Agrovoltaic 1V - 3º pago</t>
  </si>
  <si>
    <t>A25/274</t>
  </si>
  <si>
    <t>048.25 Comiso 3 Ovodiana</t>
  </si>
  <si>
    <t>A25/275</t>
  </si>
  <si>
    <t>A25/276</t>
  </si>
  <si>
    <t>050.25 Scollo 750 Caltagirone</t>
  </si>
  <si>
    <t>A25/277</t>
  </si>
  <si>
    <t>A25/278</t>
  </si>
  <si>
    <t>052.25 Vizzini Ovest</t>
  </si>
  <si>
    <t>A25/279</t>
  </si>
  <si>
    <t>A25/280</t>
  </si>
  <si>
    <t>Tracker 1V - 5º pago</t>
  </si>
  <si>
    <t>A25/281</t>
  </si>
  <si>
    <t>A25/282</t>
  </si>
  <si>
    <t>Tracker 1V - 5º pago + Aditional cost</t>
  </si>
  <si>
    <t>A25/283</t>
  </si>
  <si>
    <t>A25/284</t>
  </si>
  <si>
    <t>STERN ENERGY SPA</t>
  </si>
  <si>
    <t xml:space="preserve">314.25 Carafa Donato </t>
  </si>
  <si>
    <t>A25/285</t>
  </si>
  <si>
    <t>315.25 D'orsi Evidge</t>
  </si>
  <si>
    <t>A25/286</t>
  </si>
  <si>
    <t>316.25 Siad 5</t>
  </si>
  <si>
    <t>A25/287</t>
  </si>
  <si>
    <t>317.25 Siad 7</t>
  </si>
  <si>
    <t>A25/288</t>
  </si>
  <si>
    <t>318.25 Valle1</t>
  </si>
  <si>
    <t>A25/289</t>
  </si>
  <si>
    <t>A25/290</t>
  </si>
  <si>
    <t>A25/291</t>
  </si>
  <si>
    <t>A25/292</t>
  </si>
  <si>
    <t>QUARDRILUX SRL</t>
  </si>
  <si>
    <t>198.25 Energy Lecce Surbo</t>
  </si>
  <si>
    <t>A25/293</t>
  </si>
  <si>
    <t>274.25 Ravenna</t>
  </si>
  <si>
    <t>A25/294</t>
  </si>
  <si>
    <t>157.25 Dalmasso</t>
  </si>
  <si>
    <t>A25/296</t>
  </si>
  <si>
    <t>Structure Supply</t>
  </si>
  <si>
    <t>A25/301</t>
  </si>
  <si>
    <t>RENOVIT BUSINESS SOLUTIONS, SRL</t>
  </si>
  <si>
    <t>078.25 PV Chiopris Viscone</t>
  </si>
  <si>
    <t>A25/302</t>
  </si>
  <si>
    <t>MA ENTERPRISES LUXERI SPA</t>
  </si>
  <si>
    <t>Relojes</t>
  </si>
  <si>
    <t>A25/305</t>
  </si>
  <si>
    <t>PLC SERVICE S.R.L.</t>
  </si>
  <si>
    <t>341.25 Mazzarrà ALP</t>
  </si>
  <si>
    <t>A25/306</t>
  </si>
  <si>
    <t>342.25 Roccamena ALP</t>
  </si>
  <si>
    <t>A25/307</t>
  </si>
  <si>
    <t>ENERGIE NUOVE SRL</t>
  </si>
  <si>
    <t>120.25 Avezzano</t>
  </si>
  <si>
    <t>la Factura hecha a mano que se mandó la dirección es INCORRECTA, pero se volvió a mandar CORRECTA.</t>
  </si>
  <si>
    <t>A25/308</t>
  </si>
  <si>
    <t>SOLAR PARTNERS S.R.L.</t>
  </si>
  <si>
    <t>453.25 Ragusa 1</t>
  </si>
  <si>
    <t xml:space="preserve">Factura hecha a mano el Cif de la factura que se mandó es INCORRECTO </t>
  </si>
  <si>
    <t>A25/309</t>
  </si>
  <si>
    <t>ABSOLUTE ENERGY S.P.A.</t>
  </si>
  <si>
    <t>259.25 Codroipo</t>
  </si>
  <si>
    <t>Se mandó una factura hecho a mano con el numero A25/302 y no se envió de nuevo.                                                                                          Se cobró el 30/12/2025 7.958,89 euros queda pendiente 28.876,65 €</t>
  </si>
  <si>
    <t xml:space="preserve"> A26/1</t>
  </si>
  <si>
    <t>A25/310</t>
  </si>
  <si>
    <t>A25/311</t>
  </si>
  <si>
    <t>GAIA ENERGY S.R.L.</t>
  </si>
  <si>
    <t>A25/312</t>
  </si>
  <si>
    <t>SET ENERGIE SRL</t>
  </si>
  <si>
    <t>143.25 Roma</t>
  </si>
  <si>
    <t>A25/313</t>
  </si>
  <si>
    <t>ENEO GMBH</t>
  </si>
  <si>
    <t>356.25 Oyhofer Stockle - Eneo</t>
  </si>
  <si>
    <t>A25/314</t>
  </si>
  <si>
    <t>357.25 Ehrensberger Weg - Eneo</t>
  </si>
  <si>
    <t>Standard Agrovoltaics 1V - 3º pago</t>
  </si>
  <si>
    <t>A25/315</t>
  </si>
  <si>
    <t>360.25 Memmingerstr - Eneo</t>
  </si>
  <si>
    <t>A25/316</t>
  </si>
  <si>
    <t>405.25 Tannheim - Eneo</t>
  </si>
  <si>
    <t>A25/317</t>
  </si>
  <si>
    <t>376.25 Campli - Energie Nuove SRL</t>
  </si>
  <si>
    <t>Fixed Structure- 2º pago</t>
  </si>
  <si>
    <t>A25/318</t>
  </si>
  <si>
    <t>377.25 Castiglione - Energie Nuove SRL</t>
  </si>
  <si>
    <t>Tracker 2V - 2º pago</t>
  </si>
  <si>
    <t>A25/319</t>
  </si>
  <si>
    <t xml:space="preserve">378.25 Montorio - Energie Nuove SRL </t>
  </si>
  <si>
    <t>A25/320</t>
  </si>
  <si>
    <t>379.25 Notaresco - Energie Nuove SRL</t>
  </si>
  <si>
    <t>A25/321</t>
  </si>
  <si>
    <t>380.25 Sant'Omero - Energie Nuove SRL</t>
  </si>
  <si>
    <t>Fixed structure - 2º pago</t>
  </si>
  <si>
    <t>A25/322</t>
  </si>
  <si>
    <t>381.25 Roseto - Energie Nuove SRL</t>
  </si>
  <si>
    <t>A25/323</t>
  </si>
  <si>
    <t>A25/324</t>
  </si>
  <si>
    <t>A25/325</t>
  </si>
  <si>
    <t>Nota de abono por emitir anticipadamente</t>
  </si>
  <si>
    <t xml:space="preserve">A26/6 </t>
  </si>
  <si>
    <t>A25/326</t>
  </si>
  <si>
    <t>A26/7</t>
  </si>
  <si>
    <t>A25/327</t>
  </si>
  <si>
    <t>343.25 Galatina</t>
  </si>
  <si>
    <t>A25/328</t>
  </si>
  <si>
    <t>344.25 Sant' Omero</t>
  </si>
  <si>
    <t>A25/329</t>
  </si>
  <si>
    <t>469.25 Oria</t>
  </si>
  <si>
    <t>A25/330</t>
  </si>
  <si>
    <t>483.25 Treia 4</t>
  </si>
  <si>
    <t>POT</t>
  </si>
  <si>
    <t>A25/331</t>
  </si>
  <si>
    <t>A25/332</t>
  </si>
  <si>
    <t>A26/3</t>
  </si>
  <si>
    <t>A25/333</t>
  </si>
  <si>
    <t xml:space="preserve">A26/4 </t>
  </si>
  <si>
    <t>A25/334</t>
  </si>
  <si>
    <t>471.25 Massa Maritima</t>
  </si>
  <si>
    <t>Nota de abono por cambio porcentajes en el contrato</t>
  </si>
  <si>
    <t xml:space="preserve">A26/5 </t>
  </si>
  <si>
    <t>A25/335</t>
  </si>
  <si>
    <t>A25/336</t>
  </si>
  <si>
    <t>A25/337</t>
  </si>
  <si>
    <t>A25/338</t>
  </si>
  <si>
    <t>526.25 San Romano</t>
  </si>
  <si>
    <t>Nota de abono por finalización de contrato.</t>
  </si>
  <si>
    <t>A26/10</t>
  </si>
  <si>
    <t>A25/339</t>
  </si>
  <si>
    <t>527.25 RGE 1</t>
  </si>
  <si>
    <t>A26/11</t>
  </si>
  <si>
    <t>A25/340</t>
  </si>
  <si>
    <t>528.25 RGE 2</t>
  </si>
  <si>
    <t>A26/12</t>
  </si>
  <si>
    <t>A25/341</t>
  </si>
  <si>
    <t>529.25 RGE 3</t>
  </si>
  <si>
    <t>A26/13</t>
  </si>
  <si>
    <t>A25/342</t>
  </si>
  <si>
    <t>530.25 RGE 4</t>
  </si>
  <si>
    <t>A26/14</t>
  </si>
  <si>
    <t>A25/343</t>
  </si>
  <si>
    <t>537.25 Civita Castellana</t>
  </si>
  <si>
    <t>A26/15</t>
  </si>
  <si>
    <t>A26/1</t>
  </si>
  <si>
    <t>2601FV001</t>
  </si>
  <si>
    <t>542.25 Scurcula 4</t>
  </si>
  <si>
    <t>Fixed Structure 1V - 1º pago</t>
  </si>
  <si>
    <t>A26/2</t>
  </si>
  <si>
    <t>2601FV003 </t>
  </si>
  <si>
    <t>544.25 Colledara</t>
  </si>
  <si>
    <t xml:space="preserve">2601FV004 </t>
  </si>
  <si>
    <t>547.25 Tuscania</t>
  </si>
  <si>
    <t>A26/4</t>
  </si>
  <si>
    <t xml:space="preserve">2601FV005 </t>
  </si>
  <si>
    <t>546.25 Ferentino 1A</t>
  </si>
  <si>
    <t>A26/5</t>
  </si>
  <si>
    <t xml:space="preserve">2601FV006 </t>
  </si>
  <si>
    <t>548.25 Voghera</t>
  </si>
  <si>
    <t>A26/6</t>
  </si>
  <si>
    <t xml:space="preserve">2601FV007 </t>
  </si>
  <si>
    <t>545.25 Ortona</t>
  </si>
  <si>
    <t xml:space="preserve">2601FV008 </t>
  </si>
  <si>
    <t>543.25 Penne</t>
  </si>
  <si>
    <t>A26/8</t>
  </si>
  <si>
    <t xml:space="preserve">2601FV009 </t>
  </si>
  <si>
    <t>ABSOLUTE ENERGY CAPITAL SRL</t>
  </si>
  <si>
    <t>Esta factura es la que corrige los datos del cliente, de factura A25/309 Se cobró el 30/12/2025 7.958,89 Y el resto de 23.876,65€ se cobró el 22/01/26</t>
  </si>
  <si>
    <t>A26/23</t>
  </si>
  <si>
    <t>A26/9</t>
  </si>
  <si>
    <t xml:space="preserve">2601FV010 </t>
  </si>
  <si>
    <t>Nueva factura con cliente correcto.</t>
  </si>
  <si>
    <t>A26/24</t>
  </si>
  <si>
    <t xml:space="preserve">2601FV011 </t>
  </si>
  <si>
    <t>536.25 Ozzano</t>
  </si>
  <si>
    <t xml:space="preserve">2601FV012 </t>
  </si>
  <si>
    <t>Sobre coste - Extra poles</t>
  </si>
  <si>
    <t>2601FV013</t>
  </si>
  <si>
    <t>ELLE SRL</t>
  </si>
  <si>
    <t>491.25 Recanati</t>
  </si>
  <si>
    <t xml:space="preserve">2601FV014 </t>
  </si>
  <si>
    <t>Inverter Structures</t>
  </si>
  <si>
    <t>Factura reclamada por correo el 20/03/26</t>
  </si>
  <si>
    <t xml:space="preserve">2601FV015 </t>
  </si>
  <si>
    <t xml:space="preserve">Nota de abono, cambio de importe </t>
  </si>
  <si>
    <t>A26/19</t>
  </si>
  <si>
    <t>2602FV002</t>
  </si>
  <si>
    <t>A26/16</t>
  </si>
  <si>
    <t>2602FV003</t>
  </si>
  <si>
    <t>A26/17</t>
  </si>
  <si>
    <t>2602FV005</t>
  </si>
  <si>
    <t>A26/18</t>
  </si>
  <si>
    <t>2602FV006</t>
  </si>
  <si>
    <t xml:space="preserve">2602FV007 </t>
  </si>
  <si>
    <t>SIRIO WIND S.R.L</t>
  </si>
  <si>
    <t>472.25 D'Aloia</t>
  </si>
  <si>
    <t>A26/20</t>
  </si>
  <si>
    <t xml:space="preserve">2602FV008 </t>
  </si>
  <si>
    <t>REFEEL EPC ITALIA SRL</t>
  </si>
  <si>
    <t>549.25 Moro</t>
  </si>
  <si>
    <t>Standard Agrovoltaics 1V - 1º pago</t>
  </si>
  <si>
    <t>A26/21</t>
  </si>
  <si>
    <t xml:space="preserve">2602FV009 </t>
  </si>
  <si>
    <t>A26/22</t>
  </si>
  <si>
    <t xml:space="preserve">2602FV010 </t>
  </si>
  <si>
    <t>2602FV011</t>
  </si>
  <si>
    <t>I FRUTTI DEL SOLE SOCIETA' AGRICOLA SRL</t>
  </si>
  <si>
    <t>410.25 Vigne Vecchie Portopalo di c.p.</t>
  </si>
  <si>
    <t xml:space="preserve">2602FV012 </t>
  </si>
  <si>
    <t>Nota de abono</t>
  </si>
  <si>
    <t>A26/25</t>
  </si>
  <si>
    <t>2602FV013</t>
  </si>
  <si>
    <t>410.25 Cozzo Croce Pachino</t>
  </si>
  <si>
    <t>A26/26</t>
  </si>
  <si>
    <t>2602FV014</t>
  </si>
  <si>
    <t>A26/27</t>
  </si>
  <si>
    <t>Facturas hechas de nuevo, se cancelarán cuando Jose indique</t>
  </si>
  <si>
    <t>A26/28</t>
  </si>
  <si>
    <t>A26/29</t>
  </si>
  <si>
    <t>A26/30</t>
  </si>
  <si>
    <t>A26/31</t>
  </si>
  <si>
    <t>A26/32</t>
  </si>
  <si>
    <t>A26/33</t>
  </si>
  <si>
    <t xml:space="preserve">2602FV015 </t>
  </si>
  <si>
    <t>AM THE GLOBAL LUXURY COMPANY SL</t>
  </si>
  <si>
    <t>A26/34</t>
  </si>
  <si>
    <t xml:space="preserve">2602FV016 </t>
  </si>
  <si>
    <t>GBSOLS SRL</t>
  </si>
  <si>
    <t>123.23 Teulada</t>
  </si>
  <si>
    <t>Tracker Standars Agrovoltaic 1V - 1º pago</t>
  </si>
  <si>
    <t>Guardo justificante</t>
  </si>
  <si>
    <t>A26/35</t>
  </si>
  <si>
    <t xml:space="preserve">2602FV017 </t>
  </si>
  <si>
    <t>025.26 Oxiana</t>
  </si>
  <si>
    <t>A26/36</t>
  </si>
  <si>
    <t xml:space="preserve">2602FV018 </t>
  </si>
  <si>
    <t>SOLARYS IS SRL</t>
  </si>
  <si>
    <t>020.26 Pesaro</t>
  </si>
  <si>
    <t>A26/37</t>
  </si>
  <si>
    <t>2602FV019</t>
  </si>
  <si>
    <t>ENVIADO CERT DE TITULARIDAD BANCARIA</t>
  </si>
  <si>
    <t>A26/38</t>
  </si>
  <si>
    <t>2602FV020</t>
  </si>
  <si>
    <t>A26/39</t>
  </si>
  <si>
    <t>2602FV021</t>
  </si>
  <si>
    <t>A26/40</t>
  </si>
  <si>
    <t>2602FV022</t>
  </si>
  <si>
    <t>A26/41</t>
  </si>
  <si>
    <t>2602FV023</t>
  </si>
  <si>
    <t>A26/42</t>
  </si>
  <si>
    <t xml:space="preserve">2602FV024 </t>
  </si>
  <si>
    <t>ENERGREEN SRL</t>
  </si>
  <si>
    <t>540.25 Terralba</t>
  </si>
  <si>
    <t>Standars Agrovoltaic 1P - 1º pago</t>
  </si>
  <si>
    <t>A26/43</t>
  </si>
  <si>
    <t>2602FV025</t>
  </si>
  <si>
    <t>259.24 Parabita</t>
  </si>
  <si>
    <t xml:space="preserve">Service Monitoring </t>
  </si>
  <si>
    <t>A26/44</t>
  </si>
  <si>
    <t>2602FV026</t>
  </si>
  <si>
    <t>ABSOLUTE ENERGY SPA</t>
  </si>
  <si>
    <t>A26/45</t>
  </si>
  <si>
    <t xml:space="preserve">2602FV027 </t>
  </si>
  <si>
    <t>Tracker 2V - 4º pago</t>
  </si>
  <si>
    <t>5</t>
  </si>
  <si>
    <t>Pago reclamado por correo 07/04/26, se ha vuelto a reclamar el  30/04/26, se ha vuelto a reclamar 25/05/26, se ha vuelto a reclamar 01/07</t>
  </si>
  <si>
    <t>A26/46</t>
  </si>
  <si>
    <t xml:space="preserve">2602FV028 </t>
  </si>
  <si>
    <t>Tracker 1V-4º pago</t>
  </si>
  <si>
    <t>10</t>
  </si>
  <si>
    <t>A26/47</t>
  </si>
  <si>
    <t xml:space="preserve">2602FV029 </t>
  </si>
  <si>
    <t>50</t>
  </si>
  <si>
    <t>A26/48</t>
  </si>
  <si>
    <t xml:space="preserve">2602FV030 </t>
  </si>
  <si>
    <t>Factura reclamada por correo el 23/03/26. Indican que se va a proceder al pago antes del 24/03/26</t>
  </si>
  <si>
    <t>A26/49</t>
  </si>
  <si>
    <t xml:space="preserve">2602FV031 </t>
  </si>
  <si>
    <t xml:space="preserve">430.25 PONTOGLIO  </t>
  </si>
  <si>
    <t>100</t>
  </si>
  <si>
    <t>25/05 RECLAMADO PAGAMENTO</t>
  </si>
  <si>
    <t>A26/50</t>
  </si>
  <si>
    <t xml:space="preserve">2602FV032 </t>
  </si>
  <si>
    <t>ENVI SOLAR SRL</t>
  </si>
  <si>
    <t>510.25 Gavorrano</t>
  </si>
  <si>
    <t>A26/51</t>
  </si>
  <si>
    <t xml:space="preserve">2603FV001 </t>
  </si>
  <si>
    <t>SCOTTA S.P.A</t>
  </si>
  <si>
    <t>157.25 DALMASSO</t>
  </si>
  <si>
    <t>Metal Profiles</t>
  </si>
  <si>
    <t>A25/185</t>
  </si>
  <si>
    <t>ABSOLUT ENERGY SPA</t>
  </si>
  <si>
    <t>A26/52</t>
  </si>
  <si>
    <t xml:space="preserve">2603FV002 </t>
  </si>
  <si>
    <t>LEA- RENERGY SPA</t>
  </si>
  <si>
    <t>Tracker 1V -2º pago</t>
  </si>
  <si>
    <t>35</t>
  </si>
  <si>
    <t>A26/53</t>
  </si>
  <si>
    <t xml:space="preserve">2603FV003 </t>
  </si>
  <si>
    <t>GREEN PLANET</t>
  </si>
  <si>
    <t>139.24 Sala Consilina</t>
  </si>
  <si>
    <t>Fixed Structure- 1º pago</t>
  </si>
  <si>
    <t>A26/54</t>
  </si>
  <si>
    <t>2603FV004</t>
  </si>
  <si>
    <t>REFEEL EPC ITALIA, SRL</t>
  </si>
  <si>
    <t>Tracker standard Agrovoltaic 1V- 2º pago</t>
  </si>
  <si>
    <t>30</t>
  </si>
  <si>
    <t>A26/55</t>
  </si>
  <si>
    <t xml:space="preserve">2603FV005 </t>
  </si>
  <si>
    <t xml:space="preserve">Tracker 1V- 2º pago </t>
  </si>
  <si>
    <t xml:space="preserve">En esta factura hemos anotado la diferencia que existia por la adenda </t>
  </si>
  <si>
    <t>A26/56</t>
  </si>
  <si>
    <t xml:space="preserve">2603FV006 </t>
  </si>
  <si>
    <t xml:space="preserve"> A26/57</t>
  </si>
  <si>
    <t xml:space="preserve">2603FV007 </t>
  </si>
  <si>
    <t>Fixed structure - 3º pago</t>
  </si>
  <si>
    <t>A26/58</t>
  </si>
  <si>
    <t xml:space="preserve">2603FV008 </t>
  </si>
  <si>
    <t>A26/59</t>
  </si>
  <si>
    <t xml:space="preserve">2603FV009 </t>
  </si>
  <si>
    <t>PLC SERVICE S.R.L</t>
  </si>
  <si>
    <t>A26/60</t>
  </si>
  <si>
    <t xml:space="preserve">2603FV010 </t>
  </si>
  <si>
    <t>SEAC SRL</t>
  </si>
  <si>
    <t>145.25 Raganella</t>
  </si>
  <si>
    <t>EL CLIENTE HA PAGADO 183410,39 - EL TOTAL 183410,21- DIFERENCIA 0,18CT</t>
  </si>
  <si>
    <t>A26/61</t>
  </si>
  <si>
    <t>2603FV011</t>
  </si>
  <si>
    <t>197.25 Sciacca- Misilifurmi</t>
  </si>
  <si>
    <t>Fixed Structure 2V-1º pago</t>
  </si>
  <si>
    <t>A26/62</t>
  </si>
  <si>
    <t xml:space="preserve">2603FV012 </t>
  </si>
  <si>
    <t>051.26 Realmonte</t>
  </si>
  <si>
    <t>Fixed Structure 2V- 1º pago</t>
  </si>
  <si>
    <t>A26/63</t>
  </si>
  <si>
    <t>2603FV013</t>
  </si>
  <si>
    <t>047.26 Sambuca di Sicilia 1 &amp; 2</t>
  </si>
  <si>
    <t>Tracker 1V -1º pago</t>
  </si>
  <si>
    <t>A26/64</t>
  </si>
  <si>
    <t xml:space="preserve">2603FV014 </t>
  </si>
  <si>
    <t>052.26 Siacca</t>
  </si>
  <si>
    <t>A26/65</t>
  </si>
  <si>
    <t>2603FV015</t>
  </si>
  <si>
    <t>I FRUTTI DEL SOLE SOCIETA´AGRICOLA SRL</t>
  </si>
  <si>
    <t>410.25 Vigne Vecchie Portopalo di C.P</t>
  </si>
  <si>
    <t>Tracker 1V -3º pago</t>
  </si>
  <si>
    <t>18</t>
  </si>
  <si>
    <t>A26/66</t>
  </si>
  <si>
    <t xml:space="preserve">2603FV016 </t>
  </si>
  <si>
    <t>Tracker 1V - 2º  pago</t>
  </si>
  <si>
    <t>75</t>
  </si>
  <si>
    <t>A26/67</t>
  </si>
  <si>
    <t xml:space="preserve">2603FV017 </t>
  </si>
  <si>
    <t>DENSYS SOLUTIONS GMBH</t>
  </si>
  <si>
    <t>080.26 Eichenfürst</t>
  </si>
  <si>
    <t>20</t>
  </si>
  <si>
    <t>A26/68</t>
  </si>
  <si>
    <t xml:space="preserve">2603FV018 </t>
  </si>
  <si>
    <t xml:space="preserve">410.25 PV Cozzo Croce Pachino </t>
  </si>
  <si>
    <t>A26/69</t>
  </si>
  <si>
    <t xml:space="preserve">2603FV019 </t>
  </si>
  <si>
    <t>Standars Agrovoltaic 1P - 2º pago</t>
  </si>
  <si>
    <t>A26/70</t>
  </si>
  <si>
    <t xml:space="preserve">2603FV020 </t>
  </si>
  <si>
    <t>Factura reclamada por correo el 07/04/26, vuelto a reclamar el 30/04/26, se ha vuelto a reclamar 25/05/2026, se ha vuelto a reclamar 01/07/26</t>
  </si>
  <si>
    <t>A26/71</t>
  </si>
  <si>
    <t xml:space="preserve">2603FV021 </t>
  </si>
  <si>
    <t>Tracker Standars Agrovoltaic 1V - 2º pago</t>
  </si>
  <si>
    <t>Cobramos el 27/04/26 20.000+ 20.000+20.000+11.620,93</t>
  </si>
  <si>
    <t>A26/72</t>
  </si>
  <si>
    <t xml:space="preserve">2603FV022 </t>
  </si>
  <si>
    <t>A26/73</t>
  </si>
  <si>
    <t xml:space="preserve">2603FV023 </t>
  </si>
  <si>
    <t>539.25 Ozzano 2 Manoni</t>
  </si>
  <si>
    <t>Tracker 1P- 1º pago</t>
  </si>
  <si>
    <t>A26/74</t>
  </si>
  <si>
    <t xml:space="preserve">2603FV024 </t>
  </si>
  <si>
    <t>GE.DE. IMPIANTI SRL</t>
  </si>
  <si>
    <t>168.26 Santhia (SII SPA)</t>
  </si>
  <si>
    <t>Cobrado el 02/04/26 10.000€, resto cobrado el 27/04/26</t>
  </si>
  <si>
    <t>A26/75</t>
  </si>
  <si>
    <t xml:space="preserve">2603FV025 </t>
  </si>
  <si>
    <t>471.25 Massa Marittima</t>
  </si>
  <si>
    <t>Cobrado el 31/03/26 60.000€, cobrado el 30/04/26 100.000€, cobrado el 28/05/26 150102,16€</t>
  </si>
  <si>
    <t>A26/76</t>
  </si>
  <si>
    <t xml:space="preserve">2604FV001 </t>
  </si>
  <si>
    <t>Tracker 1P- 2º pago</t>
  </si>
  <si>
    <t>A26/77</t>
  </si>
  <si>
    <t xml:space="preserve">2604FV002 </t>
  </si>
  <si>
    <t>A26/78</t>
  </si>
  <si>
    <t>2604FV003</t>
  </si>
  <si>
    <t>Tracker 1P- 3º pago</t>
  </si>
  <si>
    <t>A26/79</t>
  </si>
  <si>
    <t xml:space="preserve">2604FV004 </t>
  </si>
  <si>
    <t>REFFEL EPC ITALIA, SRL</t>
  </si>
  <si>
    <t>Standard Agrovoltaics 1P- 3º pago</t>
  </si>
  <si>
    <t>A26/80</t>
  </si>
  <si>
    <t xml:space="preserve">2604FV005 </t>
  </si>
  <si>
    <t>182.26 Ozzano Nord</t>
  </si>
  <si>
    <t>Fixed Structure 2P - 1º pago</t>
  </si>
  <si>
    <t>A26/81</t>
  </si>
  <si>
    <t xml:space="preserve">2604FV006 </t>
  </si>
  <si>
    <t>A26/82</t>
  </si>
  <si>
    <t xml:space="preserve">2604FV007 </t>
  </si>
  <si>
    <t>SOLARYS I.S. SRL</t>
  </si>
  <si>
    <t>Tracker 1P - 2º pago</t>
  </si>
  <si>
    <t>A26/83</t>
  </si>
  <si>
    <t xml:space="preserve">2604FV008 </t>
  </si>
  <si>
    <t>A26/84</t>
  </si>
  <si>
    <t xml:space="preserve">2604FV009 </t>
  </si>
  <si>
    <t>15</t>
  </si>
  <si>
    <t>A26/85</t>
  </si>
  <si>
    <t>2604FV010</t>
  </si>
  <si>
    <t>ENVI SOLAR 2 SRL</t>
  </si>
  <si>
    <t>Tracker 2P- 1º pago</t>
  </si>
  <si>
    <t>Indican que pagarán antes del 23/04</t>
  </si>
  <si>
    <t>A26/86</t>
  </si>
  <si>
    <t xml:space="preserve">2604FV011 </t>
  </si>
  <si>
    <t>Standars Agrovoltaic 1P - 3º pago</t>
  </si>
  <si>
    <t>A26/87</t>
  </si>
  <si>
    <t xml:space="preserve">2604FV012 </t>
  </si>
  <si>
    <t>Fixed Structure 2P-2º pago</t>
  </si>
  <si>
    <t>70</t>
  </si>
  <si>
    <t>A26/88</t>
  </si>
  <si>
    <t>2604FV013</t>
  </si>
  <si>
    <t>Fixed Structure 2P- 2º pago</t>
  </si>
  <si>
    <t>A26/89</t>
  </si>
  <si>
    <t xml:space="preserve">2604FV015 </t>
  </si>
  <si>
    <t>A26/90</t>
  </si>
  <si>
    <t>2604FV016</t>
  </si>
  <si>
    <t>A26/91</t>
  </si>
  <si>
    <t>2604FV017</t>
  </si>
  <si>
    <t>FINANCE &amp; ENGINEERING S.R.L</t>
  </si>
  <si>
    <t>130.26 Sozzago</t>
  </si>
  <si>
    <t>20-1</t>
  </si>
  <si>
    <t>A26/92</t>
  </si>
  <si>
    <t>2604FV018</t>
  </si>
  <si>
    <t>131.26 Colleferro</t>
  </si>
  <si>
    <t>A26/93</t>
  </si>
  <si>
    <t>2604FV038</t>
  </si>
  <si>
    <t>SORGENTE GAS EPOWER S.R.L.</t>
  </si>
  <si>
    <t>053.23 Giop and Albasan 2</t>
  </si>
  <si>
    <t>Commissioning and Pre- commissioning</t>
  </si>
  <si>
    <t xml:space="preserve">Se ha realizado un ajuste en Dynamics, error en nombre del cliente 2604AV003 </t>
  </si>
  <si>
    <t>A26/94</t>
  </si>
  <si>
    <t>2604FV020</t>
  </si>
  <si>
    <t xml:space="preserve">281.25 Pozzonovo 1 </t>
  </si>
  <si>
    <t>Tracker 1P - 1º pago</t>
  </si>
  <si>
    <t>A26/95</t>
  </si>
  <si>
    <t>2604FV021</t>
  </si>
  <si>
    <t>SISTEMI FOTOVOLTAICI.COM SRL</t>
  </si>
  <si>
    <t>230.25 Budrio</t>
  </si>
  <si>
    <t>A26/96</t>
  </si>
  <si>
    <t>2604FV022</t>
  </si>
  <si>
    <t>Tracker Standars Agrovoltaic 1V - 3º pago</t>
  </si>
  <si>
    <t>A26/97</t>
  </si>
  <si>
    <t>2604FV023</t>
  </si>
  <si>
    <t>FELD ENERGY GMBH</t>
  </si>
  <si>
    <t>190.26 Bockmaier</t>
  </si>
  <si>
    <t>TRACKER 2P - 1º pago</t>
  </si>
  <si>
    <t>A26/98</t>
  </si>
  <si>
    <t>2604FV039</t>
  </si>
  <si>
    <t>Tracker 1P - 4º pago</t>
  </si>
  <si>
    <t>2</t>
  </si>
  <si>
    <t>Nota de abono en dynamics creada, debido a que no estaba bien el importe registrado (nº de registro de dynamics antiguo 2604FV024) nº nuevo 2604FV039</t>
  </si>
  <si>
    <t>A26/99</t>
  </si>
  <si>
    <t xml:space="preserve">2604FV025 </t>
  </si>
  <si>
    <t>DELOS SERVICE S.P.A.</t>
  </si>
  <si>
    <t>394.24 Rotello 1</t>
  </si>
  <si>
    <t>COMPLETE JUNCTION BOX + TRANSPORT</t>
  </si>
  <si>
    <t>A26/100</t>
  </si>
  <si>
    <t>2604FV026</t>
  </si>
  <si>
    <t>ENERGIE NUOVE</t>
  </si>
  <si>
    <t>A26/101</t>
  </si>
  <si>
    <t>2604FV027</t>
  </si>
  <si>
    <t>08/06 transferencia de 52.525,75 € y de 250000€</t>
  </si>
  <si>
    <t>A26/102</t>
  </si>
  <si>
    <t>2604FV028</t>
  </si>
  <si>
    <t>Tracker 1P - 3º pago</t>
  </si>
  <si>
    <t>A26/103</t>
  </si>
  <si>
    <t xml:space="preserve">2604FV029 </t>
  </si>
  <si>
    <t>344.25 Sant´Omero</t>
  </si>
  <si>
    <t>A26/104</t>
  </si>
  <si>
    <t>2604FV030</t>
  </si>
  <si>
    <t>A26/105</t>
  </si>
  <si>
    <t>2604FV031</t>
  </si>
  <si>
    <t>Pagan en dos veces 25/05/26 una transferencia de 70.000 y otra transferencia de 49.153,14</t>
  </si>
  <si>
    <t>A26/106</t>
  </si>
  <si>
    <t>2604FV032</t>
  </si>
  <si>
    <t>228.26 Gradara</t>
  </si>
  <si>
    <t>A26/107</t>
  </si>
  <si>
    <t xml:space="preserve"> 2604FV033</t>
  </si>
  <si>
    <t>A26/108</t>
  </si>
  <si>
    <t>2604FV034</t>
  </si>
  <si>
    <t>A26/109</t>
  </si>
  <si>
    <t>2604FV035</t>
  </si>
  <si>
    <t>A26/110</t>
  </si>
  <si>
    <t>2604FV037</t>
  </si>
  <si>
    <t>LONGHERONE</t>
  </si>
  <si>
    <t>A26/111</t>
  </si>
  <si>
    <t>2605FV001</t>
  </si>
  <si>
    <t>Tracker 1P- 4º pago</t>
  </si>
  <si>
    <t>A26/112</t>
  </si>
  <si>
    <t>2605FV003</t>
  </si>
  <si>
    <t>A26/113</t>
  </si>
  <si>
    <t xml:space="preserve">2605FV004 </t>
  </si>
  <si>
    <t>192.26 PV MAZZARONE</t>
  </si>
  <si>
    <t>A26/114</t>
  </si>
  <si>
    <t>2605FV002</t>
  </si>
  <si>
    <t>A26/115</t>
  </si>
  <si>
    <t>2605FV005</t>
  </si>
  <si>
    <t>S&amp;Z SRL</t>
  </si>
  <si>
    <t>499.25 Bisignano 3</t>
  </si>
  <si>
    <t>A26/116</t>
  </si>
  <si>
    <t>2605FV006</t>
  </si>
  <si>
    <t>REFEEL EPC ITALIA S.R.L</t>
  </si>
  <si>
    <t>059.25 Ghedi</t>
  </si>
  <si>
    <t>Metal Profiles y POT</t>
  </si>
  <si>
    <t>A26/117</t>
  </si>
  <si>
    <t>2605FV007</t>
  </si>
  <si>
    <t>Tracker standard Agrovoltaic 1V- 3º pago</t>
  </si>
  <si>
    <t>A26/118</t>
  </si>
  <si>
    <t>2605FV008</t>
  </si>
  <si>
    <t>A26/119</t>
  </si>
  <si>
    <t>2605FV009</t>
  </si>
  <si>
    <t>539.25 PV Ozzano 2 (Manoni)</t>
  </si>
  <si>
    <t>A26/120</t>
  </si>
  <si>
    <t>2605FV010</t>
  </si>
  <si>
    <t>Feld Energy GmbH</t>
  </si>
  <si>
    <t>Tracker 2P - 2º pago</t>
  </si>
  <si>
    <t>A26/121</t>
  </si>
  <si>
    <t>2605FV011</t>
  </si>
  <si>
    <t>Tracker 2P - 3º pago</t>
  </si>
  <si>
    <t>A26/122</t>
  </si>
  <si>
    <t>2605FV012</t>
  </si>
  <si>
    <t>Riparazione del camion</t>
  </si>
  <si>
    <t>A26/123</t>
  </si>
  <si>
    <t>2605FV013</t>
  </si>
  <si>
    <t>SUNNUS SRL</t>
  </si>
  <si>
    <t>084.26 Siracusa</t>
  </si>
  <si>
    <t xml:space="preserve">Tracker 1P - 1º pago </t>
  </si>
  <si>
    <t>A26/124</t>
  </si>
  <si>
    <t>2605FV014</t>
  </si>
  <si>
    <t>GLOBAL TECHNOLOGY</t>
  </si>
  <si>
    <t>146.24 Capua</t>
  </si>
  <si>
    <t>Industrial PC</t>
  </si>
  <si>
    <t>A26/125</t>
  </si>
  <si>
    <t>2605FV015</t>
  </si>
  <si>
    <t>499.25 PV Bisignano 3</t>
  </si>
  <si>
    <t>Fixed Structure 2P -  1º pago</t>
  </si>
  <si>
    <t>A26/126</t>
  </si>
  <si>
    <t>2605FV016</t>
  </si>
  <si>
    <t>EXERGICA SRL</t>
  </si>
  <si>
    <t>338.25 Ortoverde</t>
  </si>
  <si>
    <t>A26/127</t>
  </si>
  <si>
    <t>2605FV017</t>
  </si>
  <si>
    <t>339.25 Vittorio Vaccargiu</t>
  </si>
  <si>
    <t>A26/128</t>
  </si>
  <si>
    <t>2605FV018</t>
  </si>
  <si>
    <t>GALATONE ENERGY SRL</t>
  </si>
  <si>
    <t>551.25 Kalkan</t>
  </si>
  <si>
    <t>A26/129</t>
  </si>
  <si>
    <t>2605FV019</t>
  </si>
  <si>
    <t>280.26 Impianto 998</t>
  </si>
  <si>
    <t>A26/130</t>
  </si>
  <si>
    <t>2605FV020</t>
  </si>
  <si>
    <t>281.25 Pozzonovo 1</t>
  </si>
  <si>
    <t xml:space="preserve">Tracker 1P - 2º pago </t>
  </si>
  <si>
    <t>A26/131</t>
  </si>
  <si>
    <t>2605FV021</t>
  </si>
  <si>
    <t>REFEEL EPC ITALIA S.R.L.</t>
  </si>
  <si>
    <t>549.25 PV Moro</t>
  </si>
  <si>
    <t>Metal Profiles + POT</t>
  </si>
  <si>
    <t>A26/132</t>
  </si>
  <si>
    <t>2605FV022</t>
  </si>
  <si>
    <t>059.25 PV Ghedi</t>
  </si>
  <si>
    <t>A26/133</t>
  </si>
  <si>
    <t>2605FV024</t>
  </si>
  <si>
    <t>142.25  Castrovillasri A</t>
  </si>
  <si>
    <t>se ha hecho nota de abono en Dynamics con nº 2605AV002 por número de proyecto</t>
  </si>
  <si>
    <t>A26/134</t>
  </si>
  <si>
    <t>2605FV025</t>
  </si>
  <si>
    <t>142.25  Castrovillasri B</t>
  </si>
  <si>
    <t xml:space="preserve">nota de abono creada </t>
  </si>
  <si>
    <t>26/21</t>
  </si>
  <si>
    <t>A26/135</t>
  </si>
  <si>
    <t>2605FV026</t>
  </si>
  <si>
    <t>142.25  Castrovillasri C</t>
  </si>
  <si>
    <t>nota de abono creada</t>
  </si>
  <si>
    <t>26/22</t>
  </si>
  <si>
    <t>A26/136</t>
  </si>
  <si>
    <t>2605FV027</t>
  </si>
  <si>
    <t xml:space="preserve">378.25 Montorio </t>
  </si>
  <si>
    <t>Tracker 2V - 3º pago</t>
  </si>
  <si>
    <t>A26/137</t>
  </si>
  <si>
    <t>2605FV028</t>
  </si>
  <si>
    <t>A26/138</t>
  </si>
  <si>
    <t>2605FV029</t>
  </si>
  <si>
    <t>Tracker standard Agrovoltaic 1V- 4º pago</t>
  </si>
  <si>
    <t>A26/139</t>
  </si>
  <si>
    <t>2605FV030</t>
  </si>
  <si>
    <t>GE.DE. Impianti SRL</t>
  </si>
  <si>
    <t>168.26 PV Santhia (SII SPA)</t>
  </si>
  <si>
    <t>A26/140</t>
  </si>
  <si>
    <t>2605FV031</t>
  </si>
  <si>
    <t>RENOVIT BUSINESS SOLUTIONS S.R .L</t>
  </si>
  <si>
    <t>078.25 PV Chiopris Viscone - Renovit</t>
  </si>
  <si>
    <t>2605AV003</t>
  </si>
  <si>
    <t>A26/141</t>
  </si>
  <si>
    <t>2605FV032</t>
  </si>
  <si>
    <t>STERN ENERGY S.P.A.</t>
  </si>
  <si>
    <t>Commissioning online</t>
  </si>
  <si>
    <t>A26/142</t>
  </si>
  <si>
    <t>2605FV033</t>
  </si>
  <si>
    <t>Pre commissioning - Commsissionig</t>
  </si>
  <si>
    <t xml:space="preserve">se hace nota de abono ya que se empezaremos sobre sept/oc con este proyecto, ademas el cliente nos pide separar pre com y commi </t>
  </si>
  <si>
    <t>26/20</t>
  </si>
  <si>
    <t>A26/143</t>
  </si>
  <si>
    <t>2605FV034</t>
  </si>
  <si>
    <t>Fixed Structure -  2º pago</t>
  </si>
  <si>
    <t>A26/144</t>
  </si>
  <si>
    <t>2605FV035</t>
  </si>
  <si>
    <t>Commissioning on site</t>
  </si>
  <si>
    <t>A26/145</t>
  </si>
  <si>
    <t>2605FV036</t>
  </si>
  <si>
    <t xml:space="preserve">Finance &amp; Enineering S.R.L </t>
  </si>
  <si>
    <t>A26/146</t>
  </si>
  <si>
    <t>2605FV037</t>
  </si>
  <si>
    <t>A26/147</t>
  </si>
  <si>
    <t>2605FV038</t>
  </si>
  <si>
    <t>A26/148</t>
  </si>
  <si>
    <t>2605FV039</t>
  </si>
  <si>
    <t>ECO - CIVIDINA S.R.L</t>
  </si>
  <si>
    <t>164.26 PV Tavagnacco</t>
  </si>
  <si>
    <t>Tracker 2P - 1º pago</t>
  </si>
  <si>
    <t>A26/149</t>
  </si>
  <si>
    <t>2605FV040</t>
  </si>
  <si>
    <t>Additional spare parts required</t>
  </si>
  <si>
    <t>A26/150</t>
  </si>
  <si>
    <t>2606FV002</t>
  </si>
  <si>
    <t>A26/151</t>
  </si>
  <si>
    <t>2606FV003</t>
  </si>
  <si>
    <t>Densys Solutions GmbH</t>
  </si>
  <si>
    <t>A26/152</t>
  </si>
  <si>
    <t>2606FV004</t>
  </si>
  <si>
    <t>A26/153</t>
  </si>
  <si>
    <t>2606FV005</t>
  </si>
  <si>
    <t>TODOS.IT S.R.L.</t>
  </si>
  <si>
    <t>186.26 Zuccari 1</t>
  </si>
  <si>
    <t>A26/154</t>
  </si>
  <si>
    <t>2606FV006</t>
  </si>
  <si>
    <t>187.26 Zuccari 3</t>
  </si>
  <si>
    <t>Tracker 1 P - 1º pago</t>
  </si>
  <si>
    <t>A26/155</t>
  </si>
  <si>
    <t>2606FV007</t>
  </si>
  <si>
    <t>188.26 Zuccari 4</t>
  </si>
  <si>
    <t>21618.84</t>
  </si>
  <si>
    <t>A26/156</t>
  </si>
  <si>
    <t>2606FV008</t>
  </si>
  <si>
    <t>A26/157</t>
  </si>
  <si>
    <t>2606FV009</t>
  </si>
  <si>
    <t>A26/158</t>
  </si>
  <si>
    <t>2606FV010</t>
  </si>
  <si>
    <t>410. 25 Cozzo Croce Pachino</t>
  </si>
  <si>
    <t>A26/159</t>
  </si>
  <si>
    <t>2606FV011</t>
  </si>
  <si>
    <t>FRN</t>
  </si>
  <si>
    <t>230.26 Bolintin</t>
  </si>
  <si>
    <t>A26/160</t>
  </si>
  <si>
    <t>2606FV012</t>
  </si>
  <si>
    <t>COMUNITÀ ENERGETICHE, SPA</t>
  </si>
  <si>
    <t>077.26 PV Nardo --- PV Scurcola 1</t>
  </si>
  <si>
    <t>Tracker structure</t>
  </si>
  <si>
    <t>A26/161</t>
  </si>
  <si>
    <t>2606FV013</t>
  </si>
  <si>
    <t>A26/162</t>
  </si>
  <si>
    <t>2606FV014</t>
  </si>
  <si>
    <t>A26/163</t>
  </si>
  <si>
    <t>2606FV015</t>
  </si>
  <si>
    <t>A26/164</t>
  </si>
  <si>
    <t>2606FV016</t>
  </si>
  <si>
    <t>A26/165</t>
  </si>
  <si>
    <t>2606FV017</t>
  </si>
  <si>
    <t>344.25 Sant'Omero</t>
  </si>
  <si>
    <t>A26/166</t>
  </si>
  <si>
    <t>2606FV018</t>
  </si>
  <si>
    <t>A26/167</t>
  </si>
  <si>
    <t>2606FV019</t>
  </si>
  <si>
    <t>A26/168</t>
  </si>
  <si>
    <t>2606FV020</t>
  </si>
  <si>
    <t xml:space="preserve">Tracker 1P - 3º pago </t>
  </si>
  <si>
    <t>A26/169</t>
  </si>
  <si>
    <t>2606FV021</t>
  </si>
  <si>
    <t>Fixed structure 2P - 3º pago</t>
  </si>
  <si>
    <t>A26/170</t>
  </si>
  <si>
    <t>2606FV022</t>
  </si>
  <si>
    <t>Eneo Solar</t>
  </si>
  <si>
    <t>261.26 PV Lenz</t>
  </si>
  <si>
    <t>Tracker 2 P - 1º pago</t>
  </si>
  <si>
    <t>A26/171</t>
  </si>
  <si>
    <t>2606FV023</t>
  </si>
  <si>
    <t>Fixed Structure 2P -  2º pago</t>
  </si>
  <si>
    <t>A26/172</t>
  </si>
  <si>
    <t>2606FV024</t>
  </si>
  <si>
    <t>PLC Service</t>
  </si>
  <si>
    <t xml:space="preserve">265.26 Gioia del Colle
</t>
  </si>
  <si>
    <t>25</t>
  </si>
  <si>
    <t>A26/173</t>
  </si>
  <si>
    <t>2606FV025</t>
  </si>
  <si>
    <t>Training</t>
  </si>
  <si>
    <t>A26/174</t>
  </si>
  <si>
    <t>2606FV026</t>
  </si>
  <si>
    <t>146.26 PV Manduria</t>
  </si>
  <si>
    <t>A26/175</t>
  </si>
  <si>
    <t>2606FV027</t>
  </si>
  <si>
    <t>147.26 PV Avetrana</t>
  </si>
  <si>
    <t>A26/176</t>
  </si>
  <si>
    <t>2606FV028</t>
  </si>
  <si>
    <t>148.26 PV Matino</t>
  </si>
  <si>
    <t>A26/177</t>
  </si>
  <si>
    <t>2606FV029</t>
  </si>
  <si>
    <t>LEA ENERGY</t>
  </si>
  <si>
    <t>113.26 PV Ozzano</t>
  </si>
  <si>
    <t>A26/178</t>
  </si>
  <si>
    <t>2606FV030</t>
  </si>
  <si>
    <t>264.26 PV Figuretta 2</t>
  </si>
  <si>
    <t>A26/179</t>
  </si>
  <si>
    <t>2606FV031</t>
  </si>
  <si>
    <t>293.26 PV Figuretta 1</t>
  </si>
  <si>
    <t>A26/180</t>
  </si>
  <si>
    <t>2606FV032</t>
  </si>
  <si>
    <t>294.26 PV Albanacci</t>
  </si>
  <si>
    <t>A26/181</t>
  </si>
  <si>
    <t>2606FV033</t>
  </si>
  <si>
    <t>295.26 PV Shiavone</t>
  </si>
  <si>
    <t>A26/182</t>
  </si>
  <si>
    <t>2606FV034</t>
  </si>
  <si>
    <t>296.26 PV Santagata</t>
  </si>
  <si>
    <t>A26/183</t>
  </si>
  <si>
    <t>2606FV035</t>
  </si>
  <si>
    <t>546.25 PV Ferentino 1</t>
  </si>
  <si>
    <t>A26/184</t>
  </si>
  <si>
    <t>2606FV036</t>
  </si>
  <si>
    <t>324.26 PV Ferentino 2</t>
  </si>
  <si>
    <t>A26/185</t>
  </si>
  <si>
    <t>2606FV037</t>
  </si>
  <si>
    <t>268.26 PV Montemaggiore</t>
  </si>
  <si>
    <t>A26/186</t>
  </si>
  <si>
    <t>2606FV038</t>
  </si>
  <si>
    <t>547.25 PV Tuscania</t>
  </si>
  <si>
    <t>A26/187</t>
  </si>
  <si>
    <t>2606FV039</t>
  </si>
  <si>
    <t>263.26 PV Vallediaccio 4</t>
  </si>
  <si>
    <t>A26/188</t>
  </si>
  <si>
    <t>2606FV040</t>
  </si>
  <si>
    <t>FELD ENERGY</t>
  </si>
  <si>
    <t>190.26 PV Bockmaier</t>
  </si>
  <si>
    <t>A26/189</t>
  </si>
  <si>
    <t>2606FV041</t>
  </si>
  <si>
    <t>269.26 PV San Giorgio di piano</t>
  </si>
  <si>
    <t>Metal profiles</t>
  </si>
  <si>
    <t>A26/190</t>
  </si>
  <si>
    <t>2606FV042</t>
  </si>
  <si>
    <t>270.26 PV Modena 1</t>
  </si>
  <si>
    <t>A26/191</t>
  </si>
  <si>
    <t>2606FV043</t>
  </si>
  <si>
    <t>21/26/26</t>
  </si>
  <si>
    <t>2602FV033</t>
  </si>
  <si>
    <t>ABSOLUTE ENERGY SRL</t>
  </si>
  <si>
    <t>A26/192</t>
  </si>
  <si>
    <t>-</t>
  </si>
  <si>
    <t xml:space="preserve">Facturas hechas para cuadrar las notas de abono </t>
  </si>
  <si>
    <t>A26/193</t>
  </si>
  <si>
    <t>A26/194</t>
  </si>
  <si>
    <t xml:space="preserve">2606FV044 </t>
  </si>
  <si>
    <t>A26/195</t>
  </si>
  <si>
    <t xml:space="preserve">2606FV045 </t>
  </si>
  <si>
    <t xml:space="preserve">424.24 Pachino 1 </t>
  </si>
  <si>
    <t>11 x DIPOLE ANTENNA + 700 MM CABLE
NCU STANDARD
TRANSPORT</t>
  </si>
  <si>
    <t>A26/196</t>
  </si>
  <si>
    <t>2606FV046</t>
  </si>
  <si>
    <t>A26/197</t>
  </si>
  <si>
    <t xml:space="preserve">2606FV047 </t>
  </si>
  <si>
    <t>Tracker 1V - 3º  pago</t>
  </si>
  <si>
    <t>A26/198</t>
  </si>
  <si>
    <t>2606FV048</t>
  </si>
  <si>
    <t xml:space="preserve">289.26 PV Assolau </t>
  </si>
  <si>
    <t>A26/199</t>
  </si>
  <si>
    <t>2606FV049</t>
  </si>
  <si>
    <t>SAMLIGHT GROUP S.R.L.</t>
  </si>
  <si>
    <t>382.25 PV Cordao</t>
  </si>
  <si>
    <t>TCUs AC POWERED</t>
  </si>
  <si>
    <t>A26/200</t>
  </si>
  <si>
    <t>2606FV050</t>
  </si>
  <si>
    <t>LEA-RENERGY S.R.L.</t>
  </si>
  <si>
    <t>A26/201</t>
  </si>
  <si>
    <t>2606FV051</t>
  </si>
  <si>
    <t>A26/202</t>
  </si>
  <si>
    <t>2606FV052</t>
  </si>
  <si>
    <t>Fixed Structure - 3º pago</t>
  </si>
  <si>
    <t>A26/203</t>
  </si>
  <si>
    <t>2606FV053</t>
  </si>
  <si>
    <t>A26/204</t>
  </si>
  <si>
    <t>2607FV001</t>
  </si>
  <si>
    <t>Tracker 1 P - 2º pago</t>
  </si>
  <si>
    <t>07/07 Cobrado el resto 06/07 COBRADO 80.000€  queda 8963,16€</t>
  </si>
  <si>
    <t>A26/205</t>
  </si>
  <si>
    <t>2607FV002</t>
  </si>
  <si>
    <t>Poggino Sun S.R.L</t>
  </si>
  <si>
    <t>258.25 PV Viterbo</t>
  </si>
  <si>
    <t>09/07 Cobrado 21.621,73€</t>
  </si>
  <si>
    <t>A26/206</t>
  </si>
  <si>
    <t>2607FV003</t>
  </si>
  <si>
    <t>Structure supply</t>
  </si>
  <si>
    <t>A26/207</t>
  </si>
  <si>
    <t>2607FV004</t>
  </si>
  <si>
    <t>A26/208</t>
  </si>
  <si>
    <t>2607FV005</t>
  </si>
  <si>
    <t>Solarys I.S. S.r.l..,</t>
  </si>
  <si>
    <t xml:space="preserve">193.26 PV Catiglione
</t>
  </si>
  <si>
    <t xml:space="preserve">Standard Agrovoltaics 1P - 1º pago </t>
  </si>
  <si>
    <t>A26/209</t>
  </si>
  <si>
    <t>2607FV006</t>
  </si>
  <si>
    <t>194.26 PV Buseto</t>
  </si>
  <si>
    <t>A26/210</t>
  </si>
  <si>
    <t>2607FV007</t>
  </si>
  <si>
    <t>Standard Agrovoltaics 1V - 2º pago</t>
  </si>
  <si>
    <t>A26/211</t>
  </si>
  <si>
    <t xml:space="preserve">2607FV008 </t>
  </si>
  <si>
    <t xml:space="preserve">TOTAL FACTURAS </t>
  </si>
  <si>
    <t>TOTAL NOTAS DE ABONO</t>
  </si>
  <si>
    <t>TOTAL</t>
  </si>
  <si>
    <t>Pago reclamado por correo 07/04/26, se ha vuelto a reclamar el  30/04/26, se ha vuelto a reclamar 25/05/26, se ha vuelto a reclamar 01/07, se ha vuelto a reclamar 14/07</t>
  </si>
  <si>
    <t xml:space="preserve">14/07 pago reclamado Se ha realizado un ajuste en Dynamics, error en nombre del cliente 2604AV003 </t>
  </si>
  <si>
    <t>A26/212</t>
  </si>
  <si>
    <t>2607FV009</t>
  </si>
  <si>
    <t>Bosi S.R.L.</t>
  </si>
  <si>
    <t>320.26 PV Viadana</t>
  </si>
  <si>
    <t>A26/213</t>
  </si>
  <si>
    <t>2607FV010</t>
  </si>
  <si>
    <t>197.25 PV Sciacca</t>
  </si>
  <si>
    <t>14/07 cambio de oferta, anulamos factura</t>
  </si>
  <si>
    <t>A26/214</t>
  </si>
  <si>
    <t>A26/215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</si>
</sst>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43" formatCode="_-* #,##0.00_-;\-* #,##0.00_-;_-* &quot;-&quot;??_-;_-@_-"/>
    <numFmt numFmtId="164" formatCode="_-* #,##0.00\ _€_-;\-* #,##0.00\ _€_-;_-* &quot;-&quot;??\ _€_-;_-@_-"/>
    <numFmt numFmtId="165" formatCode="#,##0.00\ &quot;€&quot;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 Light"/>
      <family val="2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0000"/>
      <name val="Calibri"/>
      <charset val="1"/>
    </font>
    <font>
      <sz val="11"/>
      <color theme="1"/>
      <name val="Calibri Light"/>
      <scheme val="maj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4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3" fontId="4" fillId="0" borderId="5" xfId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0" fontId="7" fillId="0" borderId="0" xfId="0" applyFont="1"/>
    <xf numFmtId="43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0" fontId="0" fillId="3" borderId="0" xfId="0" applyFill="1"/>
    <xf numFmtId="0" fontId="2" fillId="0" borderId="6" xfId="0" applyFont="1" applyBorder="1" applyAlignment="1">
      <alignment horizontal="center" vertical="center" wrapText="1"/>
    </xf>
    <xf numFmtId="43" fontId="2" fillId="0" borderId="6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2" borderId="0" xfId="0" applyNumberFormat="1" applyFill="1" applyAlignment="1">
      <alignment horizontal="center" vertical="top"/>
    </xf>
    <xf numFmtId="0" fontId="0" fillId="2" borderId="0" xfId="0" applyFill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3" fontId="2" fillId="4" borderId="0" xfId="1" applyFont="1" applyFill="1" applyBorder="1" applyAlignment="1">
      <alignment horizontal="center" vertical="center"/>
    </xf>
    <xf numFmtId="14" fontId="0" fillId="4" borderId="7" xfId="0" applyNumberForma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/>
    <xf numFmtId="43" fontId="11" fillId="4" borderId="0" xfId="1" applyFont="1" applyFill="1" applyBorder="1" applyAlignment="1">
      <alignment horizontal="center" vertical="center"/>
    </xf>
    <xf numFmtId="14" fontId="12" fillId="4" borderId="7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3" borderId="0" xfId="0" applyFont="1" applyFill="1"/>
    <xf numFmtId="0" fontId="12" fillId="0" borderId="0" xfId="0" applyFont="1" applyAlignment="1">
      <alignment horizontal="center" vertical="center"/>
    </xf>
    <xf numFmtId="43" fontId="11" fillId="0" borderId="0" xfId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43" fontId="4" fillId="0" borderId="11" xfId="1" applyFont="1" applyBorder="1" applyAlignment="1">
      <alignment horizontal="center" vertical="center"/>
    </xf>
    <xf numFmtId="43" fontId="2" fillId="0" borderId="15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/>
    </xf>
    <xf numFmtId="14" fontId="12" fillId="4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3" fontId="4" fillId="0" borderId="5" xfId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43" fontId="2" fillId="4" borderId="0" xfId="1" applyFont="1" applyFill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/>
    <xf numFmtId="14" fontId="10" fillId="0" borderId="5" xfId="0" applyNumberFormat="1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4" fontId="14" fillId="2" borderId="0" xfId="0" applyNumberFormat="1" applyFont="1" applyFill="1" applyAlignment="1">
      <alignment horizontal="center" vertical="center"/>
    </xf>
    <xf numFmtId="49" fontId="14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8" fontId="2" fillId="4" borderId="0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3" fontId="2" fillId="0" borderId="17" xfId="1" applyFont="1" applyFill="1" applyBorder="1" applyAlignment="1">
      <alignment horizontal="center" vertical="center"/>
    </xf>
    <xf numFmtId="43" fontId="2" fillId="4" borderId="17" xfId="1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 vertical="center"/>
    </xf>
    <xf numFmtId="14" fontId="15" fillId="4" borderId="16" xfId="1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4" fillId="2" borderId="17" xfId="0" applyFont="1" applyFill="1" applyBorder="1" applyAlignment="1">
      <alignment horizontal="center" vertical="center"/>
    </xf>
    <xf numFmtId="49" fontId="14" fillId="2" borderId="17" xfId="0" applyNumberFormat="1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2" fillId="0" borderId="17" xfId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3" fontId="0" fillId="0" borderId="0" xfId="0" applyNumberFormat="1"/>
    <xf numFmtId="43" fontId="3" fillId="4" borderId="0" xfId="1" applyFont="1" applyFill="1" applyBorder="1" applyAlignment="1">
      <alignment horizontal="center" vertical="center"/>
    </xf>
    <xf numFmtId="14" fontId="10" fillId="4" borderId="5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43" fontId="18" fillId="0" borderId="0" xfId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5" fontId="5" fillId="0" borderId="0" xfId="0" applyNumberFormat="1" applyFont="1"/>
    <xf numFmtId="0" fontId="19" fillId="6" borderId="18" xfId="0" applyFont="1" applyFill="1" applyBorder="1"/>
    <xf numFmtId="165" fontId="19" fillId="6" borderId="18" xfId="0" applyNumberFormat="1" applyFont="1" applyFill="1" applyBorder="1"/>
    <xf numFmtId="0" fontId="16" fillId="2" borderId="0" xfId="0" applyFont="1" applyFill="1" applyAlignment="1">
      <alignment horizontal="center" vertical="center"/>
    </xf>
    <xf numFmtId="49" fontId="16" fillId="2" borderId="0" xfId="0" applyNumberFormat="1" applyFont="1" applyFill="1" applyAlignment="1">
      <alignment horizontal="center" vertical="center"/>
    </xf>
    <xf numFmtId="165" fontId="0" fillId="0" borderId="0" xfId="0" applyNumberFormat="1"/>
    <xf numFmtId="3" fontId="0" fillId="2" borderId="0" xfId="0" applyNumberFormat="1" applyFill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 wrapText="1"/>
    </xf>
    <xf numFmtId="43" fontId="2" fillId="0" borderId="15" xfId="1" applyFont="1" applyFill="1" applyBorder="1" applyAlignment="1">
      <alignment horizontal="center" vertical="center" wrapText="1"/>
    </xf>
    <xf numFmtId="43" fontId="3" fillId="0" borderId="2" xfId="1" applyFont="1" applyFill="1" applyBorder="1" applyAlignment="1">
      <alignment horizontal="center" vertical="center"/>
    </xf>
    <xf numFmtId="43" fontId="2" fillId="4" borderId="0" xfId="1" applyFont="1" applyFill="1" applyBorder="1" applyAlignment="1">
      <alignment horizontal="right" vertical="center"/>
    </xf>
    <xf numFmtId="43" fontId="3" fillId="0" borderId="0" xfId="1" applyFont="1" applyAlignment="1">
      <alignment horizontal="center" vertical="center"/>
    </xf>
    <xf numFmtId="8" fontId="2" fillId="0" borderId="0" xfId="1" applyNumberFormat="1" applyFont="1" applyAlignment="1">
      <alignment horizontal="right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3" fontId="2" fillId="0" borderId="0" xfId="1" applyNumberFormat="1" applyFont="1" applyFill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ont="1" applyAlignment="1">
      <alignment horizontal="center" vertical="center"/>
    </xf>
    <xf numFmtId="0" fontId="0" fillId="2" borderId="0" xfId="0" applyFill="1"/>
  </cellXfs>
  <cellStyles count="3">
    <cellStyle name="Hyperlink" xfId="2" xr:uid="{00000000-000B-0000-0000-000008000000}"/>
    <cellStyle name="Millares" xfId="1" builtinId="3"/>
    <cellStyle name="Normal" xfId="0" builtinId="0"/>
  </cellStyles>
  <dxfs count="7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9" formatCode="dd/mm/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fill>
        <patternFill patternType="none"/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/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</border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B3E0C9-7068-49D6-B452-4E6C685BB553}" name="CobrosPendientes3" displayName="CobrosPendientes3" ref="A1:R318" totalsRowShown="0" headerRowBorderDxfId="76" tableBorderDxfId="77">
  <autoFilter ref="A1:R318" xr:uid="{28575205-B714-483D-9A68-5B2CBDABBCB8}"/>
  <tableColumns count="18">
    <tableColumn id="1" xr3:uid="{81757B8B-7AC7-400B-A335-5E0C9E4E631F}" name="N. factura" dataDxfId="74" totalsRowDxfId="75"/>
    <tableColumn id="2" xr3:uid="{7E1F981B-0D84-4848-B266-B0C00368B48D}" name="Nº factura Dynamics" dataDxfId="72" totalsRowDxfId="73"/>
    <tableColumn id="3" xr3:uid="{68A1191C-64ED-4C6B-BC9C-6720A90BCE26}" name="Fecha Factura" dataDxfId="70" totalsRowDxfId="71"/>
    <tableColumn id="4" xr3:uid="{085F2CFA-9DA1-4040-A411-5F3B6FB0B027}" name="Cliente" dataDxfId="68" totalsRowDxfId="69"/>
    <tableColumn id="5" xr3:uid="{0F1A6F05-74A7-4C63-8B86-0140CB073330}" name="Proyecto" dataDxfId="66" totalsRowDxfId="67"/>
    <tableColumn id="6" xr3:uid="{514A33A2-5F7A-4F71-AA01-4DFAE1BD8A3D}" name="Objeto" dataDxfId="64" totalsRowDxfId="65"/>
    <tableColumn id="7" xr3:uid="{2503D8EB-E842-47BB-ACCB-55FA46FCA4A7}" name="%" dataDxfId="62" totalsRowDxfId="63"/>
    <tableColumn id="8" xr3:uid="{497F1A0F-EE35-4D5E-99D5-5A5FDA481CE2}" name="Importe" dataDxfId="60" totalsRowDxfId="61" dataCellStyle="Millares" totalsRowCellStyle="Millares"/>
    <tableColumn id="15" xr3:uid="{871C65FB-0C30-400C-BD06-3DAC811BC64A}" name="Imp cobrado" dataDxfId="58" totalsRowDxfId="59" dataCellStyle="Millares" totalsRowCellStyle="Millares"/>
    <tableColumn id="16" xr3:uid="{7D0461DB-D142-49C1-9886-178C2484D27E}" name="Imp Pte" dataDxfId="56" totalsRowDxfId="57" dataCellStyle="Millares" totalsRowCellStyle="Millares">
      <calculatedColumnFormula>CobrosPendientes3[[#This Row],[Importe]]-CobrosPendientes3[[#This Row],[Imp cobrado]]</calculatedColumnFormula>
    </tableColumn>
    <tableColumn id="9" xr3:uid="{186A6813-6DAB-441C-A8CF-12478B349E63}" name="Fecha de cobro" dataDxfId="54" totalsRowDxfId="55"/>
    <tableColumn id="17" xr3:uid="{F35C135F-69A7-4FEA-8277-DE45351432E8}" name="Cobrado" dataDxfId="52" totalsRowDxfId="53"/>
    <tableColumn id="10" xr3:uid="{BC8865BC-492A-4A58-9412-5586254FC4BF}" name="Vencimiento" dataDxfId="50" totalsRowDxfId="51"/>
    <tableColumn id="11" xr3:uid="{21A38793-4F47-4999-A8C9-A930023998AF}" name="Observaciones" dataDxfId="48" totalsRowDxfId="49"/>
    <tableColumn id="18" xr3:uid="{6B372F61-B649-4A1A-A4F7-68CF2BCFAB0F}" name="Abonada" dataDxfId="46" totalsRowDxfId="47"/>
    <tableColumn id="12" xr3:uid="{92E5A4A5-0198-4C60-9451-B798FE92068A}" name="NOTAS DE ABONO" dataDxfId="44" totalsRowDxfId="45"/>
    <tableColumn id="13" xr3:uid="{23223C0C-0B6E-49A5-8913-AE08EE340654}" name="FECHA" dataDxfId="42" totalsRowDxfId="43"/>
    <tableColumn id="14" xr3:uid="{E3AC0EE6-CC7C-499E-BAE5-B8538EF364A4}" name="IMPORTE2" dataDxfId="40" totalsRowDxfId="41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2BEC4-B3A3-4495-BB21-623936B6D56F}" name="CobrosPendientes" displayName="CobrosPendientes" ref="A1:R320" totalsRowShown="0" headerRowDxfId="39" dataDxfId="38" headerRowBorderDxfId="36" tableBorderDxfId="37">
  <autoFilter ref="A1:R320" xr:uid="{28575205-B714-483D-9A68-5B2CBDABBCB8}"/>
  <tableColumns count="18">
    <tableColumn id="1" xr3:uid="{9448AFDB-8705-40FA-8319-55874EAF190F}" name="N. factura" dataDxfId="34" totalsRowDxfId="35"/>
    <tableColumn id="2" xr3:uid="{107E966A-FACA-4078-85A8-5183757A6BC1}" name="Nº factura Dynamics" dataDxfId="32" totalsRowDxfId="33"/>
    <tableColumn id="3" xr3:uid="{DC75DD6F-D2B8-41FB-985C-D85E8C48D9DA}" name="Fecha Factura" dataDxfId="30" totalsRowDxfId="31"/>
    <tableColumn id="4" xr3:uid="{E172F506-E1C9-4E3C-8D6D-AA8583D76EE1}" name="Cliente" dataDxfId="28" totalsRowDxfId="29"/>
    <tableColumn id="5" xr3:uid="{996C7D2B-40AC-4021-B085-09B020C1107D}" name="Proyecto" dataDxfId="26" totalsRowDxfId="27"/>
    <tableColumn id="6" xr3:uid="{D4954766-EF06-4DDC-8BB2-C87A40029655}" name="Objeto" dataDxfId="24" totalsRowDxfId="25"/>
    <tableColumn id="7" xr3:uid="{4ECA5E0E-604F-4DCA-B553-A1DD7CFCB54E}" name="%" dataDxfId="22" totalsRowDxfId="23"/>
    <tableColumn id="8" xr3:uid="{591FF243-4DC7-436E-B564-FA46C85DF9E0}" name="Importe" dataDxfId="20" totalsRowDxfId="21" dataCellStyle="Millares" totalsRowCellStyle="Millares"/>
    <tableColumn id="15" xr3:uid="{526790C8-C359-4187-B2AB-A225BF09F0B3}" name="Imp cobrado" dataDxfId="18" totalsRowDxfId="19" dataCellStyle="Millares" totalsRowCellStyle="Millares"/>
    <tableColumn id="16" xr3:uid="{B382640A-A18F-4C46-AB0D-34DB73097A12}" name="Imp Pte" dataDxfId="16" totalsRowDxfId="17" dataCellStyle="Millares" totalsRowCellStyle="Millares">
      <calculatedColumnFormula>CobrosPendientes[[#This Row],[Importe]]-CobrosPendientes[[#This Row],[Imp cobrado]]</calculatedColumnFormula>
    </tableColumn>
    <tableColumn id="9" xr3:uid="{7F6F8D55-2A37-407B-8626-672BA6C10DF3}" name="Fecha de cobro" dataDxfId="14" totalsRowDxfId="15"/>
    <tableColumn id="17" xr3:uid="{9E4B2E81-C476-4635-96E2-B8D02A9B747A}" name="Cobrado" dataDxfId="12" totalsRowDxfId="13"/>
    <tableColumn id="10" xr3:uid="{ACD7304F-928D-4908-B675-36A4D3FD8232}" name="Vencimiento" dataDxfId="10" totalsRowDxfId="11"/>
    <tableColumn id="11" xr3:uid="{FB805F9E-1257-48B8-927C-A8615A24C353}" name="Observaciones" dataDxfId="8" totalsRowDxfId="9"/>
    <tableColumn id="18" xr3:uid="{52F1C036-244F-4F03-968C-BCD1AA741AC4}" name="Abonada" dataDxfId="6" totalsRowDxfId="7"/>
    <tableColumn id="12" xr3:uid="{0C4B5EF6-97E2-4558-933F-C223CEADE1D2}" name="NOTAS DE ABONO" dataDxfId="4" totalsRowDxfId="5"/>
    <tableColumn id="13" xr3:uid="{41E5A121-D7B5-4B2D-BE53-608BCB3B88CB}" name="FECHA" dataDxfId="2" totalsRowDxfId="3"/>
    <tableColumn id="14" xr3:uid="{5E976CE9-9B81-4F21-8D4B-C5E6323DAF9A}" name="IMPORTE2" dataDxfId="0" totalsRowDxfId="1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6B95-FC3E-40CC-BAF6-93D4D836C86D}">
  <sheetPr>
    <pageSetUpPr fitToPage="1"/>
  </sheetPr>
  <dimension ref="A1:R327"/>
  <sheetViews>
    <sheetView zoomScale="104" zoomScaleNormal="104" workbookViewId="0">
      <pane ySplit="1" topLeftCell="A279" activePane="bottomLeft" state="frozen"/>
      <selection pane="bottomLeft" activeCell="E311" sqref="E311"/>
    </sheetView>
  </sheetViews>
  <sheetFormatPr defaultColWidth="10" defaultRowHeight="15" customHeight="1"/>
  <cols>
    <col min="1" max="1" width="15.42578125" customWidth="1"/>
    <col min="2" max="2" width="16" customWidth="1"/>
    <col min="3" max="3" width="19.140625" customWidth="1"/>
    <col min="4" max="4" width="53.85546875" customWidth="1"/>
    <col min="5" max="5" width="39.140625" bestFit="1" customWidth="1"/>
    <col min="6" max="6" width="41.5703125" bestFit="1" customWidth="1"/>
    <col min="7" max="7" width="33.7109375" customWidth="1"/>
    <col min="8" max="8" width="23.7109375" customWidth="1"/>
    <col min="9" max="10" width="23.140625" customWidth="1"/>
    <col min="11" max="11" width="23.42578125" bestFit="1" customWidth="1"/>
    <col min="12" max="12" width="11.28515625" customWidth="1"/>
    <col min="13" max="13" width="23.42578125" customWidth="1"/>
    <col min="14" max="14" width="69" customWidth="1"/>
    <col min="15" max="15" width="11.28515625" customWidth="1"/>
    <col min="16" max="16" width="25.85546875" customWidth="1"/>
    <col min="17" max="17" width="35.7109375" customWidth="1"/>
    <col min="18" max="18" width="23.7109375" bestFit="1" customWidth="1"/>
  </cols>
  <sheetData>
    <row r="1" spans="1:18" ht="63.95" customHeight="1">
      <c r="A1" s="42" t="s">
        <v>0</v>
      </c>
      <c r="B1" s="42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62" t="s">
        <v>8</v>
      </c>
      <c r="J1" s="62" t="s">
        <v>9</v>
      </c>
      <c r="K1" s="57" t="s">
        <v>10</v>
      </c>
      <c r="L1" s="63" t="s">
        <v>11</v>
      </c>
      <c r="M1" s="58" t="s">
        <v>12</v>
      </c>
      <c r="N1" s="26" t="s">
        <v>13</v>
      </c>
      <c r="O1" s="70" t="s">
        <v>14</v>
      </c>
      <c r="P1" s="1" t="s">
        <v>15</v>
      </c>
      <c r="Q1" s="2" t="s">
        <v>16</v>
      </c>
      <c r="R1" s="59" t="s">
        <v>17</v>
      </c>
    </row>
    <row r="2" spans="1:18" ht="15.75">
      <c r="A2" s="12" t="s">
        <v>18</v>
      </c>
      <c r="B2" s="12"/>
      <c r="C2" s="13">
        <v>45616</v>
      </c>
      <c r="D2" s="12" t="s">
        <v>19</v>
      </c>
      <c r="E2" s="12" t="s">
        <v>20</v>
      </c>
      <c r="F2" s="12" t="s">
        <v>21</v>
      </c>
      <c r="G2" s="12">
        <v>40</v>
      </c>
      <c r="H2" s="35">
        <v>92400.65</v>
      </c>
      <c r="I2" s="35">
        <v>92400.65</v>
      </c>
      <c r="J2" s="35">
        <f>CobrosPendientes3[[#This Row],[Importe]]-CobrosPendientes3[[#This Row],[Imp cobrado]]</f>
        <v>0</v>
      </c>
      <c r="K2" s="36">
        <v>46209</v>
      </c>
      <c r="L2" s="67" t="s">
        <v>22</v>
      </c>
      <c r="M2" s="12"/>
      <c r="N2" s="3"/>
      <c r="O2" s="12"/>
      <c r="P2" s="6"/>
      <c r="Q2" s="6"/>
      <c r="R2" s="15"/>
    </row>
    <row r="3" spans="1:18" ht="15.75">
      <c r="A3" s="12" t="s">
        <v>23</v>
      </c>
      <c r="B3" s="12"/>
      <c r="C3" s="13">
        <v>45622</v>
      </c>
      <c r="D3" s="12" t="s">
        <v>19</v>
      </c>
      <c r="E3" s="12" t="s">
        <v>20</v>
      </c>
      <c r="F3" s="12" t="s">
        <v>24</v>
      </c>
      <c r="G3" s="12">
        <v>40</v>
      </c>
      <c r="H3" s="5">
        <v>92400.65</v>
      </c>
      <c r="I3" s="5"/>
      <c r="J3" s="5">
        <f>CobrosPendientes3[[#This Row],[Importe]]-CobrosPendientes3[[#This Row],[Imp cobrado]]</f>
        <v>92400.65</v>
      </c>
      <c r="K3" s="19"/>
      <c r="L3" s="12"/>
      <c r="M3" s="12"/>
      <c r="N3" s="3"/>
      <c r="O3" s="12"/>
      <c r="P3" s="6"/>
      <c r="Q3" s="6"/>
      <c r="R3" s="15"/>
    </row>
    <row r="4" spans="1:18" ht="15.75">
      <c r="A4" s="12" t="s">
        <v>25</v>
      </c>
      <c r="B4" s="12"/>
      <c r="C4" s="13">
        <v>45652</v>
      </c>
      <c r="D4" s="12" t="s">
        <v>26</v>
      </c>
      <c r="E4" s="12" t="s">
        <v>27</v>
      </c>
      <c r="F4" s="12" t="s">
        <v>28</v>
      </c>
      <c r="G4" s="12">
        <v>30</v>
      </c>
      <c r="H4" s="5">
        <v>258408.21</v>
      </c>
      <c r="I4" s="5"/>
      <c r="J4" s="5">
        <f>CobrosPendientes3[[#This Row],[Importe]]-CobrosPendientes3[[#This Row],[Imp cobrado]]</f>
        <v>258408.21</v>
      </c>
      <c r="K4" s="19"/>
      <c r="L4" s="12"/>
      <c r="M4" s="12"/>
      <c r="N4" s="3"/>
      <c r="O4" s="12"/>
      <c r="P4" s="6"/>
      <c r="Q4" s="6"/>
      <c r="R4" s="15"/>
    </row>
    <row r="5" spans="1:18" ht="15.75">
      <c r="A5" s="21" t="s">
        <v>29</v>
      </c>
      <c r="B5" s="21"/>
      <c r="C5" s="20">
        <v>45845</v>
      </c>
      <c r="D5" s="21" t="s">
        <v>30</v>
      </c>
      <c r="E5" s="21" t="s">
        <v>31</v>
      </c>
      <c r="F5" s="21" t="s">
        <v>32</v>
      </c>
      <c r="G5" s="21">
        <v>100</v>
      </c>
      <c r="H5" s="35">
        <v>758.01</v>
      </c>
      <c r="I5" s="35">
        <v>758.01</v>
      </c>
      <c r="J5" s="35">
        <f>CobrosPendientes3[[#This Row],[Importe]]-CobrosPendientes3[[#This Row],[Imp cobrado]]</f>
        <v>0</v>
      </c>
      <c r="K5" s="36">
        <v>46099</v>
      </c>
      <c r="L5" s="64" t="s">
        <v>22</v>
      </c>
      <c r="M5" s="13"/>
      <c r="N5" s="3"/>
      <c r="O5" s="12"/>
      <c r="P5" s="6"/>
      <c r="Q5" s="6"/>
      <c r="R5" s="15"/>
    </row>
    <row r="6" spans="1:18" ht="15.75">
      <c r="A6" s="21" t="s">
        <v>33</v>
      </c>
      <c r="B6" s="21"/>
      <c r="C6" s="20">
        <v>45848</v>
      </c>
      <c r="D6" s="21" t="s">
        <v>34</v>
      </c>
      <c r="E6" s="21" t="s">
        <v>35</v>
      </c>
      <c r="F6" s="21" t="s">
        <v>36</v>
      </c>
      <c r="G6" s="21">
        <v>100</v>
      </c>
      <c r="H6" s="7">
        <v>3894.16</v>
      </c>
      <c r="I6" s="7"/>
      <c r="J6" s="7">
        <f>CobrosPendientes3[[#This Row],[Importe]]-CobrosPendientes3[[#This Row],[Imp cobrado]]</f>
        <v>3894.16</v>
      </c>
      <c r="K6" s="23"/>
      <c r="L6" s="13"/>
      <c r="M6" s="13"/>
      <c r="N6" s="3" t="s">
        <v>37</v>
      </c>
      <c r="O6" s="12"/>
      <c r="P6" s="6"/>
      <c r="Q6" s="6"/>
      <c r="R6" s="15"/>
    </row>
    <row r="7" spans="1:18" ht="15.75">
      <c r="A7" s="21" t="s">
        <v>38</v>
      </c>
      <c r="B7" s="21"/>
      <c r="C7" s="20">
        <v>45867</v>
      </c>
      <c r="D7" s="21" t="s">
        <v>30</v>
      </c>
      <c r="E7" s="21" t="s">
        <v>39</v>
      </c>
      <c r="F7" s="21" t="s">
        <v>21</v>
      </c>
      <c r="G7" s="21">
        <v>25</v>
      </c>
      <c r="H7" s="35">
        <v>36271.26</v>
      </c>
      <c r="I7" s="35">
        <v>36271.26</v>
      </c>
      <c r="J7" s="35">
        <f>CobrosPendientes3[[#This Row],[Importe]]-CobrosPendientes3[[#This Row],[Imp cobrado]]</f>
        <v>0</v>
      </c>
      <c r="K7" s="36">
        <v>46034</v>
      </c>
      <c r="L7" s="64" t="s">
        <v>22</v>
      </c>
      <c r="M7" s="13"/>
      <c r="N7" s="3"/>
      <c r="O7" s="12"/>
      <c r="P7" s="6"/>
      <c r="Q7" s="6"/>
      <c r="R7" s="15"/>
    </row>
    <row r="8" spans="1:18" ht="15.75">
      <c r="A8" s="21" t="s">
        <v>40</v>
      </c>
      <c r="B8" s="21"/>
      <c r="C8" s="20">
        <v>45867</v>
      </c>
      <c r="D8" s="21" t="s">
        <v>30</v>
      </c>
      <c r="E8" s="21" t="s">
        <v>41</v>
      </c>
      <c r="F8" s="21" t="s">
        <v>21</v>
      </c>
      <c r="G8" s="21">
        <v>25</v>
      </c>
      <c r="H8" s="35">
        <v>36271.26</v>
      </c>
      <c r="I8" s="35">
        <v>36271.26</v>
      </c>
      <c r="J8" s="35">
        <f>CobrosPendientes3[[#This Row],[Importe]]-CobrosPendientes3[[#This Row],[Imp cobrado]]</f>
        <v>0</v>
      </c>
      <c r="K8" s="36">
        <v>46099</v>
      </c>
      <c r="L8" s="64" t="s">
        <v>22</v>
      </c>
      <c r="M8" s="13"/>
      <c r="N8" s="3"/>
      <c r="O8" s="12"/>
      <c r="P8" s="6"/>
      <c r="Q8" s="6"/>
      <c r="R8" s="15"/>
    </row>
    <row r="9" spans="1:18" ht="15.75">
      <c r="A9" s="21" t="s">
        <v>42</v>
      </c>
      <c r="B9" s="21"/>
      <c r="C9" s="20">
        <v>45887</v>
      </c>
      <c r="D9" s="21" t="s">
        <v>43</v>
      </c>
      <c r="E9" s="21" t="s">
        <v>44</v>
      </c>
      <c r="F9" s="21" t="s">
        <v>45</v>
      </c>
      <c r="G9" s="21">
        <v>70</v>
      </c>
      <c r="H9" s="7">
        <v>52327.72</v>
      </c>
      <c r="I9" s="7"/>
      <c r="J9" s="7">
        <f>CobrosPendientes3[[#This Row],[Importe]]-CobrosPendientes3[[#This Row],[Imp cobrado]]</f>
        <v>52327.72</v>
      </c>
      <c r="K9" s="23"/>
      <c r="L9" s="13"/>
      <c r="M9" s="13"/>
      <c r="N9" s="3"/>
      <c r="O9" s="12"/>
      <c r="P9" s="6"/>
      <c r="Q9" s="6"/>
      <c r="R9" s="15"/>
    </row>
    <row r="10" spans="1:18" ht="15.75">
      <c r="A10" s="21" t="s">
        <v>46</v>
      </c>
      <c r="B10" s="21"/>
      <c r="C10" s="20">
        <v>45887</v>
      </c>
      <c r="D10" s="21" t="s">
        <v>43</v>
      </c>
      <c r="E10" s="21" t="s">
        <v>47</v>
      </c>
      <c r="F10" s="21" t="s">
        <v>45</v>
      </c>
      <c r="G10" s="21">
        <v>70</v>
      </c>
      <c r="H10" s="7">
        <v>45925.54</v>
      </c>
      <c r="I10" s="7"/>
      <c r="J10" s="7">
        <f>CobrosPendientes3[[#This Row],[Importe]]-CobrosPendientes3[[#This Row],[Imp cobrado]]</f>
        <v>45925.54</v>
      </c>
      <c r="K10" s="23"/>
      <c r="L10" s="13"/>
      <c r="M10" s="13"/>
      <c r="N10" s="3"/>
      <c r="O10" s="12"/>
      <c r="P10" s="6"/>
      <c r="Q10" s="6"/>
      <c r="R10" s="15"/>
    </row>
    <row r="11" spans="1:18" ht="15.75">
      <c r="A11" s="21" t="s">
        <v>48</v>
      </c>
      <c r="B11" s="21"/>
      <c r="C11" s="24">
        <v>45897</v>
      </c>
      <c r="D11" s="21" t="s">
        <v>30</v>
      </c>
      <c r="E11" s="21" t="s">
        <v>49</v>
      </c>
      <c r="F11" s="21" t="s">
        <v>50</v>
      </c>
      <c r="G11" s="25">
        <v>25</v>
      </c>
      <c r="H11" s="35">
        <v>37185.410000000003</v>
      </c>
      <c r="I11" s="35">
        <v>37185.410000000003</v>
      </c>
      <c r="J11" s="35">
        <f>CobrosPendientes3[[#This Row],[Importe]]-CobrosPendientes3[[#This Row],[Imp cobrado]]</f>
        <v>0</v>
      </c>
      <c r="K11" s="36">
        <v>46099</v>
      </c>
      <c r="L11" s="64" t="s">
        <v>22</v>
      </c>
      <c r="M11" s="13"/>
      <c r="N11" s="3"/>
      <c r="O11" s="12"/>
      <c r="P11" s="6"/>
      <c r="Q11" s="6"/>
      <c r="R11" s="15"/>
    </row>
    <row r="12" spans="1:18" ht="15.75">
      <c r="A12" s="21" t="s">
        <v>51</v>
      </c>
      <c r="B12" s="21"/>
      <c r="C12" s="20">
        <v>45936</v>
      </c>
      <c r="D12" s="21" t="s">
        <v>30</v>
      </c>
      <c r="E12" s="21" t="s">
        <v>52</v>
      </c>
      <c r="F12" s="21" t="s">
        <v>24</v>
      </c>
      <c r="G12" s="21">
        <v>30</v>
      </c>
      <c r="H12" s="35">
        <v>43525.51</v>
      </c>
      <c r="I12" s="35">
        <v>43525.51</v>
      </c>
      <c r="J12" s="35">
        <f>CobrosPendientes3[[#This Row],[Importe]]-CobrosPendientes3[[#This Row],[Imp cobrado]]</f>
        <v>0</v>
      </c>
      <c r="K12" s="36">
        <v>46034</v>
      </c>
      <c r="L12" s="64" t="s">
        <v>22</v>
      </c>
      <c r="M12" s="13"/>
      <c r="N12" s="3"/>
      <c r="O12" s="12"/>
      <c r="P12" s="6"/>
      <c r="Q12" s="6"/>
      <c r="R12" s="15"/>
    </row>
    <row r="13" spans="1:18" ht="15.75">
      <c r="A13" s="21" t="s">
        <v>53</v>
      </c>
      <c r="B13" s="21"/>
      <c r="C13" s="20">
        <v>45936</v>
      </c>
      <c r="D13" s="21" t="s">
        <v>30</v>
      </c>
      <c r="E13" s="21" t="s">
        <v>52</v>
      </c>
      <c r="F13" s="21" t="s">
        <v>54</v>
      </c>
      <c r="G13" s="21">
        <v>35</v>
      </c>
      <c r="H13" s="35">
        <v>50779.76</v>
      </c>
      <c r="I13" s="35">
        <v>50779.76</v>
      </c>
      <c r="J13" s="35">
        <f>CobrosPendientes3[[#This Row],[Importe]]-CobrosPendientes3[[#This Row],[Imp cobrado]]</f>
        <v>0</v>
      </c>
      <c r="K13" s="36">
        <v>46057</v>
      </c>
      <c r="L13" s="64" t="s">
        <v>22</v>
      </c>
      <c r="M13" s="13"/>
      <c r="N13" s="3"/>
      <c r="O13" s="12"/>
      <c r="P13" s="6"/>
      <c r="Q13" s="6"/>
      <c r="R13" s="15"/>
    </row>
    <row r="14" spans="1:18" ht="15.75">
      <c r="A14" s="21" t="s">
        <v>55</v>
      </c>
      <c r="B14" s="21"/>
      <c r="C14" s="20">
        <v>45936</v>
      </c>
      <c r="D14" s="21" t="s">
        <v>30</v>
      </c>
      <c r="E14" s="21" t="s">
        <v>41</v>
      </c>
      <c r="F14" s="21" t="s">
        <v>24</v>
      </c>
      <c r="G14" s="21">
        <v>30</v>
      </c>
      <c r="H14" s="35">
        <v>43525.51</v>
      </c>
      <c r="I14" s="35">
        <v>43525.51</v>
      </c>
      <c r="J14" s="35">
        <f>CobrosPendientes3[[#This Row],[Importe]]-CobrosPendientes3[[#This Row],[Imp cobrado]]</f>
        <v>0</v>
      </c>
      <c r="K14" s="36">
        <v>46099</v>
      </c>
      <c r="L14" s="67" t="s">
        <v>22</v>
      </c>
      <c r="M14" s="12"/>
      <c r="N14" s="3"/>
      <c r="O14" s="12"/>
      <c r="P14" s="6"/>
      <c r="Q14" s="6"/>
      <c r="R14" s="15"/>
    </row>
    <row r="15" spans="1:18" ht="15.75">
      <c r="A15" s="21" t="s">
        <v>56</v>
      </c>
      <c r="B15" s="21"/>
      <c r="C15" s="20">
        <v>45936</v>
      </c>
      <c r="D15" s="21" t="s">
        <v>30</v>
      </c>
      <c r="E15" s="21" t="s">
        <v>41</v>
      </c>
      <c r="F15" s="21" t="s">
        <v>54</v>
      </c>
      <c r="G15" s="21">
        <v>35</v>
      </c>
      <c r="H15" s="35">
        <v>50779.76</v>
      </c>
      <c r="I15" s="35">
        <v>50779.76</v>
      </c>
      <c r="J15" s="35">
        <f>CobrosPendientes3[[#This Row],[Importe]]-CobrosPendientes3[[#This Row],[Imp cobrado]]</f>
        <v>0</v>
      </c>
      <c r="K15" s="36">
        <v>46099</v>
      </c>
      <c r="L15" s="67" t="s">
        <v>22</v>
      </c>
      <c r="M15" s="12"/>
      <c r="N15" s="3"/>
      <c r="O15" s="12"/>
      <c r="P15" s="6"/>
      <c r="Q15" s="6"/>
      <c r="R15" s="15"/>
    </row>
    <row r="16" spans="1:18" ht="15.75">
      <c r="A16" s="21" t="s">
        <v>57</v>
      </c>
      <c r="B16" s="21"/>
      <c r="C16" s="20">
        <v>45936</v>
      </c>
      <c r="D16" s="21" t="s">
        <v>30</v>
      </c>
      <c r="E16" s="21" t="s">
        <v>49</v>
      </c>
      <c r="F16" s="21" t="s">
        <v>58</v>
      </c>
      <c r="G16" s="21">
        <v>30</v>
      </c>
      <c r="H16" s="35">
        <v>44227.82</v>
      </c>
      <c r="I16" s="35">
        <v>44227.82</v>
      </c>
      <c r="J16" s="35">
        <f>CobrosPendientes3[[#This Row],[Importe]]-CobrosPendientes3[[#This Row],[Imp cobrado]]</f>
        <v>0</v>
      </c>
      <c r="K16" s="36">
        <v>46099</v>
      </c>
      <c r="L16" s="67" t="s">
        <v>22</v>
      </c>
      <c r="M16" s="12"/>
      <c r="N16" s="3"/>
      <c r="O16" s="12"/>
      <c r="P16" s="6"/>
      <c r="Q16" s="6"/>
      <c r="R16" s="15"/>
    </row>
    <row r="17" spans="1:18" ht="15.75">
      <c r="A17" s="21" t="s">
        <v>59</v>
      </c>
      <c r="B17" s="21"/>
      <c r="C17" s="20">
        <v>45936</v>
      </c>
      <c r="D17" s="21" t="s">
        <v>30</v>
      </c>
      <c r="E17" s="21" t="s">
        <v>49</v>
      </c>
      <c r="F17" s="21" t="s">
        <v>60</v>
      </c>
      <c r="G17" s="21">
        <v>35</v>
      </c>
      <c r="H17" s="35">
        <v>51599.12</v>
      </c>
      <c r="I17" s="35">
        <v>51599.12</v>
      </c>
      <c r="J17" s="35">
        <f>CobrosPendientes3[[#This Row],[Importe]]-CobrosPendientes3[[#This Row],[Imp cobrado]]</f>
        <v>0</v>
      </c>
      <c r="K17" s="36">
        <v>46099</v>
      </c>
      <c r="L17" s="67" t="s">
        <v>22</v>
      </c>
      <c r="M17" s="12"/>
      <c r="N17" s="3"/>
      <c r="O17" s="12"/>
      <c r="P17" s="6"/>
      <c r="Q17" s="6"/>
      <c r="R17" s="15"/>
    </row>
    <row r="18" spans="1:18" ht="15.75">
      <c r="A18" s="21" t="s">
        <v>61</v>
      </c>
      <c r="B18" s="21"/>
      <c r="C18" s="20">
        <v>45939</v>
      </c>
      <c r="D18" s="21" t="s">
        <v>30</v>
      </c>
      <c r="E18" s="21" t="s">
        <v>62</v>
      </c>
      <c r="F18" s="21" t="s">
        <v>63</v>
      </c>
      <c r="G18" s="21">
        <v>30</v>
      </c>
      <c r="H18" s="35">
        <v>19084.84</v>
      </c>
      <c r="I18" s="35">
        <v>19084.84</v>
      </c>
      <c r="J18" s="35">
        <f>CobrosPendientes3[[#This Row],[Importe]]-CobrosPendientes3[[#This Row],[Imp cobrado]]</f>
        <v>0</v>
      </c>
      <c r="K18" s="36">
        <v>46073</v>
      </c>
      <c r="L18" s="64" t="s">
        <v>22</v>
      </c>
      <c r="M18" s="12"/>
      <c r="N18" s="3"/>
      <c r="O18" s="12"/>
      <c r="P18" s="6"/>
      <c r="Q18" s="6"/>
      <c r="R18" s="60"/>
    </row>
    <row r="19" spans="1:18" ht="30.75">
      <c r="A19" s="21" t="s">
        <v>64</v>
      </c>
      <c r="B19" s="21"/>
      <c r="C19" s="20">
        <v>45944</v>
      </c>
      <c r="D19" s="21" t="s">
        <v>65</v>
      </c>
      <c r="E19" s="21" t="s">
        <v>66</v>
      </c>
      <c r="F19" s="21" t="s">
        <v>67</v>
      </c>
      <c r="G19" s="21">
        <v>30</v>
      </c>
      <c r="H19" s="46">
        <v>51117.72</v>
      </c>
      <c r="I19" s="46">
        <v>51117.72</v>
      </c>
      <c r="J19" s="46">
        <f>CobrosPendientes3[[#This Row],[Importe]]-CobrosPendientes3[[#This Row],[Imp cobrado]]</f>
        <v>0</v>
      </c>
      <c r="K19" s="47">
        <v>45996</v>
      </c>
      <c r="L19" s="65" t="s">
        <v>22</v>
      </c>
      <c r="M19" s="56"/>
      <c r="N19" s="27" t="s">
        <v>68</v>
      </c>
      <c r="O19" s="71"/>
      <c r="P19" s="6"/>
      <c r="Q19" s="6"/>
      <c r="R19" s="60"/>
    </row>
    <row r="20" spans="1:18" ht="15.75">
      <c r="A20" s="21" t="s">
        <v>69</v>
      </c>
      <c r="B20" s="21"/>
      <c r="C20" s="20">
        <v>45951</v>
      </c>
      <c r="D20" s="21" t="s">
        <v>65</v>
      </c>
      <c r="E20" s="21" t="s">
        <v>66</v>
      </c>
      <c r="F20" s="21" t="s">
        <v>21</v>
      </c>
      <c r="G20" s="21">
        <v>50</v>
      </c>
      <c r="H20" s="35">
        <v>85196.21</v>
      </c>
      <c r="I20" s="35">
        <v>85196.21</v>
      </c>
      <c r="J20" s="35">
        <f>CobrosPendientes3[[#This Row],[Importe]]-CobrosPendientes3[[#This Row],[Imp cobrado]]</f>
        <v>0</v>
      </c>
      <c r="K20" s="36">
        <v>46072</v>
      </c>
      <c r="L20" s="64" t="s">
        <v>22</v>
      </c>
      <c r="M20" s="12"/>
      <c r="N20" s="3" t="s">
        <v>70</v>
      </c>
      <c r="O20" s="12"/>
      <c r="P20" s="6"/>
      <c r="Q20" s="6"/>
      <c r="R20" s="60"/>
    </row>
    <row r="21" spans="1:18" ht="15.75">
      <c r="A21" s="21" t="s">
        <v>71</v>
      </c>
      <c r="B21" s="21"/>
      <c r="C21" s="20">
        <v>45966</v>
      </c>
      <c r="D21" s="21" t="s">
        <v>43</v>
      </c>
      <c r="E21" s="21" t="s">
        <v>72</v>
      </c>
      <c r="F21" s="21" t="s">
        <v>45</v>
      </c>
      <c r="G21" s="21">
        <v>70</v>
      </c>
      <c r="H21" s="7">
        <v>54353.04</v>
      </c>
      <c r="I21" s="7"/>
      <c r="J21" s="7">
        <f>CobrosPendientes3[[#This Row],[Importe]]-CobrosPendientes3[[#This Row],[Imp cobrado]]</f>
        <v>54353.04</v>
      </c>
      <c r="K21" s="19"/>
      <c r="L21" s="12"/>
      <c r="M21" s="12"/>
      <c r="N21" s="3"/>
      <c r="O21" s="12"/>
      <c r="P21" s="6"/>
      <c r="Q21" s="6"/>
      <c r="R21" s="60"/>
    </row>
    <row r="22" spans="1:18" ht="15.75">
      <c r="A22" s="21" t="s">
        <v>73</v>
      </c>
      <c r="B22" s="21"/>
      <c r="C22" s="20">
        <v>45966</v>
      </c>
      <c r="D22" s="21" t="s">
        <v>43</v>
      </c>
      <c r="E22" s="21" t="s">
        <v>74</v>
      </c>
      <c r="F22" s="21" t="s">
        <v>45</v>
      </c>
      <c r="G22" s="21">
        <v>70</v>
      </c>
      <c r="H22" s="7">
        <v>46656.87</v>
      </c>
      <c r="I22" s="7"/>
      <c r="J22" s="7">
        <f>CobrosPendientes3[[#This Row],[Importe]]-CobrosPendientes3[[#This Row],[Imp cobrado]]</f>
        <v>46656.87</v>
      </c>
      <c r="K22" s="19"/>
      <c r="L22" s="12"/>
      <c r="M22" s="12"/>
      <c r="N22" s="3"/>
      <c r="O22" s="12"/>
      <c r="P22" s="6"/>
      <c r="Q22" s="6"/>
      <c r="R22" s="60"/>
    </row>
    <row r="23" spans="1:18" ht="15.75">
      <c r="A23" s="21" t="s">
        <v>75</v>
      </c>
      <c r="B23" s="21"/>
      <c r="C23" s="20">
        <v>45972</v>
      </c>
      <c r="D23" s="21" t="s">
        <v>34</v>
      </c>
      <c r="E23" s="21" t="s">
        <v>76</v>
      </c>
      <c r="F23" s="21" t="s">
        <v>77</v>
      </c>
      <c r="G23" s="21">
        <v>100</v>
      </c>
      <c r="H23" s="7">
        <v>100</v>
      </c>
      <c r="I23" s="7"/>
      <c r="J23" s="7">
        <f>CobrosPendientes3[[#This Row],[Importe]]-CobrosPendientes3[[#This Row],[Imp cobrado]]</f>
        <v>100</v>
      </c>
      <c r="K23" s="19"/>
      <c r="L23" s="12"/>
      <c r="M23" s="12"/>
      <c r="N23" s="3" t="s">
        <v>78</v>
      </c>
      <c r="O23" s="12"/>
      <c r="P23" s="6"/>
      <c r="Q23" s="6"/>
      <c r="R23" s="60"/>
    </row>
    <row r="24" spans="1:18" ht="15.75">
      <c r="A24" s="21" t="s">
        <v>79</v>
      </c>
      <c r="B24" s="21"/>
      <c r="C24" s="20">
        <v>45979</v>
      </c>
      <c r="D24" s="21" t="s">
        <v>80</v>
      </c>
      <c r="E24" s="21" t="s">
        <v>81</v>
      </c>
      <c r="F24" s="21" t="s">
        <v>82</v>
      </c>
      <c r="G24" s="21">
        <v>50</v>
      </c>
      <c r="H24" s="35">
        <v>197331.92</v>
      </c>
      <c r="I24" s="35">
        <v>197331.92</v>
      </c>
      <c r="J24" s="35">
        <f>CobrosPendientes3[[#This Row],[Importe]]-CobrosPendientes3[[#This Row],[Imp cobrado]]</f>
        <v>0</v>
      </c>
      <c r="K24" s="36">
        <v>46041</v>
      </c>
      <c r="L24" s="64" t="s">
        <v>22</v>
      </c>
      <c r="M24" s="13"/>
      <c r="N24" s="3"/>
      <c r="O24" s="12"/>
      <c r="P24" s="6"/>
      <c r="Q24" s="6"/>
      <c r="R24" s="60"/>
    </row>
    <row r="25" spans="1:18" ht="15.75">
      <c r="A25" s="21" t="s">
        <v>83</v>
      </c>
      <c r="B25" s="21"/>
      <c r="C25" s="20">
        <v>45980</v>
      </c>
      <c r="D25" s="21" t="s">
        <v>84</v>
      </c>
      <c r="E25" s="21" t="s">
        <v>85</v>
      </c>
      <c r="F25" s="21" t="s">
        <v>21</v>
      </c>
      <c r="G25" s="21">
        <v>50</v>
      </c>
      <c r="H25" s="35">
        <v>147481.20000000001</v>
      </c>
      <c r="I25" s="35">
        <v>147481.20000000001</v>
      </c>
      <c r="J25" s="35">
        <f>CobrosPendientes3[[#This Row],[Importe]]-CobrosPendientes3[[#This Row],[Imp cobrado]]</f>
        <v>0</v>
      </c>
      <c r="K25" s="36">
        <v>46056</v>
      </c>
      <c r="L25" s="64" t="s">
        <v>22</v>
      </c>
      <c r="M25" s="13"/>
      <c r="N25" s="3"/>
      <c r="O25" s="12"/>
      <c r="P25" s="6"/>
      <c r="Q25" s="6"/>
      <c r="R25" s="60"/>
    </row>
    <row r="26" spans="1:18" ht="15.75">
      <c r="A26" s="21" t="s">
        <v>86</v>
      </c>
      <c r="B26" s="21"/>
      <c r="C26" s="20">
        <v>45987</v>
      </c>
      <c r="D26" s="21" t="s">
        <v>87</v>
      </c>
      <c r="E26" s="21" t="s">
        <v>88</v>
      </c>
      <c r="F26" s="21" t="s">
        <v>24</v>
      </c>
      <c r="G26" s="21">
        <v>20</v>
      </c>
      <c r="H26" s="35">
        <v>90436.24</v>
      </c>
      <c r="I26" s="35">
        <v>90436.24</v>
      </c>
      <c r="J26" s="35">
        <f>CobrosPendientes3[[#This Row],[Importe]]-CobrosPendientes3[[#This Row],[Imp cobrado]]</f>
        <v>0</v>
      </c>
      <c r="K26" s="36">
        <v>46066</v>
      </c>
      <c r="L26" s="64" t="s">
        <v>22</v>
      </c>
      <c r="M26" s="12"/>
      <c r="N26" s="3"/>
      <c r="O26" s="12"/>
      <c r="P26" s="6"/>
      <c r="Q26" s="6"/>
      <c r="R26" s="60"/>
    </row>
    <row r="27" spans="1:18" ht="15.75">
      <c r="A27" s="21" t="s">
        <v>89</v>
      </c>
      <c r="B27" s="21"/>
      <c r="C27" s="20">
        <v>45989</v>
      </c>
      <c r="D27" s="21" t="s">
        <v>90</v>
      </c>
      <c r="E27" s="21" t="s">
        <v>91</v>
      </c>
      <c r="F27" s="21" t="s">
        <v>67</v>
      </c>
      <c r="G27" s="21">
        <v>20</v>
      </c>
      <c r="H27" s="35">
        <v>67820.2</v>
      </c>
      <c r="I27" s="35">
        <v>67820.2</v>
      </c>
      <c r="J27" s="35">
        <f>CobrosPendientes3[[#This Row],[Importe]]-CobrosPendientes3[[#This Row],[Imp cobrado]]</f>
        <v>0</v>
      </c>
      <c r="K27" s="36">
        <v>46043</v>
      </c>
      <c r="L27" s="64" t="s">
        <v>22</v>
      </c>
      <c r="M27" s="13"/>
      <c r="N27" s="3" t="s">
        <v>92</v>
      </c>
      <c r="O27" s="12"/>
      <c r="P27" s="6"/>
      <c r="Q27" s="6"/>
      <c r="R27" s="15"/>
    </row>
    <row r="28" spans="1:18" ht="15.75">
      <c r="A28" s="21" t="s">
        <v>93</v>
      </c>
      <c r="B28" s="21"/>
      <c r="C28" s="20">
        <v>45989</v>
      </c>
      <c r="D28" s="21" t="s">
        <v>65</v>
      </c>
      <c r="E28" s="21" t="s">
        <v>66</v>
      </c>
      <c r="F28" s="21" t="s">
        <v>24</v>
      </c>
      <c r="G28" s="21">
        <v>20</v>
      </c>
      <c r="H28" s="35">
        <v>34078.480000000003</v>
      </c>
      <c r="I28" s="35">
        <v>34078.480000000003</v>
      </c>
      <c r="J28" s="35">
        <f>CobrosPendientes3[[#This Row],[Importe]]-CobrosPendientes3[[#This Row],[Imp cobrado]]</f>
        <v>0</v>
      </c>
      <c r="K28" s="36">
        <v>46072</v>
      </c>
      <c r="L28" s="64" t="s">
        <v>22</v>
      </c>
      <c r="M28" s="12"/>
      <c r="N28" s="3"/>
      <c r="O28" s="12"/>
      <c r="P28" s="6"/>
      <c r="Q28" s="6"/>
      <c r="R28" s="15"/>
    </row>
    <row r="29" spans="1:18" ht="15.75">
      <c r="A29" s="21" t="s">
        <v>94</v>
      </c>
      <c r="B29" s="21"/>
      <c r="C29" s="20">
        <v>45989</v>
      </c>
      <c r="D29" s="21" t="s">
        <v>65</v>
      </c>
      <c r="E29" s="21" t="s">
        <v>66</v>
      </c>
      <c r="F29" s="21" t="s">
        <v>95</v>
      </c>
      <c r="G29" s="21">
        <v>100</v>
      </c>
      <c r="H29" s="35">
        <v>19664.63</v>
      </c>
      <c r="I29" s="35">
        <v>19664.63</v>
      </c>
      <c r="J29" s="35">
        <f>CobrosPendientes3[[#This Row],[Importe]]-CobrosPendientes3[[#This Row],[Imp cobrado]]</f>
        <v>0</v>
      </c>
      <c r="K29" s="36">
        <v>46080</v>
      </c>
      <c r="L29" s="67" t="s">
        <v>22</v>
      </c>
      <c r="M29" s="12"/>
      <c r="N29" s="3"/>
      <c r="O29" s="12"/>
      <c r="P29" s="6"/>
      <c r="Q29" s="6"/>
      <c r="R29" s="15"/>
    </row>
    <row r="30" spans="1:18" ht="15.75">
      <c r="A30" s="21" t="s">
        <v>96</v>
      </c>
      <c r="B30" s="21"/>
      <c r="C30" s="20">
        <v>45996</v>
      </c>
      <c r="D30" s="21" t="s">
        <v>97</v>
      </c>
      <c r="E30" s="21" t="s">
        <v>98</v>
      </c>
      <c r="F30" s="21" t="s">
        <v>21</v>
      </c>
      <c r="G30" s="21">
        <v>45</v>
      </c>
      <c r="H30" s="35">
        <v>225454.59</v>
      </c>
      <c r="I30" s="35">
        <v>225454.59</v>
      </c>
      <c r="J30" s="35">
        <f>CobrosPendientes3[[#This Row],[Importe]]-CobrosPendientes3[[#This Row],[Imp cobrado]]</f>
        <v>0</v>
      </c>
      <c r="K30" s="36">
        <v>46042</v>
      </c>
      <c r="L30" s="64" t="s">
        <v>22</v>
      </c>
      <c r="M30" s="13"/>
      <c r="N30" s="3"/>
      <c r="O30" s="12"/>
      <c r="P30" s="6"/>
      <c r="Q30" s="6"/>
      <c r="R30" s="15"/>
    </row>
    <row r="31" spans="1:18" ht="15.75">
      <c r="A31" s="21" t="s">
        <v>99</v>
      </c>
      <c r="B31" s="21"/>
      <c r="C31" s="20">
        <v>45996</v>
      </c>
      <c r="D31" s="21" t="s">
        <v>97</v>
      </c>
      <c r="E31" s="21" t="s">
        <v>100</v>
      </c>
      <c r="F31" s="21" t="s">
        <v>21</v>
      </c>
      <c r="G31" s="21">
        <v>45</v>
      </c>
      <c r="H31" s="35">
        <v>466808.95</v>
      </c>
      <c r="I31" s="35">
        <v>466808.95</v>
      </c>
      <c r="J31" s="35">
        <f>CobrosPendientes3[[#This Row],[Importe]]-CobrosPendientes3[[#This Row],[Imp cobrado]]</f>
        <v>0</v>
      </c>
      <c r="K31" s="36">
        <v>46049</v>
      </c>
      <c r="L31" s="64" t="s">
        <v>22</v>
      </c>
      <c r="M31" s="13"/>
      <c r="N31" s="3"/>
      <c r="O31" s="12"/>
      <c r="P31" s="6"/>
      <c r="Q31" s="6"/>
      <c r="R31" s="15"/>
    </row>
    <row r="32" spans="1:18" ht="15.75">
      <c r="A32" s="21" t="s">
        <v>101</v>
      </c>
      <c r="B32" s="21"/>
      <c r="C32" s="20">
        <v>46001</v>
      </c>
      <c r="D32" s="21" t="s">
        <v>34</v>
      </c>
      <c r="E32" s="21" t="s">
        <v>102</v>
      </c>
      <c r="F32" s="21" t="s">
        <v>103</v>
      </c>
      <c r="G32" s="21">
        <v>100</v>
      </c>
      <c r="H32" s="35">
        <v>436</v>
      </c>
      <c r="I32" s="35">
        <v>436</v>
      </c>
      <c r="J32" s="35">
        <f>CobrosPendientes3[[#This Row],[Importe]]-CobrosPendientes3[[#This Row],[Imp cobrado]]</f>
        <v>0</v>
      </c>
      <c r="K32" s="36">
        <v>46111</v>
      </c>
      <c r="L32" s="67" t="s">
        <v>22</v>
      </c>
      <c r="M32" s="12"/>
      <c r="N32" s="3" t="s">
        <v>104</v>
      </c>
      <c r="O32" s="12"/>
      <c r="P32" s="6"/>
      <c r="Q32" s="6"/>
      <c r="R32" s="15"/>
    </row>
    <row r="33" spans="1:18" ht="15.75">
      <c r="A33" s="21" t="s">
        <v>105</v>
      </c>
      <c r="B33" s="21"/>
      <c r="C33" s="20">
        <v>46003</v>
      </c>
      <c r="D33" s="21" t="s">
        <v>106</v>
      </c>
      <c r="E33" s="21" t="s">
        <v>107</v>
      </c>
      <c r="F33" s="21" t="s">
        <v>108</v>
      </c>
      <c r="G33" s="21">
        <v>5</v>
      </c>
      <c r="H33" s="7">
        <v>33601.06</v>
      </c>
      <c r="I33" s="7"/>
      <c r="J33" s="7">
        <f>CobrosPendientes3[[#This Row],[Importe]]-CobrosPendientes3[[#This Row],[Imp cobrado]]</f>
        <v>33601.06</v>
      </c>
      <c r="K33" s="23"/>
      <c r="L33" s="13"/>
      <c r="M33" s="13"/>
      <c r="N33" s="23" t="s">
        <v>109</v>
      </c>
      <c r="O33" s="13"/>
      <c r="P33" s="6"/>
      <c r="Q33" s="6"/>
      <c r="R33" s="15"/>
    </row>
    <row r="34" spans="1:18" ht="15.75">
      <c r="A34" s="21" t="s">
        <v>110</v>
      </c>
      <c r="B34" s="21"/>
      <c r="C34" s="20">
        <v>46003</v>
      </c>
      <c r="D34" s="21" t="s">
        <v>111</v>
      </c>
      <c r="E34" s="21" t="s">
        <v>112</v>
      </c>
      <c r="F34" s="21" t="s">
        <v>113</v>
      </c>
      <c r="G34" s="21">
        <v>50</v>
      </c>
      <c r="H34" s="35">
        <v>96842.17</v>
      </c>
      <c r="I34" s="35">
        <v>96842.17</v>
      </c>
      <c r="J34" s="35">
        <f>CobrosPendientes3[[#This Row],[Importe]]-CobrosPendientes3[[#This Row],[Imp cobrado]]</f>
        <v>0</v>
      </c>
      <c r="K34" s="36">
        <v>46080</v>
      </c>
      <c r="L34" s="67" t="s">
        <v>22</v>
      </c>
      <c r="M34" s="12"/>
      <c r="N34" s="19" t="s">
        <v>114</v>
      </c>
      <c r="O34" s="12"/>
      <c r="P34" s="6"/>
      <c r="Q34" s="6"/>
      <c r="R34" s="15"/>
    </row>
    <row r="35" spans="1:18" ht="15.75">
      <c r="A35" s="21" t="s">
        <v>115</v>
      </c>
      <c r="B35" s="21"/>
      <c r="C35" s="20">
        <v>46003</v>
      </c>
      <c r="D35" s="21" t="s">
        <v>111</v>
      </c>
      <c r="E35" s="21" t="s">
        <v>112</v>
      </c>
      <c r="F35" s="21" t="s">
        <v>116</v>
      </c>
      <c r="G35" s="21">
        <v>20</v>
      </c>
      <c r="H35" s="35">
        <v>38736.870000000003</v>
      </c>
      <c r="I35" s="35">
        <v>38736.870000000003</v>
      </c>
      <c r="J35" s="35">
        <f>CobrosPendientes3[[#This Row],[Importe]]-CobrosPendientes3[[#This Row],[Imp cobrado]]</f>
        <v>0</v>
      </c>
      <c r="K35" s="36">
        <v>46080</v>
      </c>
      <c r="L35" s="67" t="s">
        <v>22</v>
      </c>
      <c r="M35" s="12"/>
      <c r="N35" s="19" t="s">
        <v>114</v>
      </c>
      <c r="O35" s="12"/>
      <c r="P35" s="6"/>
      <c r="Q35" s="6"/>
      <c r="R35" s="15"/>
    </row>
    <row r="36" spans="1:18" ht="15.75">
      <c r="A36" s="21" t="s">
        <v>117</v>
      </c>
      <c r="B36" s="21"/>
      <c r="C36" s="20">
        <v>46003</v>
      </c>
      <c r="D36" s="21" t="s">
        <v>111</v>
      </c>
      <c r="E36" s="21" t="s">
        <v>118</v>
      </c>
      <c r="F36" s="21" t="s">
        <v>113</v>
      </c>
      <c r="G36" s="21">
        <v>50</v>
      </c>
      <c r="H36" s="35">
        <v>100063.52</v>
      </c>
      <c r="I36" s="35">
        <v>100063.52</v>
      </c>
      <c r="J36" s="35">
        <f>CobrosPendientes3[[#This Row],[Importe]]-CobrosPendientes3[[#This Row],[Imp cobrado]]</f>
        <v>0</v>
      </c>
      <c r="K36" s="36">
        <v>46133</v>
      </c>
      <c r="L36" s="67" t="s">
        <v>22</v>
      </c>
      <c r="M36" s="12"/>
      <c r="N36" s="3"/>
      <c r="O36" s="12"/>
      <c r="P36" s="6"/>
      <c r="Q36" s="6"/>
      <c r="R36" s="15"/>
    </row>
    <row r="37" spans="1:18" ht="15.75">
      <c r="A37" s="21" t="s">
        <v>119</v>
      </c>
      <c r="B37" s="21"/>
      <c r="C37" s="20">
        <v>46003</v>
      </c>
      <c r="D37" s="21" t="s">
        <v>111</v>
      </c>
      <c r="E37" s="21" t="s">
        <v>118</v>
      </c>
      <c r="F37" s="21" t="s">
        <v>116</v>
      </c>
      <c r="G37" s="21">
        <v>20</v>
      </c>
      <c r="H37" s="35">
        <v>40025.410000000003</v>
      </c>
      <c r="I37" s="35">
        <v>40025.410000000003</v>
      </c>
      <c r="J37" s="35">
        <f>CobrosPendientes3[[#This Row],[Importe]]-CobrosPendientes3[[#This Row],[Imp cobrado]]</f>
        <v>0</v>
      </c>
      <c r="K37" s="36">
        <v>46133</v>
      </c>
      <c r="L37" s="67" t="s">
        <v>22</v>
      </c>
      <c r="M37" s="12"/>
      <c r="N37" s="3"/>
      <c r="O37" s="12"/>
      <c r="P37" s="6"/>
      <c r="Q37" s="6"/>
      <c r="R37" s="15"/>
    </row>
    <row r="38" spans="1:18" ht="15.75">
      <c r="A38" s="21" t="s">
        <v>120</v>
      </c>
      <c r="B38" s="21"/>
      <c r="C38" s="20">
        <v>46003</v>
      </c>
      <c r="D38" s="21" t="s">
        <v>111</v>
      </c>
      <c r="E38" s="21" t="s">
        <v>121</v>
      </c>
      <c r="F38" s="21" t="s">
        <v>113</v>
      </c>
      <c r="G38" s="21">
        <v>50</v>
      </c>
      <c r="H38" s="35">
        <v>69968.160000000003</v>
      </c>
      <c r="I38" s="35">
        <v>69968.160000000003</v>
      </c>
      <c r="J38" s="35">
        <f>CobrosPendientes3[[#This Row],[Importe]]-CobrosPendientes3[[#This Row],[Imp cobrado]]</f>
        <v>0</v>
      </c>
      <c r="K38" s="36">
        <v>46080</v>
      </c>
      <c r="L38" s="67" t="s">
        <v>22</v>
      </c>
      <c r="M38" s="12"/>
      <c r="N38" s="3"/>
      <c r="O38" s="12"/>
      <c r="P38" s="6"/>
      <c r="Q38" s="6"/>
      <c r="R38" s="15"/>
    </row>
    <row r="39" spans="1:18" ht="15.75">
      <c r="A39" s="21" t="s">
        <v>122</v>
      </c>
      <c r="B39" s="21"/>
      <c r="C39" s="20">
        <v>46003</v>
      </c>
      <c r="D39" s="21" t="s">
        <v>111</v>
      </c>
      <c r="E39" s="21" t="s">
        <v>121</v>
      </c>
      <c r="F39" s="21" t="s">
        <v>116</v>
      </c>
      <c r="G39" s="21">
        <v>20</v>
      </c>
      <c r="H39" s="35">
        <v>27987.26</v>
      </c>
      <c r="I39" s="35">
        <v>27987.26</v>
      </c>
      <c r="J39" s="35">
        <f>CobrosPendientes3[[#This Row],[Importe]]-CobrosPendientes3[[#This Row],[Imp cobrado]]</f>
        <v>0</v>
      </c>
      <c r="K39" s="36">
        <v>46080</v>
      </c>
      <c r="L39" s="67" t="s">
        <v>22</v>
      </c>
      <c r="M39" s="12"/>
      <c r="N39" s="3"/>
      <c r="O39" s="12"/>
      <c r="P39" s="6"/>
      <c r="Q39" s="6"/>
      <c r="R39" s="15"/>
    </row>
    <row r="40" spans="1:18" ht="15.75">
      <c r="A40" s="21" t="s">
        <v>123</v>
      </c>
      <c r="B40" s="21"/>
      <c r="C40" s="20">
        <v>46003</v>
      </c>
      <c r="D40" s="21" t="s">
        <v>111</v>
      </c>
      <c r="E40" s="21" t="s">
        <v>124</v>
      </c>
      <c r="F40" s="21" t="s">
        <v>113</v>
      </c>
      <c r="G40" s="21">
        <v>50</v>
      </c>
      <c r="H40" s="35">
        <v>98565.21</v>
      </c>
      <c r="I40" s="35">
        <v>98565.21</v>
      </c>
      <c r="J40" s="35">
        <f>CobrosPendientes3[[#This Row],[Importe]]-CobrosPendientes3[[#This Row],[Imp cobrado]]</f>
        <v>0</v>
      </c>
      <c r="K40" s="36">
        <v>46133</v>
      </c>
      <c r="L40" s="67" t="s">
        <v>22</v>
      </c>
      <c r="M40" s="12"/>
      <c r="N40" s="3"/>
      <c r="O40" s="12"/>
      <c r="P40" s="6"/>
      <c r="Q40" s="6"/>
      <c r="R40" s="15"/>
    </row>
    <row r="41" spans="1:18" ht="15.75">
      <c r="A41" s="21" t="s">
        <v>125</v>
      </c>
      <c r="B41" s="21"/>
      <c r="C41" s="20">
        <v>46003</v>
      </c>
      <c r="D41" s="21" t="s">
        <v>111</v>
      </c>
      <c r="E41" s="21" t="s">
        <v>124</v>
      </c>
      <c r="F41" s="21" t="s">
        <v>116</v>
      </c>
      <c r="G41" s="21">
        <v>20</v>
      </c>
      <c r="H41" s="35">
        <v>39426.080000000002</v>
      </c>
      <c r="I41" s="35">
        <v>39426.080000000002</v>
      </c>
      <c r="J41" s="35">
        <f>CobrosPendientes3[[#This Row],[Importe]]-CobrosPendientes3[[#This Row],[Imp cobrado]]</f>
        <v>0</v>
      </c>
      <c r="K41" s="36">
        <v>46133</v>
      </c>
      <c r="L41" s="67" t="s">
        <v>22</v>
      </c>
      <c r="M41" s="12"/>
      <c r="N41" s="3"/>
      <c r="O41" s="12"/>
      <c r="P41" s="6"/>
      <c r="Q41" s="6"/>
      <c r="R41" s="15"/>
    </row>
    <row r="42" spans="1:18" ht="15.75">
      <c r="A42" s="21" t="s">
        <v>126</v>
      </c>
      <c r="B42" s="21"/>
      <c r="C42" s="20">
        <v>46003</v>
      </c>
      <c r="D42" s="21" t="s">
        <v>30</v>
      </c>
      <c r="E42" s="21" t="s">
        <v>39</v>
      </c>
      <c r="F42" s="21" t="s">
        <v>127</v>
      </c>
      <c r="G42" s="22">
        <v>5</v>
      </c>
      <c r="H42" s="35">
        <v>7254.25</v>
      </c>
      <c r="I42" s="35">
        <v>7254.25</v>
      </c>
      <c r="J42" s="35">
        <f>CobrosPendientes3[[#This Row],[Importe]]-CobrosPendientes3[[#This Row],[Imp cobrado]]</f>
        <v>0</v>
      </c>
      <c r="K42" s="36">
        <v>46057</v>
      </c>
      <c r="L42" s="64" t="s">
        <v>22</v>
      </c>
      <c r="M42" s="13"/>
      <c r="N42" s="3"/>
      <c r="O42" s="12"/>
      <c r="P42" s="6"/>
      <c r="Q42" s="6"/>
      <c r="R42" s="15"/>
    </row>
    <row r="43" spans="1:18" ht="15.75">
      <c r="A43" s="21" t="s">
        <v>128</v>
      </c>
      <c r="B43" s="21"/>
      <c r="C43" s="20">
        <v>46003</v>
      </c>
      <c r="D43" s="21" t="s">
        <v>30</v>
      </c>
      <c r="E43" s="21" t="s">
        <v>41</v>
      </c>
      <c r="F43" s="21" t="s">
        <v>127</v>
      </c>
      <c r="G43" s="22">
        <v>5</v>
      </c>
      <c r="H43" s="35">
        <v>7254.25</v>
      </c>
      <c r="I43" s="35">
        <v>7254.25</v>
      </c>
      <c r="J43" s="35">
        <f>CobrosPendientes3[[#This Row],[Importe]]-CobrosPendientes3[[#This Row],[Imp cobrado]]</f>
        <v>0</v>
      </c>
      <c r="K43" s="36">
        <v>46099</v>
      </c>
      <c r="L43" s="67" t="s">
        <v>22</v>
      </c>
      <c r="M43" s="12"/>
      <c r="N43" s="3"/>
      <c r="O43" s="12"/>
      <c r="P43" s="6"/>
      <c r="Q43" s="6"/>
      <c r="R43" s="15"/>
    </row>
    <row r="44" spans="1:18" ht="15.75">
      <c r="A44" s="21" t="s">
        <v>129</v>
      </c>
      <c r="B44" s="21"/>
      <c r="C44" s="20">
        <v>46003</v>
      </c>
      <c r="D44" s="21" t="s">
        <v>30</v>
      </c>
      <c r="E44" s="21" t="s">
        <v>49</v>
      </c>
      <c r="F44" s="21" t="s">
        <v>130</v>
      </c>
      <c r="G44" s="22">
        <v>5</v>
      </c>
      <c r="H44" s="35">
        <v>7371.31</v>
      </c>
      <c r="I44" s="35">
        <v>7371.31</v>
      </c>
      <c r="J44" s="35">
        <f>CobrosPendientes3[[#This Row],[Importe]]-CobrosPendientes3[[#This Row],[Imp cobrado]]</f>
        <v>0</v>
      </c>
      <c r="K44" s="36">
        <v>46099</v>
      </c>
      <c r="L44" s="67" t="s">
        <v>22</v>
      </c>
      <c r="M44" s="12"/>
      <c r="N44" s="3"/>
      <c r="O44" s="12"/>
      <c r="P44" s="6"/>
      <c r="Q44" s="6"/>
      <c r="R44" s="15"/>
    </row>
    <row r="45" spans="1:18" ht="15.75">
      <c r="A45" s="21" t="s">
        <v>131</v>
      </c>
      <c r="B45" s="21"/>
      <c r="C45" s="20">
        <v>46003</v>
      </c>
      <c r="D45" s="21" t="s">
        <v>30</v>
      </c>
      <c r="E45" s="21" t="s">
        <v>62</v>
      </c>
      <c r="F45" s="21" t="s">
        <v>45</v>
      </c>
      <c r="G45" s="21">
        <v>70</v>
      </c>
      <c r="H45" s="35">
        <v>44531.28</v>
      </c>
      <c r="I45" s="35">
        <v>44531.28</v>
      </c>
      <c r="J45" s="35">
        <f>CobrosPendientes3[[#This Row],[Importe]]-CobrosPendientes3[[#This Row],[Imp cobrado]]</f>
        <v>0</v>
      </c>
      <c r="K45" s="36">
        <v>46034</v>
      </c>
      <c r="L45" s="64" t="s">
        <v>22</v>
      </c>
      <c r="M45" s="13"/>
      <c r="N45" s="3"/>
      <c r="O45" s="12"/>
      <c r="P45" s="6"/>
      <c r="Q45" s="6"/>
      <c r="R45" s="15"/>
    </row>
    <row r="46" spans="1:18" ht="15.75">
      <c r="A46" s="21" t="s">
        <v>132</v>
      </c>
      <c r="B46" s="21"/>
      <c r="C46" s="20">
        <v>46003</v>
      </c>
      <c r="D46" s="21" t="s">
        <v>133</v>
      </c>
      <c r="E46" s="21" t="s">
        <v>134</v>
      </c>
      <c r="F46" s="21" t="s">
        <v>21</v>
      </c>
      <c r="G46" s="21">
        <v>35</v>
      </c>
      <c r="H46" s="35">
        <v>42401.1</v>
      </c>
      <c r="I46" s="35">
        <v>42401.1</v>
      </c>
      <c r="J46" s="35">
        <f>CobrosPendientes3[[#This Row],[Importe]]-CobrosPendientes3[[#This Row],[Imp cobrado]]</f>
        <v>0</v>
      </c>
      <c r="K46" s="36">
        <v>46034</v>
      </c>
      <c r="L46" s="64" t="s">
        <v>22</v>
      </c>
      <c r="M46" s="13"/>
      <c r="N46" s="3"/>
      <c r="O46" s="12"/>
      <c r="P46" s="6"/>
      <c r="Q46" s="6"/>
      <c r="R46" s="15"/>
    </row>
    <row r="47" spans="1:18" ht="15.75">
      <c r="A47" s="21" t="s">
        <v>135</v>
      </c>
      <c r="B47" s="21"/>
      <c r="C47" s="20">
        <v>46003</v>
      </c>
      <c r="D47" s="21" t="s">
        <v>133</v>
      </c>
      <c r="E47" s="21" t="s">
        <v>136</v>
      </c>
      <c r="F47" s="21" t="s">
        <v>21</v>
      </c>
      <c r="G47" s="21">
        <v>35</v>
      </c>
      <c r="H47" s="35">
        <v>42000.85</v>
      </c>
      <c r="I47" s="35">
        <v>42000.85</v>
      </c>
      <c r="J47" s="35">
        <f>CobrosPendientes3[[#This Row],[Importe]]-CobrosPendientes3[[#This Row],[Imp cobrado]]</f>
        <v>0</v>
      </c>
      <c r="K47" s="36">
        <v>46034</v>
      </c>
      <c r="L47" s="64" t="s">
        <v>22</v>
      </c>
      <c r="M47" s="13"/>
      <c r="N47" s="3"/>
      <c r="O47" s="12"/>
      <c r="P47" s="6"/>
      <c r="Q47" s="6"/>
      <c r="R47" s="15"/>
    </row>
    <row r="48" spans="1:18" ht="15.75">
      <c r="A48" s="21" t="s">
        <v>137</v>
      </c>
      <c r="B48" s="21"/>
      <c r="C48" s="20">
        <v>46003</v>
      </c>
      <c r="D48" s="21" t="s">
        <v>133</v>
      </c>
      <c r="E48" s="21" t="s">
        <v>138</v>
      </c>
      <c r="F48" s="21" t="s">
        <v>21</v>
      </c>
      <c r="G48" s="21">
        <v>35</v>
      </c>
      <c r="H48" s="35">
        <v>42333.71</v>
      </c>
      <c r="I48" s="35">
        <v>42333.71</v>
      </c>
      <c r="J48" s="35">
        <f>CobrosPendientes3[[#This Row],[Importe]]-CobrosPendientes3[[#This Row],[Imp cobrado]]</f>
        <v>0</v>
      </c>
      <c r="K48" s="36">
        <v>46034</v>
      </c>
      <c r="L48" s="64" t="s">
        <v>22</v>
      </c>
      <c r="M48" s="13"/>
      <c r="N48" s="3"/>
      <c r="O48" s="12"/>
      <c r="P48" s="11"/>
      <c r="Q48" s="6"/>
      <c r="R48" s="15"/>
    </row>
    <row r="49" spans="1:18" ht="15.75">
      <c r="A49" s="21" t="s">
        <v>139</v>
      </c>
      <c r="B49" s="21"/>
      <c r="C49" s="20">
        <v>46003</v>
      </c>
      <c r="D49" s="21" t="s">
        <v>133</v>
      </c>
      <c r="E49" s="21" t="s">
        <v>140</v>
      </c>
      <c r="F49" s="21" t="s">
        <v>21</v>
      </c>
      <c r="G49" s="21">
        <v>35</v>
      </c>
      <c r="H49" s="35">
        <v>42524.61</v>
      </c>
      <c r="I49" s="35">
        <v>42524.61</v>
      </c>
      <c r="J49" s="35">
        <f>CobrosPendientes3[[#This Row],[Importe]]-CobrosPendientes3[[#This Row],[Imp cobrado]]</f>
        <v>0</v>
      </c>
      <c r="K49" s="36">
        <v>46034</v>
      </c>
      <c r="L49" s="64" t="s">
        <v>22</v>
      </c>
      <c r="M49" s="13"/>
      <c r="N49" s="3"/>
      <c r="O49" s="12"/>
      <c r="P49" s="6"/>
      <c r="Q49" s="6"/>
      <c r="R49" s="15"/>
    </row>
    <row r="50" spans="1:18" ht="15.75">
      <c r="A50" s="21" t="s">
        <v>141</v>
      </c>
      <c r="B50" s="21"/>
      <c r="C50" s="20">
        <v>46003</v>
      </c>
      <c r="D50" s="21" t="s">
        <v>133</v>
      </c>
      <c r="E50" s="21" t="s">
        <v>142</v>
      </c>
      <c r="F50" s="21" t="s">
        <v>21</v>
      </c>
      <c r="G50" s="21">
        <v>35</v>
      </c>
      <c r="H50" s="35">
        <v>44825.02</v>
      </c>
      <c r="I50" s="35">
        <v>44825.02</v>
      </c>
      <c r="J50" s="35">
        <f>CobrosPendientes3[[#This Row],[Importe]]-CobrosPendientes3[[#This Row],[Imp cobrado]]</f>
        <v>0</v>
      </c>
      <c r="K50" s="36">
        <v>46034</v>
      </c>
      <c r="L50" s="64" t="s">
        <v>22</v>
      </c>
      <c r="M50" s="13"/>
      <c r="N50" s="3"/>
      <c r="O50" s="12"/>
      <c r="P50" s="11"/>
      <c r="Q50" s="6"/>
      <c r="R50" s="15"/>
    </row>
    <row r="51" spans="1:18" ht="15.75">
      <c r="A51" s="21" t="s">
        <v>143</v>
      </c>
      <c r="B51" s="21"/>
      <c r="C51" s="20">
        <v>46003</v>
      </c>
      <c r="D51" s="21" t="s">
        <v>34</v>
      </c>
      <c r="E51" s="21" t="s">
        <v>35</v>
      </c>
      <c r="F51" s="21" t="s">
        <v>54</v>
      </c>
      <c r="G51" s="21">
        <v>5</v>
      </c>
      <c r="H51" s="35">
        <v>23094.6</v>
      </c>
      <c r="I51" s="35">
        <v>23094.6</v>
      </c>
      <c r="J51" s="35">
        <f>CobrosPendientes3[[#This Row],[Importe]]-CobrosPendientes3[[#This Row],[Imp cobrado]]</f>
        <v>0</v>
      </c>
      <c r="K51" s="36">
        <v>46051</v>
      </c>
      <c r="L51" s="64" t="s">
        <v>22</v>
      </c>
      <c r="M51" s="13"/>
      <c r="N51" s="3"/>
      <c r="O51" s="12"/>
      <c r="P51" s="6"/>
      <c r="Q51" s="6"/>
      <c r="R51" s="15"/>
    </row>
    <row r="52" spans="1:18" ht="15.75">
      <c r="A52" s="21" t="s">
        <v>144</v>
      </c>
      <c r="B52" s="21"/>
      <c r="C52" s="20">
        <v>46006</v>
      </c>
      <c r="D52" s="21" t="s">
        <v>97</v>
      </c>
      <c r="E52" s="21" t="s">
        <v>98</v>
      </c>
      <c r="F52" s="21" t="s">
        <v>24</v>
      </c>
      <c r="G52" s="21">
        <v>20</v>
      </c>
      <c r="H52" s="35">
        <v>100202.04</v>
      </c>
      <c r="I52" s="35">
        <v>100202.04</v>
      </c>
      <c r="J52" s="35">
        <f>CobrosPendientes3[[#This Row],[Importe]]-CobrosPendientes3[[#This Row],[Imp cobrado]]</f>
        <v>0</v>
      </c>
      <c r="K52" s="36">
        <v>46042</v>
      </c>
      <c r="L52" s="64" t="s">
        <v>22</v>
      </c>
      <c r="M52" s="13"/>
      <c r="N52" s="3"/>
      <c r="O52" s="12"/>
      <c r="P52" s="6"/>
      <c r="Q52" s="6"/>
      <c r="R52" s="15"/>
    </row>
    <row r="53" spans="1:18" ht="15.75">
      <c r="A53" s="21" t="s">
        <v>145</v>
      </c>
      <c r="B53" s="21"/>
      <c r="C53" s="20">
        <v>46006</v>
      </c>
      <c r="D53" s="21" t="s">
        <v>97</v>
      </c>
      <c r="E53" s="21" t="s">
        <v>100</v>
      </c>
      <c r="F53" s="21" t="s">
        <v>24</v>
      </c>
      <c r="G53" s="21">
        <v>20</v>
      </c>
      <c r="H53" s="35">
        <v>207470.64</v>
      </c>
      <c r="I53" s="35">
        <v>207470.64</v>
      </c>
      <c r="J53" s="35">
        <f>CobrosPendientes3[[#This Row],[Importe]]-CobrosPendientes3[[#This Row],[Imp cobrado]]</f>
        <v>0</v>
      </c>
      <c r="K53" s="36">
        <v>46049</v>
      </c>
      <c r="L53" s="64" t="s">
        <v>22</v>
      </c>
      <c r="M53" s="13"/>
      <c r="N53" s="3"/>
      <c r="O53" s="12"/>
      <c r="P53" s="6"/>
      <c r="Q53" s="6"/>
      <c r="R53" s="15"/>
    </row>
    <row r="54" spans="1:18" ht="15.75">
      <c r="A54" s="21" t="s">
        <v>146</v>
      </c>
      <c r="B54" s="21"/>
      <c r="C54" s="20">
        <v>46006</v>
      </c>
      <c r="D54" s="21" t="s">
        <v>147</v>
      </c>
      <c r="E54" s="21" t="s">
        <v>148</v>
      </c>
      <c r="F54" s="21" t="s">
        <v>24</v>
      </c>
      <c r="G54" s="21">
        <v>25</v>
      </c>
      <c r="H54" s="35">
        <v>176235.57</v>
      </c>
      <c r="I54" s="35">
        <v>176235.57</v>
      </c>
      <c r="J54" s="35">
        <f>CobrosPendientes3[[#This Row],[Importe]]-CobrosPendientes3[[#This Row],[Imp cobrado]]</f>
        <v>0</v>
      </c>
      <c r="K54" s="36">
        <v>46057</v>
      </c>
      <c r="L54" s="64" t="s">
        <v>22</v>
      </c>
      <c r="M54" s="13"/>
      <c r="N54" s="3"/>
      <c r="O54" s="12"/>
      <c r="P54" s="6"/>
      <c r="Q54" s="6"/>
      <c r="R54" s="15"/>
    </row>
    <row r="55" spans="1:18" ht="15.75">
      <c r="A55" s="21" t="s">
        <v>149</v>
      </c>
      <c r="B55" s="21"/>
      <c r="C55" s="20">
        <v>46006</v>
      </c>
      <c r="D55" s="21" t="s">
        <v>147</v>
      </c>
      <c r="E55" s="21" t="s">
        <v>150</v>
      </c>
      <c r="F55" s="21" t="s">
        <v>24</v>
      </c>
      <c r="G55" s="21">
        <v>25</v>
      </c>
      <c r="H55" s="35">
        <v>328394.78999999998</v>
      </c>
      <c r="I55" s="35">
        <v>328394.78999999998</v>
      </c>
      <c r="J55" s="35">
        <f>CobrosPendientes3[[#This Row],[Importe]]-CobrosPendientes3[[#This Row],[Imp cobrado]]</f>
        <v>0</v>
      </c>
      <c r="K55" s="36">
        <v>46077</v>
      </c>
      <c r="L55" s="64" t="s">
        <v>22</v>
      </c>
      <c r="M55" s="12"/>
      <c r="N55" s="3"/>
      <c r="O55" s="12"/>
      <c r="P55" s="6"/>
      <c r="Q55" s="6"/>
      <c r="R55" s="60"/>
    </row>
    <row r="56" spans="1:18" ht="15.75">
      <c r="A56" s="21" t="s">
        <v>151</v>
      </c>
      <c r="B56" s="21"/>
      <c r="C56" s="20">
        <v>46006</v>
      </c>
      <c r="D56" s="21" t="s">
        <v>87</v>
      </c>
      <c r="E56" s="21" t="s">
        <v>152</v>
      </c>
      <c r="F56" s="21" t="s">
        <v>24</v>
      </c>
      <c r="G56" s="21">
        <v>20</v>
      </c>
      <c r="H56" s="35">
        <v>54671.23</v>
      </c>
      <c r="I56" s="35">
        <v>54671.23</v>
      </c>
      <c r="J56" s="35">
        <f>CobrosPendientes3[[#This Row],[Importe]]-CobrosPendientes3[[#This Row],[Imp cobrado]]</f>
        <v>0</v>
      </c>
      <c r="K56" s="36">
        <v>46066</v>
      </c>
      <c r="L56" s="64" t="s">
        <v>22</v>
      </c>
      <c r="M56" s="12"/>
      <c r="N56" s="3"/>
      <c r="O56" s="12"/>
      <c r="P56" s="6"/>
      <c r="Q56" s="6"/>
      <c r="R56" s="15"/>
    </row>
    <row r="57" spans="1:18" ht="15.75">
      <c r="A57" s="21" t="s">
        <v>153</v>
      </c>
      <c r="B57" s="21"/>
      <c r="C57" s="20">
        <v>46007</v>
      </c>
      <c r="D57" s="21" t="s">
        <v>34</v>
      </c>
      <c r="E57" s="21" t="s">
        <v>35</v>
      </c>
      <c r="F57" s="21" t="s">
        <v>154</v>
      </c>
      <c r="G57" s="21">
        <v>100</v>
      </c>
      <c r="H57" s="35">
        <v>2590</v>
      </c>
      <c r="I57" s="35">
        <v>2590</v>
      </c>
      <c r="J57" s="35">
        <f>CobrosPendientes3[[#This Row],[Importe]]-CobrosPendientes3[[#This Row],[Imp cobrado]]</f>
        <v>0</v>
      </c>
      <c r="K57" s="36">
        <v>46030</v>
      </c>
      <c r="L57" s="64" t="s">
        <v>22</v>
      </c>
      <c r="M57" s="13"/>
      <c r="N57" s="3"/>
      <c r="O57" s="12"/>
      <c r="P57" s="6"/>
      <c r="Q57" s="6"/>
      <c r="R57" s="15"/>
    </row>
    <row r="58" spans="1:18" ht="15.75">
      <c r="A58" s="21" t="s">
        <v>155</v>
      </c>
      <c r="B58" s="21"/>
      <c r="C58" s="20">
        <v>46009</v>
      </c>
      <c r="D58" s="21" t="s">
        <v>156</v>
      </c>
      <c r="E58" s="21" t="s">
        <v>157</v>
      </c>
      <c r="F58" s="21" t="s">
        <v>67</v>
      </c>
      <c r="G58" s="21">
        <v>30</v>
      </c>
      <c r="H58" s="35">
        <v>147538.47</v>
      </c>
      <c r="I58" s="35">
        <v>147538.47</v>
      </c>
      <c r="J58" s="35">
        <f>CobrosPendientes3[[#This Row],[Importe]]-CobrosPendientes3[[#This Row],[Imp cobrado]]</f>
        <v>0</v>
      </c>
      <c r="K58" s="36">
        <v>46065</v>
      </c>
      <c r="L58" s="64" t="s">
        <v>22</v>
      </c>
      <c r="M58" s="12"/>
      <c r="N58" s="3"/>
      <c r="O58" s="12"/>
      <c r="P58" s="6"/>
      <c r="Q58" s="6"/>
      <c r="R58" s="15"/>
    </row>
    <row r="59" spans="1:18" ht="15.75">
      <c r="A59" s="12" t="s">
        <v>158</v>
      </c>
      <c r="B59" s="12"/>
      <c r="C59" s="13">
        <v>46014</v>
      </c>
      <c r="D59" s="12" t="s">
        <v>159</v>
      </c>
      <c r="E59" s="12" t="s">
        <v>160</v>
      </c>
      <c r="F59" s="12" t="s">
        <v>160</v>
      </c>
      <c r="G59" s="12">
        <v>100</v>
      </c>
      <c r="H59" s="7">
        <v>244078.92</v>
      </c>
      <c r="I59" s="7"/>
      <c r="J59" s="7">
        <f>CobrosPendientes3[[#This Row],[Importe]]-CobrosPendientes3[[#This Row],[Imp cobrado]]</f>
        <v>244078.92</v>
      </c>
      <c r="K59" s="19"/>
      <c r="L59" s="12"/>
      <c r="M59" s="12"/>
      <c r="N59" s="3"/>
      <c r="O59" s="12"/>
      <c r="P59" s="6"/>
      <c r="Q59" s="6"/>
      <c r="R59" s="15"/>
    </row>
    <row r="60" spans="1:18" ht="15.75">
      <c r="A60" s="12" t="s">
        <v>161</v>
      </c>
      <c r="B60" s="12"/>
      <c r="C60" s="13">
        <v>46017</v>
      </c>
      <c r="D60" s="12" t="s">
        <v>162</v>
      </c>
      <c r="E60" s="12" t="s">
        <v>163</v>
      </c>
      <c r="F60" s="12" t="s">
        <v>67</v>
      </c>
      <c r="G60" s="12">
        <v>25</v>
      </c>
      <c r="H60" s="35">
        <v>33026.79</v>
      </c>
      <c r="I60" s="35">
        <v>33026.79</v>
      </c>
      <c r="J60" s="35">
        <f>CobrosPendientes3[[#This Row],[Importe]]-CobrosPendientes3[[#This Row],[Imp cobrado]]</f>
        <v>0</v>
      </c>
      <c r="K60" s="36">
        <v>46043</v>
      </c>
      <c r="L60" s="64" t="s">
        <v>22</v>
      </c>
      <c r="M60" s="13"/>
      <c r="N60" s="3"/>
      <c r="O60" s="12"/>
      <c r="P60" s="6"/>
      <c r="Q60" s="6"/>
      <c r="R60" s="15"/>
    </row>
    <row r="61" spans="1:18" ht="15.75">
      <c r="A61" s="21" t="s">
        <v>164</v>
      </c>
      <c r="B61" s="21"/>
      <c r="C61" s="20">
        <v>46017</v>
      </c>
      <c r="D61" s="21" t="s">
        <v>162</v>
      </c>
      <c r="E61" s="21" t="s">
        <v>165</v>
      </c>
      <c r="F61" s="21" t="s">
        <v>67</v>
      </c>
      <c r="G61" s="21">
        <v>25</v>
      </c>
      <c r="H61" s="35">
        <v>110501.36</v>
      </c>
      <c r="I61" s="35">
        <v>110501.36</v>
      </c>
      <c r="J61" s="35">
        <f>CobrosPendientes3[[#This Row],[Importe]]-CobrosPendientes3[[#This Row],[Imp cobrado]]</f>
        <v>0</v>
      </c>
      <c r="K61" s="36">
        <v>46043</v>
      </c>
      <c r="L61" s="64" t="s">
        <v>22</v>
      </c>
      <c r="M61" s="13"/>
      <c r="N61" s="3"/>
      <c r="O61" s="12"/>
      <c r="P61" s="6"/>
      <c r="Q61" s="6"/>
      <c r="R61" s="15"/>
    </row>
    <row r="62" spans="1:18" ht="30.75">
      <c r="A62" s="21" t="s">
        <v>166</v>
      </c>
      <c r="B62" s="21"/>
      <c r="C62" s="20">
        <v>46017</v>
      </c>
      <c r="D62" s="21" t="s">
        <v>167</v>
      </c>
      <c r="E62" s="21" t="s">
        <v>168</v>
      </c>
      <c r="F62" s="21" t="s">
        <v>67</v>
      </c>
      <c r="G62" s="21">
        <v>30</v>
      </c>
      <c r="H62" s="35">
        <v>36000</v>
      </c>
      <c r="I62" s="35">
        <v>36000</v>
      </c>
      <c r="J62" s="35">
        <f>CobrosPendientes3[[#This Row],[Importe]]-CobrosPendientes3[[#This Row],[Imp cobrado]]</f>
        <v>0</v>
      </c>
      <c r="K62" s="36">
        <v>46034</v>
      </c>
      <c r="L62" s="64" t="s">
        <v>22</v>
      </c>
      <c r="M62" s="13"/>
      <c r="N62" s="27" t="s">
        <v>169</v>
      </c>
      <c r="O62" s="71"/>
      <c r="P62" s="6"/>
      <c r="Q62" s="6"/>
      <c r="R62" s="15"/>
    </row>
    <row r="63" spans="1:18" ht="15.75">
      <c r="A63" s="21" t="s">
        <v>170</v>
      </c>
      <c r="B63" s="21"/>
      <c r="C63" s="20">
        <v>46017</v>
      </c>
      <c r="D63" s="21" t="s">
        <v>171</v>
      </c>
      <c r="E63" s="21" t="s">
        <v>172</v>
      </c>
      <c r="F63" s="21" t="s">
        <v>67</v>
      </c>
      <c r="G63" s="21">
        <v>30</v>
      </c>
      <c r="H63" s="35">
        <v>44100</v>
      </c>
      <c r="I63" s="35">
        <v>44100</v>
      </c>
      <c r="J63" s="35">
        <f>CobrosPendientes3[[#This Row],[Importe]]-CobrosPendientes3[[#This Row],[Imp cobrado]]</f>
        <v>0</v>
      </c>
      <c r="K63" s="36">
        <v>46035</v>
      </c>
      <c r="L63" s="64" t="s">
        <v>22</v>
      </c>
      <c r="M63" s="13"/>
      <c r="N63" s="10" t="s">
        <v>173</v>
      </c>
      <c r="O63" s="10"/>
      <c r="P63" s="6"/>
      <c r="Q63" s="6"/>
      <c r="R63" s="15"/>
    </row>
    <row r="64" spans="1:18" ht="39.75" customHeight="1">
      <c r="A64" s="39" t="s">
        <v>174</v>
      </c>
      <c r="B64" s="39"/>
      <c r="C64" s="38">
        <v>46017</v>
      </c>
      <c r="D64" s="39" t="s">
        <v>175</v>
      </c>
      <c r="E64" s="39" t="s">
        <v>176</v>
      </c>
      <c r="F64" s="39" t="s">
        <v>67</v>
      </c>
      <c r="G64" s="39">
        <v>25</v>
      </c>
      <c r="H64" s="43">
        <v>31835.54</v>
      </c>
      <c r="I64" s="43"/>
      <c r="J64" s="43"/>
      <c r="K64" s="19"/>
      <c r="L64" s="12"/>
      <c r="M64" s="12"/>
      <c r="N64" s="28" t="s">
        <v>177</v>
      </c>
      <c r="O64" s="72" t="s">
        <v>22</v>
      </c>
      <c r="P64" s="6" t="s">
        <v>178</v>
      </c>
      <c r="Q64" s="74">
        <v>46029</v>
      </c>
      <c r="R64" s="15">
        <v>31835.54</v>
      </c>
    </row>
    <row r="65" spans="1:18" ht="15.75">
      <c r="A65" s="21" t="s">
        <v>179</v>
      </c>
      <c r="B65" s="21"/>
      <c r="C65" s="20">
        <v>46017</v>
      </c>
      <c r="D65" s="21" t="s">
        <v>80</v>
      </c>
      <c r="E65" s="21" t="s">
        <v>81</v>
      </c>
      <c r="F65" s="21" t="s">
        <v>24</v>
      </c>
      <c r="G65" s="21">
        <v>20</v>
      </c>
      <c r="H65" s="35">
        <v>78932.77</v>
      </c>
      <c r="I65" s="35">
        <v>78932.77</v>
      </c>
      <c r="J65" s="35">
        <f>CobrosPendientes3[[#This Row],[Importe]]-CobrosPendientes3[[#This Row],[Imp cobrado]]</f>
        <v>0</v>
      </c>
      <c r="K65" s="36">
        <v>46041</v>
      </c>
      <c r="L65" s="64" t="s">
        <v>22</v>
      </c>
      <c r="M65" s="13"/>
      <c r="N65" s="3"/>
      <c r="O65" s="12"/>
      <c r="P65" s="6"/>
      <c r="Q65" s="6"/>
      <c r="R65" s="15"/>
    </row>
    <row r="66" spans="1:18" ht="15.75">
      <c r="A66" s="21" t="s">
        <v>180</v>
      </c>
      <c r="B66" s="21"/>
      <c r="C66" s="20">
        <v>46017</v>
      </c>
      <c r="D66" s="21" t="s">
        <v>181</v>
      </c>
      <c r="E66" s="21" t="s">
        <v>85</v>
      </c>
      <c r="F66" s="21" t="s">
        <v>24</v>
      </c>
      <c r="G66" s="21">
        <v>20</v>
      </c>
      <c r="H66" s="35">
        <v>58992.480000000003</v>
      </c>
      <c r="I66" s="35">
        <v>58992.480000000003</v>
      </c>
      <c r="J66" s="35">
        <f>CobrosPendientes3[[#This Row],[Importe]]-CobrosPendientes3[[#This Row],[Imp cobrado]]</f>
        <v>0</v>
      </c>
      <c r="K66" s="36">
        <v>46056</v>
      </c>
      <c r="L66" s="64" t="s">
        <v>22</v>
      </c>
      <c r="M66" s="13"/>
      <c r="N66" s="3"/>
      <c r="O66" s="12"/>
      <c r="P66" s="6"/>
      <c r="Q66" s="6"/>
      <c r="R66" s="15"/>
    </row>
    <row r="67" spans="1:18" ht="15.75">
      <c r="A67" s="21" t="s">
        <v>182</v>
      </c>
      <c r="B67" s="21"/>
      <c r="C67" s="20">
        <v>46017</v>
      </c>
      <c r="D67" s="21" t="s">
        <v>183</v>
      </c>
      <c r="E67" s="21" t="s">
        <v>184</v>
      </c>
      <c r="F67" s="21" t="s">
        <v>54</v>
      </c>
      <c r="G67" s="21">
        <v>5</v>
      </c>
      <c r="H67" s="35">
        <v>7639.26</v>
      </c>
      <c r="I67" s="35">
        <v>7639.26</v>
      </c>
      <c r="J67" s="35">
        <f>CobrosPendientes3[[#This Row],[Importe]]-CobrosPendientes3[[#This Row],[Imp cobrado]]</f>
        <v>0</v>
      </c>
      <c r="K67" s="36">
        <v>46030</v>
      </c>
      <c r="L67" s="64" t="s">
        <v>22</v>
      </c>
      <c r="M67" s="13"/>
      <c r="N67" s="3"/>
      <c r="O67" s="12"/>
      <c r="P67" s="6"/>
      <c r="Q67" s="6"/>
      <c r="R67" s="15"/>
    </row>
    <row r="68" spans="1:18" ht="15.75">
      <c r="A68" s="21" t="s">
        <v>185</v>
      </c>
      <c r="B68" s="21"/>
      <c r="C68" s="20">
        <v>46017</v>
      </c>
      <c r="D68" s="21" t="s">
        <v>186</v>
      </c>
      <c r="E68" s="21" t="s">
        <v>187</v>
      </c>
      <c r="F68" s="21" t="s">
        <v>24</v>
      </c>
      <c r="G68" s="22">
        <v>35</v>
      </c>
      <c r="H68" s="35">
        <v>36142.800000000003</v>
      </c>
      <c r="I68" s="35">
        <v>36142.800000000003</v>
      </c>
      <c r="J68" s="35">
        <f>CobrosPendientes3[[#This Row],[Importe]]-CobrosPendientes3[[#This Row],[Imp cobrado]]</f>
        <v>0</v>
      </c>
      <c r="K68" s="36">
        <v>46035</v>
      </c>
      <c r="L68" s="64" t="s">
        <v>22</v>
      </c>
      <c r="M68" s="13"/>
      <c r="N68" s="3"/>
      <c r="O68" s="12"/>
      <c r="P68" s="6"/>
      <c r="Q68" s="6"/>
      <c r="R68" s="15"/>
    </row>
    <row r="69" spans="1:18" ht="15.75">
      <c r="A69" s="21" t="s">
        <v>188</v>
      </c>
      <c r="B69" s="21"/>
      <c r="C69" s="20">
        <v>46017</v>
      </c>
      <c r="D69" s="21" t="s">
        <v>186</v>
      </c>
      <c r="E69" s="21" t="s">
        <v>189</v>
      </c>
      <c r="F69" s="21" t="s">
        <v>190</v>
      </c>
      <c r="G69" s="22">
        <v>35</v>
      </c>
      <c r="H69" s="35">
        <v>38736.94</v>
      </c>
      <c r="I69" s="35">
        <v>38736.94</v>
      </c>
      <c r="J69" s="35">
        <f>CobrosPendientes3[[#This Row],[Importe]]-CobrosPendientes3[[#This Row],[Imp cobrado]]</f>
        <v>0</v>
      </c>
      <c r="K69" s="36">
        <v>46035</v>
      </c>
      <c r="L69" s="64" t="s">
        <v>22</v>
      </c>
      <c r="M69" s="13"/>
      <c r="N69" s="3"/>
      <c r="O69" s="12"/>
      <c r="P69" s="6"/>
      <c r="Q69" s="6"/>
      <c r="R69" s="15"/>
    </row>
    <row r="70" spans="1:18" ht="15.75">
      <c r="A70" s="21" t="s">
        <v>191</v>
      </c>
      <c r="B70" s="21"/>
      <c r="C70" s="20">
        <v>46017</v>
      </c>
      <c r="D70" s="21" t="s">
        <v>186</v>
      </c>
      <c r="E70" s="21" t="s">
        <v>192</v>
      </c>
      <c r="F70" s="21" t="s">
        <v>190</v>
      </c>
      <c r="G70" s="22">
        <v>35</v>
      </c>
      <c r="H70" s="35">
        <v>35424.11</v>
      </c>
      <c r="I70" s="35">
        <v>35424.11</v>
      </c>
      <c r="J70" s="35">
        <f>CobrosPendientes3[[#This Row],[Importe]]-CobrosPendientes3[[#This Row],[Imp cobrado]]</f>
        <v>0</v>
      </c>
      <c r="K70" s="36">
        <v>46036</v>
      </c>
      <c r="L70" s="64" t="s">
        <v>22</v>
      </c>
      <c r="M70" s="13"/>
      <c r="N70" s="3"/>
      <c r="O70" s="12"/>
      <c r="P70" s="6"/>
      <c r="Q70" s="6"/>
      <c r="R70" s="15"/>
    </row>
    <row r="71" spans="1:18" ht="15.75">
      <c r="A71" s="21" t="s">
        <v>193</v>
      </c>
      <c r="B71" s="21"/>
      <c r="C71" s="20">
        <v>46017</v>
      </c>
      <c r="D71" s="21" t="s">
        <v>186</v>
      </c>
      <c r="E71" s="21" t="s">
        <v>194</v>
      </c>
      <c r="F71" s="21" t="s">
        <v>24</v>
      </c>
      <c r="G71" s="22">
        <v>35</v>
      </c>
      <c r="H71" s="35">
        <v>35810.33</v>
      </c>
      <c r="I71" s="35">
        <v>35810.33</v>
      </c>
      <c r="J71" s="35">
        <f>CobrosPendientes3[[#This Row],[Importe]]-CobrosPendientes3[[#This Row],[Imp cobrado]]</f>
        <v>0</v>
      </c>
      <c r="K71" s="36">
        <v>46035</v>
      </c>
      <c r="L71" s="64" t="s">
        <v>22</v>
      </c>
      <c r="M71" s="13"/>
      <c r="N71" s="3"/>
      <c r="O71" s="12"/>
      <c r="P71" s="6"/>
      <c r="Q71" s="6"/>
      <c r="R71" s="15"/>
    </row>
    <row r="72" spans="1:18" ht="15.75">
      <c r="A72" s="83" t="s">
        <v>195</v>
      </c>
      <c r="B72" s="83"/>
      <c r="C72" s="84">
        <v>46017</v>
      </c>
      <c r="D72" s="83" t="s">
        <v>167</v>
      </c>
      <c r="E72" s="83" t="s">
        <v>196</v>
      </c>
      <c r="F72" s="83" t="s">
        <v>197</v>
      </c>
      <c r="G72" s="85">
        <v>60</v>
      </c>
      <c r="H72" s="35">
        <v>37740</v>
      </c>
      <c r="I72" s="35">
        <v>37740</v>
      </c>
      <c r="J72" s="35">
        <f>CobrosPendientes3[[#This Row],[Importe]]-CobrosPendientes3[[#This Row],[Imp cobrado]]</f>
        <v>0</v>
      </c>
      <c r="K72" s="36">
        <v>46045</v>
      </c>
      <c r="L72" s="64" t="s">
        <v>22</v>
      </c>
      <c r="M72" s="13"/>
      <c r="N72" s="3"/>
      <c r="O72" s="12"/>
      <c r="P72" s="6"/>
      <c r="Q72" s="6"/>
      <c r="R72" s="15"/>
    </row>
    <row r="73" spans="1:18" ht="15.75">
      <c r="A73" s="12" t="s">
        <v>198</v>
      </c>
      <c r="B73" s="12"/>
      <c r="C73" s="13">
        <v>46017</v>
      </c>
      <c r="D73" s="12" t="s">
        <v>167</v>
      </c>
      <c r="E73" s="12" t="s">
        <v>199</v>
      </c>
      <c r="F73" s="12" t="s">
        <v>200</v>
      </c>
      <c r="G73" s="14">
        <v>60</v>
      </c>
      <c r="H73" s="7">
        <v>37740</v>
      </c>
      <c r="I73" s="7"/>
      <c r="J73" s="7">
        <f>CobrosPendientes3[[#This Row],[Importe]]-CobrosPendientes3[[#This Row],[Imp cobrado]]</f>
        <v>37740</v>
      </c>
      <c r="K73" s="19"/>
      <c r="L73" s="12"/>
      <c r="M73" s="12"/>
      <c r="N73" s="3"/>
      <c r="O73" s="12"/>
      <c r="P73" s="6"/>
      <c r="Q73" s="6"/>
      <c r="R73" s="15"/>
    </row>
    <row r="74" spans="1:18" ht="15.75">
      <c r="A74" s="21" t="s">
        <v>201</v>
      </c>
      <c r="B74" s="21"/>
      <c r="C74" s="20">
        <v>46017</v>
      </c>
      <c r="D74" s="21" t="s">
        <v>167</v>
      </c>
      <c r="E74" s="21" t="s">
        <v>202</v>
      </c>
      <c r="F74" s="21" t="s">
        <v>200</v>
      </c>
      <c r="G74" s="22">
        <v>60</v>
      </c>
      <c r="H74" s="35">
        <v>39300</v>
      </c>
      <c r="I74" s="35">
        <v>39300</v>
      </c>
      <c r="J74" s="35">
        <f>CobrosPendientes3[[#This Row],[Importe]]-CobrosPendientes3[[#This Row],[Imp cobrado]]</f>
        <v>0</v>
      </c>
      <c r="K74" s="36">
        <v>46056</v>
      </c>
      <c r="L74" s="64" t="s">
        <v>22</v>
      </c>
      <c r="M74" s="13"/>
      <c r="N74" s="3"/>
      <c r="O74" s="12"/>
      <c r="P74" s="6"/>
      <c r="Q74" s="6"/>
      <c r="R74" s="15"/>
    </row>
    <row r="75" spans="1:18" ht="15.75">
      <c r="A75" s="12" t="s">
        <v>203</v>
      </c>
      <c r="B75" s="12"/>
      <c r="C75" s="13">
        <v>46017</v>
      </c>
      <c r="D75" s="12" t="s">
        <v>167</v>
      </c>
      <c r="E75" s="12" t="s">
        <v>204</v>
      </c>
      <c r="F75" s="12" t="s">
        <v>200</v>
      </c>
      <c r="G75" s="14">
        <v>60</v>
      </c>
      <c r="H75" s="7">
        <v>37740</v>
      </c>
      <c r="I75" s="7"/>
      <c r="J75" s="7">
        <f>CobrosPendientes3[[#This Row],[Importe]]-CobrosPendientes3[[#This Row],[Imp cobrado]]</f>
        <v>37740</v>
      </c>
      <c r="K75" s="19"/>
      <c r="L75" s="12"/>
      <c r="M75" s="12"/>
      <c r="N75" s="3"/>
      <c r="O75" s="12"/>
      <c r="P75" s="6"/>
      <c r="Q75" s="6"/>
      <c r="R75" s="15"/>
    </row>
    <row r="76" spans="1:18" ht="15.75">
      <c r="A76" s="21" t="s">
        <v>205</v>
      </c>
      <c r="B76" s="21"/>
      <c r="C76" s="20">
        <v>46017</v>
      </c>
      <c r="D76" s="21" t="s">
        <v>167</v>
      </c>
      <c r="E76" s="21" t="s">
        <v>206</v>
      </c>
      <c r="F76" s="21" t="s">
        <v>207</v>
      </c>
      <c r="G76" s="22">
        <v>60</v>
      </c>
      <c r="H76" s="35">
        <v>37740</v>
      </c>
      <c r="I76" s="35">
        <v>37740</v>
      </c>
      <c r="J76" s="35">
        <f>CobrosPendientes3[[#This Row],[Importe]]-CobrosPendientes3[[#This Row],[Imp cobrado]]</f>
        <v>0</v>
      </c>
      <c r="K76" s="36">
        <v>46056</v>
      </c>
      <c r="L76" s="64" t="s">
        <v>22</v>
      </c>
      <c r="M76" s="13"/>
      <c r="N76" s="3"/>
      <c r="O76" s="12"/>
      <c r="P76" s="6"/>
      <c r="Q76" s="6"/>
      <c r="R76" s="15"/>
    </row>
    <row r="77" spans="1:18" ht="15.75">
      <c r="A77" s="21" t="s">
        <v>208</v>
      </c>
      <c r="B77" s="21"/>
      <c r="C77" s="20">
        <v>46017</v>
      </c>
      <c r="D77" s="21" t="s">
        <v>167</v>
      </c>
      <c r="E77" s="21" t="s">
        <v>209</v>
      </c>
      <c r="F77" s="21" t="s">
        <v>200</v>
      </c>
      <c r="G77" s="22">
        <v>60</v>
      </c>
      <c r="H77" s="35">
        <v>37740</v>
      </c>
      <c r="I77" s="35">
        <v>37740</v>
      </c>
      <c r="J77" s="35">
        <f>CobrosPendientes3[[#This Row],[Importe]]-CobrosPendientes3[[#This Row],[Imp cobrado]]</f>
        <v>0</v>
      </c>
      <c r="K77" s="36">
        <v>46163</v>
      </c>
      <c r="L77" s="67" t="s">
        <v>22</v>
      </c>
      <c r="M77" s="12"/>
      <c r="N77" s="3"/>
      <c r="O77" s="12"/>
      <c r="P77" s="6"/>
      <c r="Q77" s="6"/>
      <c r="R77" s="15"/>
    </row>
    <row r="78" spans="1:18" ht="15.75">
      <c r="A78" s="21" t="s">
        <v>210</v>
      </c>
      <c r="B78" s="21"/>
      <c r="C78" s="20">
        <v>46020</v>
      </c>
      <c r="D78" s="21" t="s">
        <v>133</v>
      </c>
      <c r="E78" s="21" t="s">
        <v>142</v>
      </c>
      <c r="F78" s="21" t="s">
        <v>24</v>
      </c>
      <c r="G78" s="21">
        <v>30</v>
      </c>
      <c r="H78" s="35">
        <v>39973.85</v>
      </c>
      <c r="I78" s="35">
        <v>39973.85</v>
      </c>
      <c r="J78" s="35">
        <f>CobrosPendientes3[[#This Row],[Importe]]-CobrosPendientes3[[#This Row],[Imp cobrado]]</f>
        <v>0</v>
      </c>
      <c r="K78" s="36">
        <v>46034</v>
      </c>
      <c r="L78" s="64" t="s">
        <v>22</v>
      </c>
      <c r="M78" s="13"/>
      <c r="N78" s="3" t="s">
        <v>92</v>
      </c>
      <c r="O78" s="12"/>
      <c r="P78" s="6"/>
      <c r="Q78" s="6"/>
      <c r="R78" s="15"/>
    </row>
    <row r="79" spans="1:18" ht="15.75">
      <c r="A79" s="21" t="s">
        <v>211</v>
      </c>
      <c r="B79" s="21"/>
      <c r="C79" s="20">
        <v>46020</v>
      </c>
      <c r="D79" s="21" t="s">
        <v>133</v>
      </c>
      <c r="E79" s="21" t="s">
        <v>138</v>
      </c>
      <c r="F79" s="21" t="s">
        <v>24</v>
      </c>
      <c r="G79" s="21">
        <v>30</v>
      </c>
      <c r="H79" s="35">
        <v>37838.42</v>
      </c>
      <c r="I79" s="35">
        <v>37838.42</v>
      </c>
      <c r="J79" s="35">
        <f>CobrosPendientes3[[#This Row],[Importe]]-CobrosPendientes3[[#This Row],[Imp cobrado]]</f>
        <v>0</v>
      </c>
      <c r="K79" s="36">
        <v>46034</v>
      </c>
      <c r="L79" s="64" t="s">
        <v>22</v>
      </c>
      <c r="M79" s="13"/>
      <c r="N79" s="3" t="s">
        <v>92</v>
      </c>
      <c r="O79" s="12"/>
      <c r="P79" s="6"/>
      <c r="Q79" s="6"/>
      <c r="R79" s="15"/>
    </row>
    <row r="80" spans="1:18" s="45" customFormat="1" ht="15.75">
      <c r="A80" s="39" t="s">
        <v>212</v>
      </c>
      <c r="B80" s="39"/>
      <c r="C80" s="38">
        <v>46020</v>
      </c>
      <c r="D80" s="39" t="s">
        <v>162</v>
      </c>
      <c r="E80" s="39" t="s">
        <v>163</v>
      </c>
      <c r="F80" s="39" t="s">
        <v>21</v>
      </c>
      <c r="G80" s="39">
        <v>35</v>
      </c>
      <c r="H80" s="43">
        <v>46237.5</v>
      </c>
      <c r="I80" s="43"/>
      <c r="J80" s="43">
        <f>CobrosPendientes3[[#This Row],[Importe]]-CobrosPendientes3[[#This Row],[Imp cobrado]]</f>
        <v>46237.5</v>
      </c>
      <c r="K80" s="48"/>
      <c r="L80" s="39"/>
      <c r="M80" s="39"/>
      <c r="N80" s="44" t="s">
        <v>213</v>
      </c>
      <c r="O80" s="39" t="s">
        <v>22</v>
      </c>
      <c r="P80" s="6" t="s">
        <v>214</v>
      </c>
      <c r="Q80" s="74">
        <v>46058</v>
      </c>
      <c r="R80" s="15">
        <v>46237.5</v>
      </c>
    </row>
    <row r="81" spans="1:18" s="45" customFormat="1" ht="15.75">
      <c r="A81" s="88" t="s">
        <v>215</v>
      </c>
      <c r="B81" s="88"/>
      <c r="C81" s="89">
        <v>46020</v>
      </c>
      <c r="D81" s="88" t="s">
        <v>162</v>
      </c>
      <c r="E81" s="88" t="s">
        <v>165</v>
      </c>
      <c r="F81" s="88" t="s">
        <v>21</v>
      </c>
      <c r="G81" s="88">
        <v>35</v>
      </c>
      <c r="H81" s="43">
        <v>154701.9</v>
      </c>
      <c r="I81" s="43"/>
      <c r="J81" s="43">
        <f>CobrosPendientes3[[#This Row],[Importe]]-CobrosPendientes3[[#This Row],[Imp cobrado]]</f>
        <v>154701.9</v>
      </c>
      <c r="K81" s="48"/>
      <c r="L81" s="39"/>
      <c r="M81" s="39"/>
      <c r="N81" s="44" t="s">
        <v>213</v>
      </c>
      <c r="O81" s="39" t="s">
        <v>22</v>
      </c>
      <c r="P81" s="6" t="s">
        <v>216</v>
      </c>
      <c r="Q81" s="74">
        <v>46058</v>
      </c>
      <c r="R81" s="15">
        <v>154701.9</v>
      </c>
    </row>
    <row r="82" spans="1:18" ht="15.75">
      <c r="A82" s="21" t="s">
        <v>217</v>
      </c>
      <c r="B82" s="21"/>
      <c r="C82" s="20">
        <v>46020</v>
      </c>
      <c r="D82" s="21" t="s">
        <v>133</v>
      </c>
      <c r="E82" s="21" t="s">
        <v>218</v>
      </c>
      <c r="F82" s="21" t="s">
        <v>67</v>
      </c>
      <c r="G82" s="21">
        <v>30</v>
      </c>
      <c r="H82" s="35">
        <v>39370.93</v>
      </c>
      <c r="I82" s="35">
        <v>39370.93</v>
      </c>
      <c r="J82" s="35">
        <f>CobrosPendientes3[[#This Row],[Importe]]-CobrosPendientes3[[#This Row],[Imp cobrado]]</f>
        <v>0</v>
      </c>
      <c r="K82" s="36">
        <v>46058</v>
      </c>
      <c r="L82" s="64" t="s">
        <v>22</v>
      </c>
      <c r="M82" s="13"/>
      <c r="N82" s="3"/>
      <c r="O82" s="12"/>
      <c r="P82" s="6"/>
      <c r="Q82" s="6"/>
      <c r="R82" s="15"/>
    </row>
    <row r="83" spans="1:18" ht="15.75">
      <c r="A83" s="12" t="s">
        <v>219</v>
      </c>
      <c r="B83" s="12"/>
      <c r="C83" s="13">
        <v>46020</v>
      </c>
      <c r="D83" s="12" t="s">
        <v>133</v>
      </c>
      <c r="E83" s="12" t="s">
        <v>220</v>
      </c>
      <c r="F83" s="12" t="s">
        <v>67</v>
      </c>
      <c r="G83" s="12">
        <v>30</v>
      </c>
      <c r="H83" s="35">
        <v>42878.81</v>
      </c>
      <c r="I83" s="35">
        <v>42878.81</v>
      </c>
      <c r="J83" s="35">
        <f>CobrosPendientes3[[#This Row],[Importe]]-CobrosPendientes3[[#This Row],[Imp cobrado]]</f>
        <v>0</v>
      </c>
      <c r="K83" s="36">
        <v>46058</v>
      </c>
      <c r="L83" s="64" t="s">
        <v>22</v>
      </c>
      <c r="M83" s="13"/>
      <c r="N83" s="3"/>
      <c r="O83" s="12"/>
      <c r="P83" s="6"/>
      <c r="Q83" s="6"/>
      <c r="R83" s="15"/>
    </row>
    <row r="84" spans="1:18" ht="15.75">
      <c r="A84" s="21" t="s">
        <v>221</v>
      </c>
      <c r="B84" s="21"/>
      <c r="C84" s="20">
        <v>46020</v>
      </c>
      <c r="D84" s="21" t="s">
        <v>133</v>
      </c>
      <c r="E84" s="21" t="s">
        <v>222</v>
      </c>
      <c r="F84" s="21" t="s">
        <v>67</v>
      </c>
      <c r="G84" s="21">
        <v>30</v>
      </c>
      <c r="H84" s="35">
        <v>275543.78999999998</v>
      </c>
      <c r="I84" s="35">
        <v>275543.78999999998</v>
      </c>
      <c r="J84" s="35">
        <f>CobrosPendientes3[[#This Row],[Importe]]-CobrosPendientes3[[#This Row],[Imp cobrado]]</f>
        <v>0</v>
      </c>
      <c r="K84" s="36">
        <v>46058</v>
      </c>
      <c r="L84" s="64" t="s">
        <v>22</v>
      </c>
      <c r="M84" s="13"/>
      <c r="N84" s="3"/>
      <c r="O84" s="12"/>
      <c r="P84" s="6"/>
      <c r="Q84" s="6"/>
      <c r="R84" s="15"/>
    </row>
    <row r="85" spans="1:18" ht="15.75">
      <c r="A85" s="21" t="s">
        <v>223</v>
      </c>
      <c r="B85" s="21"/>
      <c r="C85" s="20">
        <v>46020</v>
      </c>
      <c r="D85" s="21" t="s">
        <v>133</v>
      </c>
      <c r="E85" s="21" t="s">
        <v>224</v>
      </c>
      <c r="F85" s="37" t="s">
        <v>225</v>
      </c>
      <c r="G85" s="21">
        <v>100</v>
      </c>
      <c r="H85" s="35">
        <v>28172.01</v>
      </c>
      <c r="I85" s="35">
        <v>28172.01</v>
      </c>
      <c r="J85" s="35">
        <f>CobrosPendientes3[[#This Row],[Importe]]-CobrosPendientes3[[#This Row],[Imp cobrado]]</f>
        <v>0</v>
      </c>
      <c r="K85" s="36">
        <v>46066</v>
      </c>
      <c r="L85" s="64" t="s">
        <v>22</v>
      </c>
      <c r="M85" s="12"/>
      <c r="N85" s="3"/>
      <c r="O85" s="12"/>
      <c r="P85" s="6"/>
      <c r="Q85" s="6"/>
      <c r="R85" s="15"/>
    </row>
    <row r="86" spans="1:18" ht="15.75">
      <c r="A86" s="21" t="s">
        <v>226</v>
      </c>
      <c r="B86" s="21"/>
      <c r="C86" s="20">
        <v>46020</v>
      </c>
      <c r="D86" s="21" t="s">
        <v>133</v>
      </c>
      <c r="E86" s="21" t="s">
        <v>224</v>
      </c>
      <c r="F86" s="21" t="s">
        <v>67</v>
      </c>
      <c r="G86" s="21">
        <v>30</v>
      </c>
      <c r="H86" s="35">
        <v>213691.33</v>
      </c>
      <c r="I86" s="35">
        <v>213691.33</v>
      </c>
      <c r="J86" s="35">
        <f>CobrosPendientes3[[#This Row],[Importe]]-CobrosPendientes3[[#This Row],[Imp cobrado]]</f>
        <v>0</v>
      </c>
      <c r="K86" s="36">
        <v>46058</v>
      </c>
      <c r="L86" s="64" t="s">
        <v>22</v>
      </c>
      <c r="M86" s="13"/>
      <c r="N86" s="3"/>
      <c r="O86" s="12"/>
      <c r="P86" s="6"/>
      <c r="Q86" s="6"/>
      <c r="R86" s="15"/>
    </row>
    <row r="87" spans="1:18" ht="15.75">
      <c r="A87" s="39" t="s">
        <v>227</v>
      </c>
      <c r="B87" s="39"/>
      <c r="C87" s="38">
        <v>46020</v>
      </c>
      <c r="D87" s="39" t="s">
        <v>90</v>
      </c>
      <c r="E87" s="39" t="s">
        <v>91</v>
      </c>
      <c r="F87" s="39" t="s">
        <v>21</v>
      </c>
      <c r="G87" s="39">
        <v>35</v>
      </c>
      <c r="H87" s="43">
        <v>118685.34</v>
      </c>
      <c r="I87" s="43"/>
      <c r="J87" s="43">
        <f>CobrosPendientes3[[#This Row],[Importe]]-CobrosPendientes3[[#This Row],[Imp cobrado]]</f>
        <v>118685.34</v>
      </c>
      <c r="K87" s="48"/>
      <c r="L87" s="39"/>
      <c r="M87" s="39"/>
      <c r="N87" s="44"/>
      <c r="O87" s="39" t="s">
        <v>22</v>
      </c>
      <c r="P87" s="6" t="s">
        <v>228</v>
      </c>
      <c r="Q87" s="74">
        <v>46031</v>
      </c>
      <c r="R87" s="15">
        <v>118685.34</v>
      </c>
    </row>
    <row r="88" spans="1:18" ht="15.75">
      <c r="A88" s="39" t="s">
        <v>229</v>
      </c>
      <c r="B88" s="39"/>
      <c r="C88" s="38">
        <v>46020</v>
      </c>
      <c r="D88" s="39" t="s">
        <v>90</v>
      </c>
      <c r="E88" s="39" t="s">
        <v>91</v>
      </c>
      <c r="F88" s="39" t="s">
        <v>24</v>
      </c>
      <c r="G88" s="39">
        <v>30</v>
      </c>
      <c r="H88" s="43">
        <v>101730.29</v>
      </c>
      <c r="I88" s="43"/>
      <c r="J88" s="43">
        <f>CobrosPendientes3[[#This Row],[Importe]]-CobrosPendientes3[[#This Row],[Imp cobrado]]</f>
        <v>101730.29</v>
      </c>
      <c r="K88" s="48"/>
      <c r="L88" s="39"/>
      <c r="M88" s="39"/>
      <c r="N88" s="44"/>
      <c r="O88" s="39" t="s">
        <v>22</v>
      </c>
      <c r="P88" s="6" t="s">
        <v>230</v>
      </c>
      <c r="Q88" s="74">
        <v>46031</v>
      </c>
      <c r="R88" s="15">
        <v>101730.29</v>
      </c>
    </row>
    <row r="89" spans="1:18" s="45" customFormat="1" ht="15.75">
      <c r="A89" s="39" t="s">
        <v>231</v>
      </c>
      <c r="B89" s="39"/>
      <c r="C89" s="38">
        <v>46020</v>
      </c>
      <c r="D89" s="39" t="s">
        <v>30</v>
      </c>
      <c r="E89" s="39" t="s">
        <v>232</v>
      </c>
      <c r="F89" s="39" t="s">
        <v>67</v>
      </c>
      <c r="G89" s="39">
        <v>40</v>
      </c>
      <c r="H89" s="43">
        <v>391789.14</v>
      </c>
      <c r="I89" s="43"/>
      <c r="J89" s="43">
        <f>CobrosPendientes3[[#This Row],[Importe]]-CobrosPendientes3[[#This Row],[Imp cobrado]]</f>
        <v>391789.14</v>
      </c>
      <c r="K89" s="19"/>
      <c r="L89" s="12"/>
      <c r="M89" s="12"/>
      <c r="N89" s="44" t="s">
        <v>233</v>
      </c>
      <c r="O89" s="39" t="s">
        <v>22</v>
      </c>
      <c r="P89" s="6" t="s">
        <v>234</v>
      </c>
      <c r="Q89" s="74">
        <v>46048</v>
      </c>
      <c r="R89" s="60">
        <v>391789.14</v>
      </c>
    </row>
    <row r="90" spans="1:18" ht="15.75">
      <c r="A90" s="21" t="s">
        <v>235</v>
      </c>
      <c r="B90" s="21"/>
      <c r="C90" s="20">
        <v>46020</v>
      </c>
      <c r="D90" s="21" t="s">
        <v>133</v>
      </c>
      <c r="E90" s="21" t="s">
        <v>134</v>
      </c>
      <c r="F90" s="21" t="s">
        <v>24</v>
      </c>
      <c r="G90" s="21">
        <v>30</v>
      </c>
      <c r="H90" s="35">
        <v>36343.81</v>
      </c>
      <c r="I90" s="35">
        <v>36343.81</v>
      </c>
      <c r="J90" s="35">
        <f>CobrosPendientes3[[#This Row],[Importe]]-CobrosPendientes3[[#This Row],[Imp cobrado]]</f>
        <v>0</v>
      </c>
      <c r="K90" s="36">
        <v>46034</v>
      </c>
      <c r="L90" s="64" t="s">
        <v>22</v>
      </c>
      <c r="M90" s="13"/>
      <c r="N90" s="3" t="s">
        <v>92</v>
      </c>
      <c r="O90" s="12"/>
      <c r="P90" s="6"/>
      <c r="Q90" s="6"/>
      <c r="R90" s="15"/>
    </row>
    <row r="91" spans="1:18" ht="15.75">
      <c r="A91" s="21" t="s">
        <v>236</v>
      </c>
      <c r="B91" s="21"/>
      <c r="C91" s="20">
        <v>46020</v>
      </c>
      <c r="D91" s="21" t="s">
        <v>133</v>
      </c>
      <c r="E91" s="21" t="s">
        <v>136</v>
      </c>
      <c r="F91" s="21" t="s">
        <v>24</v>
      </c>
      <c r="G91" s="21">
        <v>30</v>
      </c>
      <c r="H91" s="35">
        <v>36000.730000000003</v>
      </c>
      <c r="I91" s="35">
        <v>36000.730000000003</v>
      </c>
      <c r="J91" s="35">
        <f>CobrosPendientes3[[#This Row],[Importe]]-CobrosPendientes3[[#This Row],[Imp cobrado]]</f>
        <v>0</v>
      </c>
      <c r="K91" s="36">
        <v>46034</v>
      </c>
      <c r="L91" s="64" t="s">
        <v>22</v>
      </c>
      <c r="M91" s="13"/>
      <c r="N91" s="3" t="s">
        <v>92</v>
      </c>
      <c r="O91" s="12"/>
      <c r="P91" s="6"/>
      <c r="Q91" s="6"/>
      <c r="R91" s="15"/>
    </row>
    <row r="92" spans="1:18" ht="15.75">
      <c r="A92" s="21" t="s">
        <v>237</v>
      </c>
      <c r="B92" s="21"/>
      <c r="C92" s="20">
        <v>46020</v>
      </c>
      <c r="D92" s="21" t="s">
        <v>133</v>
      </c>
      <c r="E92" s="21" t="s">
        <v>140</v>
      </c>
      <c r="F92" s="21" t="s">
        <v>24</v>
      </c>
      <c r="G92" s="21">
        <v>30</v>
      </c>
      <c r="H92" s="35">
        <v>36449.67</v>
      </c>
      <c r="I92" s="35">
        <v>36449.67</v>
      </c>
      <c r="J92" s="35">
        <f>CobrosPendientes3[[#This Row],[Importe]]-CobrosPendientes3[[#This Row],[Imp cobrado]]</f>
        <v>0</v>
      </c>
      <c r="K92" s="36">
        <v>46034</v>
      </c>
      <c r="L92" s="64" t="s">
        <v>22</v>
      </c>
      <c r="M92" s="13"/>
      <c r="N92" s="3" t="s">
        <v>92</v>
      </c>
      <c r="O92" s="12"/>
      <c r="P92" s="6"/>
      <c r="Q92" s="6"/>
      <c r="R92" s="15"/>
    </row>
    <row r="93" spans="1:18" s="45" customFormat="1" ht="15.75">
      <c r="A93" s="39" t="s">
        <v>238</v>
      </c>
      <c r="B93" s="39"/>
      <c r="C93" s="38">
        <v>46020</v>
      </c>
      <c r="D93" s="39" t="s">
        <v>30</v>
      </c>
      <c r="E93" s="39" t="s">
        <v>239</v>
      </c>
      <c r="F93" s="39" t="s">
        <v>67</v>
      </c>
      <c r="G93" s="39">
        <v>40</v>
      </c>
      <c r="H93" s="43">
        <v>294190.21000000002</v>
      </c>
      <c r="I93" s="43"/>
      <c r="J93" s="43">
        <f>CobrosPendientes3[[#This Row],[Importe]]-CobrosPendientes3[[#This Row],[Imp cobrado]]</f>
        <v>294190.21000000002</v>
      </c>
      <c r="K93" s="48"/>
      <c r="L93" s="39"/>
      <c r="M93" s="39"/>
      <c r="N93" s="44" t="s">
        <v>240</v>
      </c>
      <c r="O93" s="39" t="s">
        <v>22</v>
      </c>
      <c r="P93" s="6" t="s">
        <v>241</v>
      </c>
      <c r="Q93" s="74">
        <v>46062</v>
      </c>
      <c r="R93" s="60">
        <v>294190.21000000002</v>
      </c>
    </row>
    <row r="94" spans="1:18" s="45" customFormat="1" ht="15.75">
      <c r="A94" s="39" t="s">
        <v>242</v>
      </c>
      <c r="B94" s="39"/>
      <c r="C94" s="38">
        <v>46020</v>
      </c>
      <c r="D94" s="39" t="s">
        <v>30</v>
      </c>
      <c r="E94" s="39" t="s">
        <v>243</v>
      </c>
      <c r="F94" s="39" t="s">
        <v>67</v>
      </c>
      <c r="G94" s="39">
        <v>40</v>
      </c>
      <c r="H94" s="43">
        <v>365834.56</v>
      </c>
      <c r="I94" s="43"/>
      <c r="J94" s="43">
        <f>CobrosPendientes3[[#This Row],[Importe]]-CobrosPendientes3[[#This Row],[Imp cobrado]]</f>
        <v>365834.56</v>
      </c>
      <c r="K94" s="48"/>
      <c r="L94" s="39"/>
      <c r="M94" s="39"/>
      <c r="N94" s="44" t="s">
        <v>240</v>
      </c>
      <c r="O94" s="39" t="s">
        <v>22</v>
      </c>
      <c r="P94" s="6" t="s">
        <v>244</v>
      </c>
      <c r="Q94" s="74">
        <v>46062</v>
      </c>
      <c r="R94" s="60">
        <v>365834.56</v>
      </c>
    </row>
    <row r="95" spans="1:18" s="45" customFormat="1" ht="15.75">
      <c r="A95" s="39" t="s">
        <v>245</v>
      </c>
      <c r="B95" s="39"/>
      <c r="C95" s="38">
        <v>46020</v>
      </c>
      <c r="D95" s="39" t="s">
        <v>30</v>
      </c>
      <c r="E95" s="39" t="s">
        <v>246</v>
      </c>
      <c r="F95" s="39" t="s">
        <v>67</v>
      </c>
      <c r="G95" s="39">
        <v>40</v>
      </c>
      <c r="H95" s="43">
        <v>249344.16</v>
      </c>
      <c r="I95" s="43"/>
      <c r="J95" s="43">
        <f>CobrosPendientes3[[#This Row],[Importe]]-CobrosPendientes3[[#This Row],[Imp cobrado]]</f>
        <v>249344.16</v>
      </c>
      <c r="K95" s="48"/>
      <c r="L95" s="39"/>
      <c r="M95" s="39"/>
      <c r="N95" s="44" t="s">
        <v>240</v>
      </c>
      <c r="O95" s="39" t="s">
        <v>22</v>
      </c>
      <c r="P95" s="6" t="s">
        <v>247</v>
      </c>
      <c r="Q95" s="74">
        <v>46062</v>
      </c>
      <c r="R95" s="60">
        <v>249344.16</v>
      </c>
    </row>
    <row r="96" spans="1:18" s="45" customFormat="1" ht="15.75">
      <c r="A96" s="39" t="s">
        <v>248</v>
      </c>
      <c r="B96" s="39"/>
      <c r="C96" s="38">
        <v>46020</v>
      </c>
      <c r="D96" s="39" t="s">
        <v>30</v>
      </c>
      <c r="E96" s="39" t="s">
        <v>249</v>
      </c>
      <c r="F96" s="39" t="s">
        <v>67</v>
      </c>
      <c r="G96" s="39">
        <v>40</v>
      </c>
      <c r="H96" s="43">
        <v>95422.82</v>
      </c>
      <c r="I96" s="43"/>
      <c r="J96" s="43">
        <f>CobrosPendientes3[[#This Row],[Importe]]-CobrosPendientes3[[#This Row],[Imp cobrado]]</f>
        <v>95422.82</v>
      </c>
      <c r="K96" s="48"/>
      <c r="L96" s="39"/>
      <c r="M96" s="39"/>
      <c r="N96" s="44" t="s">
        <v>240</v>
      </c>
      <c r="O96" s="39" t="s">
        <v>22</v>
      </c>
      <c r="P96" s="6" t="s">
        <v>250</v>
      </c>
      <c r="Q96" s="74">
        <v>46062</v>
      </c>
      <c r="R96" s="60">
        <v>95422.82</v>
      </c>
    </row>
    <row r="97" spans="1:18" s="45" customFormat="1" ht="15.75">
      <c r="A97" s="39" t="s">
        <v>251</v>
      </c>
      <c r="B97" s="39"/>
      <c r="C97" s="38">
        <v>46020</v>
      </c>
      <c r="D97" s="39" t="s">
        <v>30</v>
      </c>
      <c r="E97" s="39" t="s">
        <v>252</v>
      </c>
      <c r="F97" s="39" t="s">
        <v>67</v>
      </c>
      <c r="G97" s="39">
        <v>40</v>
      </c>
      <c r="H97" s="43">
        <v>96161.97</v>
      </c>
      <c r="I97" s="43"/>
      <c r="J97" s="43">
        <f>CobrosPendientes3[[#This Row],[Importe]]-CobrosPendientes3[[#This Row],[Imp cobrado]]</f>
        <v>96161.97</v>
      </c>
      <c r="K97" s="48"/>
      <c r="L97" s="39"/>
      <c r="M97" s="39"/>
      <c r="N97" s="44" t="s">
        <v>240</v>
      </c>
      <c r="O97" s="39" t="s">
        <v>22</v>
      </c>
      <c r="P97" s="6" t="s">
        <v>253</v>
      </c>
      <c r="Q97" s="74">
        <v>46062</v>
      </c>
      <c r="R97" s="60">
        <v>96161.97</v>
      </c>
    </row>
    <row r="98" spans="1:18" s="45" customFormat="1" ht="15.75">
      <c r="A98" s="39" t="s">
        <v>254</v>
      </c>
      <c r="B98" s="39"/>
      <c r="C98" s="38">
        <v>46020</v>
      </c>
      <c r="D98" s="39" t="s">
        <v>30</v>
      </c>
      <c r="E98" s="39" t="s">
        <v>255</v>
      </c>
      <c r="F98" s="39" t="s">
        <v>67</v>
      </c>
      <c r="G98" s="39">
        <v>40</v>
      </c>
      <c r="H98" s="43">
        <v>256077</v>
      </c>
      <c r="I98" s="43"/>
      <c r="J98" s="43">
        <f>CobrosPendientes3[[#This Row],[Importe]]-CobrosPendientes3[[#This Row],[Imp cobrado]]</f>
        <v>256077</v>
      </c>
      <c r="K98" s="48"/>
      <c r="L98" s="39"/>
      <c r="M98" s="39"/>
      <c r="N98" s="44" t="s">
        <v>240</v>
      </c>
      <c r="O98" s="39" t="s">
        <v>22</v>
      </c>
      <c r="P98" s="6" t="s">
        <v>256</v>
      </c>
      <c r="Q98" s="74">
        <v>46062</v>
      </c>
      <c r="R98" s="60">
        <v>256077</v>
      </c>
    </row>
    <row r="99" spans="1:18" ht="15.75">
      <c r="A99" s="12" t="s">
        <v>257</v>
      </c>
      <c r="B99" s="12" t="s">
        <v>258</v>
      </c>
      <c r="C99" s="13">
        <v>46027</v>
      </c>
      <c r="D99" s="12" t="s">
        <v>167</v>
      </c>
      <c r="E99" s="12" t="s">
        <v>259</v>
      </c>
      <c r="F99" s="12" t="s">
        <v>260</v>
      </c>
      <c r="G99" s="12">
        <v>30</v>
      </c>
      <c r="H99" s="5">
        <v>18900</v>
      </c>
      <c r="I99" s="5"/>
      <c r="J99" s="5">
        <f>CobrosPendientes3[[#This Row],[Importe]]-CobrosPendientes3[[#This Row],[Imp cobrado]]</f>
        <v>18900</v>
      </c>
      <c r="K99" s="3"/>
      <c r="L99" s="3"/>
      <c r="M99" s="3"/>
      <c r="N99" s="29"/>
      <c r="O99" s="73"/>
      <c r="P99" s="31"/>
      <c r="Q99" s="32"/>
      <c r="R99" s="61"/>
    </row>
    <row r="100" spans="1:18" ht="15.75">
      <c r="A100" s="12" t="s">
        <v>261</v>
      </c>
      <c r="B100" s="12" t="s">
        <v>262</v>
      </c>
      <c r="C100" s="13">
        <v>46027</v>
      </c>
      <c r="D100" s="12" t="s">
        <v>167</v>
      </c>
      <c r="E100" s="12" t="s">
        <v>263</v>
      </c>
      <c r="F100" s="12" t="s">
        <v>260</v>
      </c>
      <c r="G100" s="12">
        <v>30</v>
      </c>
      <c r="H100" s="5">
        <v>18900</v>
      </c>
      <c r="I100" s="5"/>
      <c r="J100" s="5">
        <f>CobrosPendientes3[[#This Row],[Importe]]-CobrosPendientes3[[#This Row],[Imp cobrado]]</f>
        <v>18900</v>
      </c>
      <c r="K100" s="3"/>
      <c r="L100" s="3"/>
      <c r="M100" s="3"/>
      <c r="N100" s="30"/>
      <c r="O100" s="34"/>
      <c r="P100" s="33"/>
      <c r="Q100" s="6"/>
      <c r="R100" s="15"/>
    </row>
    <row r="101" spans="1:18" ht="15.75">
      <c r="A101" s="12" t="s">
        <v>228</v>
      </c>
      <c r="B101" s="12" t="s">
        <v>264</v>
      </c>
      <c r="C101" s="13">
        <v>46027</v>
      </c>
      <c r="D101" s="12" t="s">
        <v>167</v>
      </c>
      <c r="E101" s="12" t="s">
        <v>265</v>
      </c>
      <c r="F101" s="12" t="s">
        <v>260</v>
      </c>
      <c r="G101" s="12">
        <v>30</v>
      </c>
      <c r="H101" s="5">
        <v>18900</v>
      </c>
      <c r="I101" s="5"/>
      <c r="J101" s="5">
        <f>CobrosPendientes3[[#This Row],[Importe]]-CobrosPendientes3[[#This Row],[Imp cobrado]]</f>
        <v>18900</v>
      </c>
      <c r="K101" s="3"/>
      <c r="L101" s="3"/>
      <c r="M101" s="3"/>
      <c r="N101" s="30"/>
      <c r="O101" s="34"/>
      <c r="P101" s="33"/>
      <c r="Q101" s="6"/>
      <c r="R101" s="15"/>
    </row>
    <row r="102" spans="1:18" ht="15.75">
      <c r="A102" s="12" t="s">
        <v>266</v>
      </c>
      <c r="B102" s="12" t="s">
        <v>267</v>
      </c>
      <c r="C102" s="13">
        <v>46027</v>
      </c>
      <c r="D102" s="12" t="s">
        <v>167</v>
      </c>
      <c r="E102" s="12" t="s">
        <v>268</v>
      </c>
      <c r="F102" s="12" t="s">
        <v>260</v>
      </c>
      <c r="G102" s="12">
        <v>30</v>
      </c>
      <c r="H102" s="5">
        <v>18900</v>
      </c>
      <c r="I102" s="5"/>
      <c r="J102" s="5">
        <f>CobrosPendientes3[[#This Row],[Importe]]-CobrosPendientes3[[#This Row],[Imp cobrado]]</f>
        <v>18900</v>
      </c>
      <c r="K102" s="3"/>
      <c r="L102" s="3"/>
      <c r="M102" s="3"/>
      <c r="N102" s="30"/>
      <c r="O102" s="34"/>
      <c r="P102" s="33"/>
      <c r="Q102" s="6"/>
      <c r="R102" s="15"/>
    </row>
    <row r="103" spans="1:18" ht="15.75">
      <c r="A103" s="12" t="s">
        <v>269</v>
      </c>
      <c r="B103" s="12" t="s">
        <v>270</v>
      </c>
      <c r="C103" s="13">
        <v>46027</v>
      </c>
      <c r="D103" s="12" t="s">
        <v>167</v>
      </c>
      <c r="E103" s="12" t="s">
        <v>271</v>
      </c>
      <c r="F103" s="12" t="s">
        <v>260</v>
      </c>
      <c r="G103" s="12">
        <v>30</v>
      </c>
      <c r="H103" s="5">
        <v>18900</v>
      </c>
      <c r="I103" s="5"/>
      <c r="J103" s="5">
        <f>CobrosPendientes3[[#This Row],[Importe]]-CobrosPendientes3[[#This Row],[Imp cobrado]]</f>
        <v>18900</v>
      </c>
      <c r="K103" s="3"/>
      <c r="L103" s="3"/>
      <c r="M103" s="3"/>
      <c r="N103" s="30"/>
      <c r="O103" s="34"/>
      <c r="P103" s="33"/>
      <c r="Q103" s="6"/>
      <c r="R103" s="15"/>
    </row>
    <row r="104" spans="1:18" ht="15.75">
      <c r="A104" s="12" t="s">
        <v>272</v>
      </c>
      <c r="B104" s="12" t="s">
        <v>273</v>
      </c>
      <c r="C104" s="13">
        <v>46027</v>
      </c>
      <c r="D104" s="12" t="s">
        <v>167</v>
      </c>
      <c r="E104" s="12" t="s">
        <v>274</v>
      </c>
      <c r="F104" s="12" t="s">
        <v>260</v>
      </c>
      <c r="G104" s="12">
        <v>30</v>
      </c>
      <c r="H104" s="5">
        <v>18900</v>
      </c>
      <c r="I104" s="5"/>
      <c r="J104" s="5">
        <f>CobrosPendientes3[[#This Row],[Importe]]-CobrosPendientes3[[#This Row],[Imp cobrado]]</f>
        <v>18900</v>
      </c>
      <c r="K104" s="3"/>
      <c r="L104" s="3"/>
      <c r="M104" s="3"/>
      <c r="N104" s="30"/>
      <c r="O104" s="34"/>
      <c r="P104" s="33"/>
      <c r="Q104" s="6"/>
      <c r="R104" s="15"/>
    </row>
    <row r="105" spans="1:18" ht="15.75">
      <c r="A105" s="12" t="s">
        <v>216</v>
      </c>
      <c r="B105" s="12" t="s">
        <v>275</v>
      </c>
      <c r="C105" s="13">
        <v>46027</v>
      </c>
      <c r="D105" s="12" t="s">
        <v>167</v>
      </c>
      <c r="E105" s="12" t="s">
        <v>276</v>
      </c>
      <c r="F105" s="12" t="s">
        <v>260</v>
      </c>
      <c r="G105" s="12">
        <v>30</v>
      </c>
      <c r="H105" s="5">
        <v>18900</v>
      </c>
      <c r="I105" s="5"/>
      <c r="J105" s="5">
        <f>CobrosPendientes3[[#This Row],[Importe]]-CobrosPendientes3[[#This Row],[Imp cobrado]]</f>
        <v>18900</v>
      </c>
      <c r="K105" s="3"/>
      <c r="L105" s="3"/>
      <c r="M105" s="3"/>
      <c r="N105" s="30"/>
      <c r="O105" s="34"/>
      <c r="P105" s="33"/>
      <c r="Q105" s="6"/>
      <c r="R105" s="15"/>
    </row>
    <row r="106" spans="1:18" ht="30.75">
      <c r="A106" s="12" t="s">
        <v>277</v>
      </c>
      <c r="B106" s="12" t="s">
        <v>278</v>
      </c>
      <c r="C106" s="13">
        <v>46029</v>
      </c>
      <c r="D106" s="12" t="s">
        <v>279</v>
      </c>
      <c r="E106" s="12" t="s">
        <v>176</v>
      </c>
      <c r="F106" s="12" t="s">
        <v>67</v>
      </c>
      <c r="G106" s="12">
        <v>25</v>
      </c>
      <c r="H106" s="35">
        <v>31835.54</v>
      </c>
      <c r="I106" s="35">
        <v>31835.54</v>
      </c>
      <c r="J106" s="35">
        <f>CobrosPendientes3[[#This Row],[Importe]]-CobrosPendientes3[[#This Row],[Imp cobrado]]</f>
        <v>0</v>
      </c>
      <c r="K106" s="40">
        <v>46044</v>
      </c>
      <c r="L106" s="40" t="s">
        <v>22</v>
      </c>
      <c r="M106" s="55"/>
      <c r="N106" s="41" t="s">
        <v>280</v>
      </c>
      <c r="O106" s="75" t="s">
        <v>22</v>
      </c>
      <c r="P106" s="33" t="s">
        <v>281</v>
      </c>
      <c r="Q106" s="74">
        <v>46192</v>
      </c>
      <c r="R106" s="15"/>
    </row>
    <row r="107" spans="1:18" ht="15.75">
      <c r="A107" s="12" t="s">
        <v>282</v>
      </c>
      <c r="B107" s="12" t="s">
        <v>283</v>
      </c>
      <c r="C107" s="13">
        <v>46030</v>
      </c>
      <c r="D107" s="12" t="s">
        <v>279</v>
      </c>
      <c r="E107" s="12" t="s">
        <v>176</v>
      </c>
      <c r="F107" s="12" t="s">
        <v>225</v>
      </c>
      <c r="G107" s="12">
        <v>100</v>
      </c>
      <c r="H107" s="35">
        <v>4080.38</v>
      </c>
      <c r="I107" s="35">
        <v>4080.38</v>
      </c>
      <c r="J107" s="35">
        <f>CobrosPendientes3[[#This Row],[Importe]]-CobrosPendientes3[[#This Row],[Imp cobrado]]</f>
        <v>0</v>
      </c>
      <c r="K107" s="40">
        <v>45932</v>
      </c>
      <c r="L107" s="40" t="s">
        <v>22</v>
      </c>
      <c r="M107" s="55"/>
      <c r="N107" s="30" t="s">
        <v>284</v>
      </c>
      <c r="O107" s="49" t="s">
        <v>22</v>
      </c>
      <c r="P107" s="33" t="s">
        <v>285</v>
      </c>
      <c r="Q107" s="74">
        <v>46192</v>
      </c>
      <c r="R107" s="15"/>
    </row>
    <row r="108" spans="1:18" ht="15.75">
      <c r="A108" s="21" t="s">
        <v>241</v>
      </c>
      <c r="B108" s="21" t="s">
        <v>286</v>
      </c>
      <c r="C108" s="20">
        <v>46038</v>
      </c>
      <c r="D108" s="21" t="s">
        <v>167</v>
      </c>
      <c r="E108" s="21" t="s">
        <v>287</v>
      </c>
      <c r="F108" s="21" t="s">
        <v>67</v>
      </c>
      <c r="G108" s="21">
        <v>30</v>
      </c>
      <c r="H108" s="35">
        <v>102900</v>
      </c>
      <c r="I108" s="35">
        <v>102900</v>
      </c>
      <c r="J108" s="35">
        <f>CobrosPendientes3[[#This Row],[Importe]]-CobrosPendientes3[[#This Row],[Imp cobrado]]</f>
        <v>0</v>
      </c>
      <c r="K108" s="40">
        <v>46044</v>
      </c>
      <c r="L108" s="40" t="s">
        <v>22</v>
      </c>
      <c r="M108" s="55"/>
      <c r="N108" s="30"/>
      <c r="O108" s="34"/>
      <c r="P108" s="33"/>
      <c r="Q108" s="6"/>
      <c r="R108" s="15"/>
    </row>
    <row r="109" spans="1:18" s="16" customFormat="1" ht="15.75">
      <c r="A109" s="21" t="s">
        <v>244</v>
      </c>
      <c r="B109" s="21" t="s">
        <v>288</v>
      </c>
      <c r="C109" s="20">
        <v>46041</v>
      </c>
      <c r="D109" s="21" t="s">
        <v>80</v>
      </c>
      <c r="E109" s="21" t="s">
        <v>81</v>
      </c>
      <c r="F109" s="21" t="s">
        <v>289</v>
      </c>
      <c r="G109" s="21">
        <v>100</v>
      </c>
      <c r="H109" s="35">
        <v>16650</v>
      </c>
      <c r="I109" s="35">
        <v>16650</v>
      </c>
      <c r="J109" s="35">
        <f>CobrosPendientes3[[#This Row],[Importe]]-CobrosPendientes3[[#This Row],[Imp cobrado]]</f>
        <v>0</v>
      </c>
      <c r="K109" s="40">
        <v>46045</v>
      </c>
      <c r="L109" s="40" t="s">
        <v>22</v>
      </c>
      <c r="M109" s="55"/>
      <c r="N109" s="30"/>
      <c r="O109" s="34"/>
      <c r="P109" s="33"/>
      <c r="Q109" s="6"/>
      <c r="R109" s="15"/>
    </row>
    <row r="110" spans="1:18" ht="15.75">
      <c r="A110" s="21" t="s">
        <v>247</v>
      </c>
      <c r="B110" s="21" t="s">
        <v>290</v>
      </c>
      <c r="C110" s="20">
        <v>46044</v>
      </c>
      <c r="D110" s="21" t="s">
        <v>291</v>
      </c>
      <c r="E110" s="21" t="s">
        <v>292</v>
      </c>
      <c r="F110" s="21" t="s">
        <v>67</v>
      </c>
      <c r="G110" s="21">
        <v>30</v>
      </c>
      <c r="H110" s="35">
        <v>43866.31</v>
      </c>
      <c r="I110" s="35">
        <v>43866.31</v>
      </c>
      <c r="J110" s="35">
        <f>CobrosPendientes3[[#This Row],[Importe]]-CobrosPendientes3[[#This Row],[Imp cobrado]]</f>
        <v>0</v>
      </c>
      <c r="K110" s="40">
        <v>46048</v>
      </c>
      <c r="L110" s="40" t="s">
        <v>22</v>
      </c>
      <c r="M110" s="55"/>
      <c r="N110" s="30" t="s">
        <v>92</v>
      </c>
      <c r="O110" s="34"/>
      <c r="P110" s="33"/>
      <c r="Q110" s="6"/>
      <c r="R110" s="60"/>
    </row>
    <row r="111" spans="1:18" s="16" customFormat="1" ht="15.75">
      <c r="A111" s="21" t="s">
        <v>250</v>
      </c>
      <c r="B111" s="21" t="s">
        <v>293</v>
      </c>
      <c r="C111" s="20">
        <v>46044</v>
      </c>
      <c r="D111" s="21" t="s">
        <v>156</v>
      </c>
      <c r="E111" s="21" t="s">
        <v>157</v>
      </c>
      <c r="F111" s="21" t="s">
        <v>294</v>
      </c>
      <c r="G111" s="21">
        <v>100</v>
      </c>
      <c r="H111" s="35">
        <v>4230</v>
      </c>
      <c r="I111" s="35">
        <v>4230</v>
      </c>
      <c r="J111" s="35">
        <f>CobrosPendientes3[[#This Row],[Importe]]-CobrosPendientes3[[#This Row],[Imp cobrado]]</f>
        <v>0</v>
      </c>
      <c r="K111" s="40">
        <v>46121</v>
      </c>
      <c r="L111" s="69" t="s">
        <v>22</v>
      </c>
      <c r="M111" s="3"/>
      <c r="N111" s="30" t="s">
        <v>295</v>
      </c>
      <c r="O111" s="34"/>
      <c r="P111" s="33"/>
      <c r="Q111" s="6"/>
      <c r="R111" s="15"/>
    </row>
    <row r="112" spans="1:18" s="52" customFormat="1" ht="15.75">
      <c r="A112" s="39" t="s">
        <v>253</v>
      </c>
      <c r="B112" s="39" t="s">
        <v>296</v>
      </c>
      <c r="C112" s="38">
        <v>46051</v>
      </c>
      <c r="D112" s="39" t="s">
        <v>30</v>
      </c>
      <c r="E112" s="39" t="s">
        <v>232</v>
      </c>
      <c r="F112" s="39" t="s">
        <v>67</v>
      </c>
      <c r="G112" s="39">
        <v>30</v>
      </c>
      <c r="H112" s="50">
        <v>293841.84999999998</v>
      </c>
      <c r="I112" s="50"/>
      <c r="J112" s="50">
        <f>CobrosPendientes3[[#This Row],[Importe]]-CobrosPendientes3[[#This Row],[Imp cobrado]]</f>
        <v>293841.84999999998</v>
      </c>
      <c r="K112" s="44"/>
      <c r="L112" s="44"/>
      <c r="M112" s="44"/>
      <c r="N112" s="51" t="s">
        <v>297</v>
      </c>
      <c r="O112" s="49" t="s">
        <v>22</v>
      </c>
      <c r="P112" s="33" t="s">
        <v>298</v>
      </c>
      <c r="Q112" s="74">
        <v>46108</v>
      </c>
      <c r="R112" s="15">
        <v>293841.84999999998</v>
      </c>
    </row>
    <row r="113" spans="1:18" s="16" customFormat="1" ht="15.75">
      <c r="A113" s="21" t="s">
        <v>256</v>
      </c>
      <c r="B113" s="21" t="s">
        <v>299</v>
      </c>
      <c r="C113" s="20">
        <v>46055</v>
      </c>
      <c r="D113" s="21" t="s">
        <v>186</v>
      </c>
      <c r="E113" s="21" t="s">
        <v>189</v>
      </c>
      <c r="F113" s="21" t="s">
        <v>108</v>
      </c>
      <c r="G113" s="21">
        <v>5</v>
      </c>
      <c r="H113" s="35">
        <v>5533.85</v>
      </c>
      <c r="I113" s="35">
        <v>5533.85</v>
      </c>
      <c r="J113" s="35">
        <f>CobrosPendientes3[[#This Row],[Importe]]-CobrosPendientes3[[#This Row],[Imp cobrado]]</f>
        <v>0</v>
      </c>
      <c r="K113" s="40">
        <v>46063</v>
      </c>
      <c r="L113" s="40" t="s">
        <v>22</v>
      </c>
      <c r="M113" s="55"/>
      <c r="N113" s="30"/>
      <c r="O113" s="34"/>
      <c r="P113" s="33"/>
      <c r="Q113" s="6"/>
      <c r="R113" s="15"/>
    </row>
    <row r="114" spans="1:18" s="16" customFormat="1" ht="15.75">
      <c r="A114" s="21" t="s">
        <v>300</v>
      </c>
      <c r="B114" s="21" t="s">
        <v>301</v>
      </c>
      <c r="C114" s="20">
        <v>46055</v>
      </c>
      <c r="D114" s="21" t="s">
        <v>186</v>
      </c>
      <c r="E114" s="21" t="s">
        <v>192</v>
      </c>
      <c r="F114" s="21" t="s">
        <v>108</v>
      </c>
      <c r="G114" s="21">
        <v>5</v>
      </c>
      <c r="H114" s="35">
        <v>5060.59</v>
      </c>
      <c r="I114" s="35">
        <v>5060.59</v>
      </c>
      <c r="J114" s="35">
        <f>CobrosPendientes3[[#This Row],[Importe]]-CobrosPendientes3[[#This Row],[Imp cobrado]]</f>
        <v>0</v>
      </c>
      <c r="K114" s="40">
        <v>46063</v>
      </c>
      <c r="L114" s="40" t="s">
        <v>22</v>
      </c>
      <c r="M114" s="55"/>
      <c r="N114" s="30"/>
      <c r="O114" s="34"/>
      <c r="P114" s="33"/>
      <c r="Q114" s="6"/>
      <c r="R114" s="15"/>
    </row>
    <row r="115" spans="1:18" s="16" customFormat="1" ht="15.75">
      <c r="A115" s="21" t="s">
        <v>302</v>
      </c>
      <c r="B115" s="21" t="s">
        <v>303</v>
      </c>
      <c r="C115" s="20">
        <v>46055</v>
      </c>
      <c r="D115" s="21" t="s">
        <v>186</v>
      </c>
      <c r="E115" s="21" t="s">
        <v>187</v>
      </c>
      <c r="F115" s="21" t="s">
        <v>108</v>
      </c>
      <c r="G115" s="21">
        <v>5</v>
      </c>
      <c r="H115" s="35">
        <v>5163.26</v>
      </c>
      <c r="I115" s="35">
        <v>5163.26</v>
      </c>
      <c r="J115" s="35">
        <f>CobrosPendientes3[[#This Row],[Importe]]-CobrosPendientes3[[#This Row],[Imp cobrado]]</f>
        <v>0</v>
      </c>
      <c r="K115" s="40">
        <v>46063</v>
      </c>
      <c r="L115" s="40" t="s">
        <v>22</v>
      </c>
      <c r="M115" s="55"/>
      <c r="N115" s="30"/>
      <c r="O115" s="34"/>
      <c r="P115" s="33"/>
      <c r="Q115" s="6"/>
      <c r="R115" s="15"/>
    </row>
    <row r="116" spans="1:18" s="16" customFormat="1" ht="15.75">
      <c r="A116" s="21" t="s">
        <v>304</v>
      </c>
      <c r="B116" s="21" t="s">
        <v>305</v>
      </c>
      <c r="C116" s="20">
        <v>46055</v>
      </c>
      <c r="D116" s="21" t="s">
        <v>186</v>
      </c>
      <c r="E116" s="21" t="s">
        <v>194</v>
      </c>
      <c r="F116" s="21" t="s">
        <v>108</v>
      </c>
      <c r="G116" s="21">
        <v>5</v>
      </c>
      <c r="H116" s="35">
        <v>5115.76</v>
      </c>
      <c r="I116" s="35">
        <v>5115.76</v>
      </c>
      <c r="J116" s="35">
        <f>CobrosPendientes3[[#This Row],[Importe]]-CobrosPendientes3[[#This Row],[Imp cobrado]]</f>
        <v>0</v>
      </c>
      <c r="K116" s="40">
        <v>46063</v>
      </c>
      <c r="L116" s="40" t="s">
        <v>22</v>
      </c>
      <c r="M116" s="55"/>
      <c r="N116" s="30"/>
      <c r="O116" s="34"/>
      <c r="P116" s="33"/>
      <c r="Q116" s="6"/>
      <c r="R116" s="15"/>
    </row>
    <row r="117" spans="1:18" s="16" customFormat="1" ht="15.75">
      <c r="A117" s="21" t="s">
        <v>298</v>
      </c>
      <c r="B117" s="21" t="s">
        <v>306</v>
      </c>
      <c r="C117" s="20">
        <v>46055</v>
      </c>
      <c r="D117" s="21" t="s">
        <v>307</v>
      </c>
      <c r="E117" s="21" t="s">
        <v>308</v>
      </c>
      <c r="F117" s="21" t="s">
        <v>67</v>
      </c>
      <c r="G117" s="21">
        <v>20</v>
      </c>
      <c r="H117" s="35">
        <v>28259.73</v>
      </c>
      <c r="I117" s="35">
        <v>28259.73</v>
      </c>
      <c r="J117" s="35">
        <f>CobrosPendientes3[[#This Row],[Importe]]-CobrosPendientes3[[#This Row],[Imp cobrado]]</f>
        <v>0</v>
      </c>
      <c r="K117" s="40">
        <v>46071</v>
      </c>
      <c r="L117" s="40" t="s">
        <v>22</v>
      </c>
      <c r="M117" s="3"/>
      <c r="N117" s="30"/>
      <c r="O117" s="34"/>
      <c r="P117" s="33"/>
      <c r="Q117" s="6"/>
      <c r="R117" s="15"/>
    </row>
    <row r="118" spans="1:18" s="16" customFormat="1" ht="15.75">
      <c r="A118" s="21" t="s">
        <v>309</v>
      </c>
      <c r="B118" s="21" t="s">
        <v>310</v>
      </c>
      <c r="C118" s="20">
        <v>46055</v>
      </c>
      <c r="D118" s="21" t="s">
        <v>311</v>
      </c>
      <c r="E118" s="21" t="s">
        <v>312</v>
      </c>
      <c r="F118" s="21" t="s">
        <v>313</v>
      </c>
      <c r="G118" s="21">
        <v>30</v>
      </c>
      <c r="H118" s="35">
        <v>44565</v>
      </c>
      <c r="I118" s="35">
        <v>44565</v>
      </c>
      <c r="J118" s="35">
        <f>CobrosPendientes3[[#This Row],[Importe]]-CobrosPendientes3[[#This Row],[Imp cobrado]]</f>
        <v>0</v>
      </c>
      <c r="K118" s="40">
        <v>46059</v>
      </c>
      <c r="L118" s="40" t="s">
        <v>22</v>
      </c>
      <c r="M118" s="55"/>
      <c r="N118" s="30"/>
      <c r="O118" s="34"/>
      <c r="P118" s="33"/>
      <c r="Q118" s="6"/>
      <c r="R118" s="15"/>
    </row>
    <row r="119" spans="1:18" s="52" customFormat="1" ht="15.75">
      <c r="A119" s="39" t="s">
        <v>314</v>
      </c>
      <c r="B119" s="39" t="s">
        <v>315</v>
      </c>
      <c r="C119" s="38">
        <v>46056</v>
      </c>
      <c r="D119" s="39" t="s">
        <v>162</v>
      </c>
      <c r="E119" s="39" t="s">
        <v>163</v>
      </c>
      <c r="F119" s="39" t="s">
        <v>24</v>
      </c>
      <c r="G119" s="39">
        <v>30</v>
      </c>
      <c r="H119" s="50">
        <v>39632.14</v>
      </c>
      <c r="I119" s="50"/>
      <c r="J119" s="50">
        <f>CobrosPendientes3[[#This Row],[Importe]]-CobrosPendientes3[[#This Row],[Imp cobrado]]</f>
        <v>39632.14</v>
      </c>
      <c r="K119" s="44"/>
      <c r="L119" s="44"/>
      <c r="M119" s="44"/>
      <c r="N119" s="51" t="s">
        <v>213</v>
      </c>
      <c r="O119" s="49" t="s">
        <v>22</v>
      </c>
      <c r="P119" s="33" t="s">
        <v>277</v>
      </c>
      <c r="Q119" s="74">
        <v>46058</v>
      </c>
      <c r="R119" s="15">
        <v>39632.14</v>
      </c>
    </row>
    <row r="120" spans="1:18" s="52" customFormat="1" ht="15.75">
      <c r="A120" s="88" t="s">
        <v>316</v>
      </c>
      <c r="B120" s="88" t="s">
        <v>317</v>
      </c>
      <c r="C120" s="89">
        <v>46056</v>
      </c>
      <c r="D120" s="88" t="s">
        <v>162</v>
      </c>
      <c r="E120" s="88" t="s">
        <v>165</v>
      </c>
      <c r="F120" s="88" t="s">
        <v>24</v>
      </c>
      <c r="G120" s="88">
        <v>30</v>
      </c>
      <c r="H120" s="50">
        <v>132601.63</v>
      </c>
      <c r="I120" s="50"/>
      <c r="J120" s="50">
        <f>CobrosPendientes3[[#This Row],[Importe]]-CobrosPendientes3[[#This Row],[Imp cobrado]]</f>
        <v>132601.63</v>
      </c>
      <c r="K120" s="44"/>
      <c r="L120" s="44"/>
      <c r="M120" s="44"/>
      <c r="N120" s="51" t="s">
        <v>213</v>
      </c>
      <c r="O120" s="49" t="s">
        <v>22</v>
      </c>
      <c r="P120" s="33" t="s">
        <v>282</v>
      </c>
      <c r="Q120" s="74">
        <v>46058</v>
      </c>
      <c r="R120" s="15">
        <v>132601.63</v>
      </c>
    </row>
    <row r="121" spans="1:18" s="16" customFormat="1" ht="15.75">
      <c r="A121" s="66" t="s">
        <v>281</v>
      </c>
      <c r="B121" s="66" t="s">
        <v>318</v>
      </c>
      <c r="C121" s="20">
        <v>46059</v>
      </c>
      <c r="D121" s="21" t="s">
        <v>319</v>
      </c>
      <c r="E121" s="21" t="s">
        <v>320</v>
      </c>
      <c r="F121" s="21" t="s">
        <v>21</v>
      </c>
      <c r="G121" s="22">
        <v>50</v>
      </c>
      <c r="H121" s="35">
        <v>69215.95</v>
      </c>
      <c r="I121" s="35">
        <v>69215.95</v>
      </c>
      <c r="J121" s="35">
        <f>CobrosPendientes3[[#This Row],[Importe]]-CobrosPendientes3[[#This Row],[Imp cobrado]]</f>
        <v>0</v>
      </c>
      <c r="K121" s="40">
        <v>46070</v>
      </c>
      <c r="L121" s="40" t="s">
        <v>22</v>
      </c>
      <c r="M121" s="3"/>
      <c r="N121" s="30"/>
      <c r="O121" s="34"/>
      <c r="P121" s="33"/>
      <c r="Q121" s="6"/>
      <c r="R121" s="15"/>
    </row>
    <row r="122" spans="1:18" s="52" customFormat="1" ht="15.75">
      <c r="A122" s="88" t="s">
        <v>285</v>
      </c>
      <c r="B122" s="88" t="s">
        <v>321</v>
      </c>
      <c r="C122" s="89">
        <v>46059</v>
      </c>
      <c r="D122" s="88" t="s">
        <v>319</v>
      </c>
      <c r="E122" s="88" t="s">
        <v>320</v>
      </c>
      <c r="F122" s="88" t="s">
        <v>24</v>
      </c>
      <c r="G122" s="90">
        <v>20</v>
      </c>
      <c r="H122" s="50">
        <v>27686.38</v>
      </c>
      <c r="I122" s="50"/>
      <c r="J122" s="50">
        <f>CobrosPendientes3[[#This Row],[Importe]]-CobrosPendientes3[[#This Row],[Imp cobrado]]</f>
        <v>27686.38</v>
      </c>
      <c r="K122" s="44"/>
      <c r="L122" s="44"/>
      <c r="M122" s="44"/>
      <c r="N122" s="51" t="s">
        <v>322</v>
      </c>
      <c r="O122" s="49" t="s">
        <v>22</v>
      </c>
      <c r="P122" s="33" t="s">
        <v>302</v>
      </c>
      <c r="Q122" s="74">
        <v>46099</v>
      </c>
      <c r="R122" s="15">
        <v>27686.38</v>
      </c>
    </row>
    <row r="123" spans="1:18" s="16" customFormat="1" ht="15.75">
      <c r="A123" s="66" t="s">
        <v>323</v>
      </c>
      <c r="B123" s="66" t="s">
        <v>324</v>
      </c>
      <c r="C123" s="20">
        <v>46059</v>
      </c>
      <c r="D123" s="21" t="s">
        <v>319</v>
      </c>
      <c r="E123" s="21" t="s">
        <v>325</v>
      </c>
      <c r="F123" s="21" t="s">
        <v>21</v>
      </c>
      <c r="G123" s="22">
        <v>50</v>
      </c>
      <c r="H123" s="35">
        <v>51050</v>
      </c>
      <c r="I123" s="35">
        <v>51050</v>
      </c>
      <c r="J123" s="35">
        <f>CobrosPendientes3[[#This Row],[Importe]]-CobrosPendientes3[[#This Row],[Imp cobrado]]</f>
        <v>0</v>
      </c>
      <c r="K123" s="40">
        <v>46070</v>
      </c>
      <c r="L123" s="40" t="s">
        <v>22</v>
      </c>
      <c r="M123" s="3"/>
      <c r="N123" s="30"/>
      <c r="O123" s="34"/>
      <c r="P123" s="33"/>
      <c r="Q123" s="6"/>
      <c r="R123" s="15"/>
    </row>
    <row r="124" spans="1:18" s="52" customFormat="1" ht="15.75">
      <c r="A124" s="88" t="s">
        <v>326</v>
      </c>
      <c r="B124" s="88" t="s">
        <v>327</v>
      </c>
      <c r="C124" s="89">
        <v>46059</v>
      </c>
      <c r="D124" s="88" t="s">
        <v>319</v>
      </c>
      <c r="E124" s="88" t="s">
        <v>325</v>
      </c>
      <c r="F124" s="88" t="s">
        <v>24</v>
      </c>
      <c r="G124" s="90">
        <v>20</v>
      </c>
      <c r="H124" s="50">
        <v>20420</v>
      </c>
      <c r="I124" s="50"/>
      <c r="J124" s="50">
        <f>CobrosPendientes3[[#This Row],[Importe]]-CobrosPendientes3[[#This Row],[Imp cobrado]]</f>
        <v>20420</v>
      </c>
      <c r="K124" s="44"/>
      <c r="L124" s="44"/>
      <c r="M124" s="44"/>
      <c r="N124" s="51" t="s">
        <v>322</v>
      </c>
      <c r="O124" s="49" t="s">
        <v>22</v>
      </c>
      <c r="P124" s="33" t="s">
        <v>304</v>
      </c>
      <c r="Q124" s="74">
        <v>46104</v>
      </c>
      <c r="R124" s="15">
        <v>20420</v>
      </c>
    </row>
    <row r="125" spans="1:18" s="16" customFormat="1" ht="15.75">
      <c r="A125" s="12" t="s">
        <v>328</v>
      </c>
      <c r="B125" s="12"/>
      <c r="C125" s="13">
        <v>46062</v>
      </c>
      <c r="D125" s="53" t="s">
        <v>30</v>
      </c>
      <c r="E125" s="53" t="s">
        <v>239</v>
      </c>
      <c r="F125" s="53" t="s">
        <v>67</v>
      </c>
      <c r="G125" s="53">
        <v>40</v>
      </c>
      <c r="H125" s="54">
        <v>294190.21000000002</v>
      </c>
      <c r="I125" s="54"/>
      <c r="J125" s="54">
        <f>CobrosPendientes3[[#This Row],[Importe]]-CobrosPendientes3[[#This Row],[Imp cobrado]]</f>
        <v>294190.21000000002</v>
      </c>
      <c r="K125" s="3"/>
      <c r="L125" s="3"/>
      <c r="M125" s="3"/>
      <c r="N125" s="30" t="s">
        <v>329</v>
      </c>
      <c r="O125" s="34"/>
      <c r="P125" s="33"/>
      <c r="Q125" s="6"/>
      <c r="R125" s="15"/>
    </row>
    <row r="126" spans="1:18" s="16" customFormat="1" ht="15.75">
      <c r="A126" s="12" t="s">
        <v>330</v>
      </c>
      <c r="B126" s="12"/>
      <c r="C126" s="13">
        <v>46062</v>
      </c>
      <c r="D126" s="53" t="s">
        <v>30</v>
      </c>
      <c r="E126" s="53" t="s">
        <v>243</v>
      </c>
      <c r="F126" s="53" t="s">
        <v>67</v>
      </c>
      <c r="G126" s="53">
        <v>40</v>
      </c>
      <c r="H126" s="54">
        <v>365834.56</v>
      </c>
      <c r="I126" s="54"/>
      <c r="J126" s="54">
        <f>CobrosPendientes3[[#This Row],[Importe]]-CobrosPendientes3[[#This Row],[Imp cobrado]]</f>
        <v>365834.56</v>
      </c>
      <c r="K126" s="3"/>
      <c r="L126" s="3"/>
      <c r="M126" s="3"/>
      <c r="N126" s="30" t="s">
        <v>329</v>
      </c>
      <c r="O126" s="34"/>
      <c r="P126" s="33"/>
      <c r="Q126" s="6"/>
      <c r="R126" s="15"/>
    </row>
    <row r="127" spans="1:18" s="16" customFormat="1" ht="15.75">
      <c r="A127" s="12" t="s">
        <v>331</v>
      </c>
      <c r="B127" s="12"/>
      <c r="C127" s="13">
        <v>46062</v>
      </c>
      <c r="D127" s="53" t="s">
        <v>30</v>
      </c>
      <c r="E127" s="53" t="s">
        <v>246</v>
      </c>
      <c r="F127" s="53" t="s">
        <v>67</v>
      </c>
      <c r="G127" s="53">
        <v>40</v>
      </c>
      <c r="H127" s="54">
        <v>249344.16</v>
      </c>
      <c r="I127" s="54"/>
      <c r="J127" s="54">
        <f>CobrosPendientes3[[#This Row],[Importe]]-CobrosPendientes3[[#This Row],[Imp cobrado]]</f>
        <v>249344.16</v>
      </c>
      <c r="K127" s="3"/>
      <c r="L127" s="3"/>
      <c r="M127" s="3"/>
      <c r="N127" s="30" t="s">
        <v>329</v>
      </c>
      <c r="O127" s="34"/>
      <c r="P127" s="33"/>
      <c r="Q127" s="6"/>
      <c r="R127" s="15"/>
    </row>
    <row r="128" spans="1:18" s="16" customFormat="1" ht="15.75">
      <c r="A128" s="12" t="s">
        <v>332</v>
      </c>
      <c r="B128" s="12"/>
      <c r="C128" s="13">
        <v>46062</v>
      </c>
      <c r="D128" s="53" t="s">
        <v>30</v>
      </c>
      <c r="E128" s="53" t="s">
        <v>249</v>
      </c>
      <c r="F128" s="53" t="s">
        <v>67</v>
      </c>
      <c r="G128" s="53">
        <v>40</v>
      </c>
      <c r="H128" s="54">
        <v>95422.82</v>
      </c>
      <c r="I128" s="54"/>
      <c r="J128" s="54">
        <f>CobrosPendientes3[[#This Row],[Importe]]-CobrosPendientes3[[#This Row],[Imp cobrado]]</f>
        <v>95422.82</v>
      </c>
      <c r="K128" s="3"/>
      <c r="L128" s="3"/>
      <c r="M128" s="3"/>
      <c r="N128" s="30" t="s">
        <v>329</v>
      </c>
      <c r="O128" s="34"/>
      <c r="P128" s="33"/>
      <c r="Q128" s="6"/>
      <c r="R128" s="15"/>
    </row>
    <row r="129" spans="1:18" s="16" customFormat="1" ht="15.75">
      <c r="A129" s="12" t="s">
        <v>333</v>
      </c>
      <c r="B129" s="12"/>
      <c r="C129" s="13">
        <v>46062</v>
      </c>
      <c r="D129" s="53" t="s">
        <v>30</v>
      </c>
      <c r="E129" s="53" t="s">
        <v>252</v>
      </c>
      <c r="F129" s="53" t="s">
        <v>67</v>
      </c>
      <c r="G129" s="53">
        <v>40</v>
      </c>
      <c r="H129" s="54">
        <v>96161.97</v>
      </c>
      <c r="I129" s="54"/>
      <c r="J129" s="54">
        <f>CobrosPendientes3[[#This Row],[Importe]]-CobrosPendientes3[[#This Row],[Imp cobrado]]</f>
        <v>96161.97</v>
      </c>
      <c r="K129" s="3"/>
      <c r="L129" s="3"/>
      <c r="M129" s="3"/>
      <c r="N129" s="30" t="s">
        <v>329</v>
      </c>
      <c r="O129" s="34"/>
      <c r="P129" s="33"/>
      <c r="Q129" s="6"/>
      <c r="R129" s="15"/>
    </row>
    <row r="130" spans="1:18" s="16" customFormat="1" ht="15.75">
      <c r="A130" s="12" t="s">
        <v>334</v>
      </c>
      <c r="B130" s="12"/>
      <c r="C130" s="13">
        <v>46062</v>
      </c>
      <c r="D130" s="53" t="s">
        <v>30</v>
      </c>
      <c r="E130" s="53" t="s">
        <v>255</v>
      </c>
      <c r="F130" s="53" t="s">
        <v>67</v>
      </c>
      <c r="G130" s="53">
        <v>40</v>
      </c>
      <c r="H130" s="54">
        <v>256077</v>
      </c>
      <c r="I130" s="54"/>
      <c r="J130" s="54">
        <f>CobrosPendientes3[[#This Row],[Importe]]-CobrosPendientes3[[#This Row],[Imp cobrado]]</f>
        <v>256077</v>
      </c>
      <c r="K130" s="3"/>
      <c r="L130" s="3"/>
      <c r="M130" s="3"/>
      <c r="N130" s="30" t="s">
        <v>329</v>
      </c>
      <c r="O130" s="34"/>
      <c r="P130" s="33"/>
      <c r="Q130" s="6"/>
      <c r="R130" s="15"/>
    </row>
    <row r="131" spans="1:18" s="16" customFormat="1" ht="15.75">
      <c r="A131" s="21" t="s">
        <v>335</v>
      </c>
      <c r="B131" s="21" t="s">
        <v>336</v>
      </c>
      <c r="C131" s="20">
        <v>46062</v>
      </c>
      <c r="D131" s="21" t="s">
        <v>337</v>
      </c>
      <c r="E131" s="21" t="s">
        <v>160</v>
      </c>
      <c r="F131" s="21" t="s">
        <v>160</v>
      </c>
      <c r="G131" s="21">
        <v>100</v>
      </c>
      <c r="H131" s="5">
        <v>13000</v>
      </c>
      <c r="I131" s="5"/>
      <c r="J131" s="5">
        <f>CobrosPendientes3[[#This Row],[Importe]]-CobrosPendientes3[[#This Row],[Imp cobrado]]</f>
        <v>13000</v>
      </c>
      <c r="K131" s="3"/>
      <c r="L131" s="3"/>
      <c r="M131" s="3"/>
      <c r="N131" s="30"/>
      <c r="O131" s="34"/>
      <c r="P131" s="33"/>
      <c r="Q131" s="6"/>
      <c r="R131" s="15"/>
    </row>
    <row r="132" spans="1:18" s="16" customFormat="1" ht="15.75">
      <c r="A132" s="21" t="s">
        <v>338</v>
      </c>
      <c r="B132" s="21" t="s">
        <v>339</v>
      </c>
      <c r="C132" s="20">
        <v>46064</v>
      </c>
      <c r="D132" s="21" t="s">
        <v>340</v>
      </c>
      <c r="E132" s="21" t="s">
        <v>341</v>
      </c>
      <c r="F132" s="21" t="s">
        <v>342</v>
      </c>
      <c r="G132" s="21">
        <v>30</v>
      </c>
      <c r="H132" s="35">
        <v>42972.55</v>
      </c>
      <c r="I132" s="35">
        <v>42972.55</v>
      </c>
      <c r="J132" s="35">
        <f>CobrosPendientes3[[#This Row],[Importe]]-CobrosPendientes3[[#This Row],[Imp cobrado]]</f>
        <v>0</v>
      </c>
      <c r="K132" s="40">
        <v>46066</v>
      </c>
      <c r="L132" s="40" t="s">
        <v>22</v>
      </c>
      <c r="M132" s="55">
        <v>46067</v>
      </c>
      <c r="N132" s="30" t="s">
        <v>343</v>
      </c>
      <c r="O132" s="34"/>
      <c r="P132" s="33"/>
      <c r="Q132" s="6"/>
      <c r="R132" s="15"/>
    </row>
    <row r="133" spans="1:18" s="16" customFormat="1" ht="15.75">
      <c r="A133" s="21" t="s">
        <v>344</v>
      </c>
      <c r="B133" s="21" t="s">
        <v>345</v>
      </c>
      <c r="C133" s="20">
        <v>46064</v>
      </c>
      <c r="D133" s="21" t="s">
        <v>340</v>
      </c>
      <c r="E133" s="21" t="s">
        <v>346</v>
      </c>
      <c r="F133" s="21" t="s">
        <v>342</v>
      </c>
      <c r="G133" s="21">
        <v>30</v>
      </c>
      <c r="H133" s="35">
        <v>13689.7</v>
      </c>
      <c r="I133" s="35">
        <v>13689.7</v>
      </c>
      <c r="J133" s="35">
        <f>CobrosPendientes3[[#This Row],[Importe]]-CobrosPendientes3[[#This Row],[Imp cobrado]]</f>
        <v>0</v>
      </c>
      <c r="K133" s="40">
        <v>46066</v>
      </c>
      <c r="L133" s="40" t="s">
        <v>22</v>
      </c>
      <c r="M133" s="55">
        <v>46067</v>
      </c>
      <c r="N133" s="30" t="s">
        <v>343</v>
      </c>
      <c r="O133" s="34"/>
      <c r="P133" s="33"/>
      <c r="Q133" s="6"/>
      <c r="R133" s="15"/>
    </row>
    <row r="134" spans="1:18" s="16" customFormat="1" ht="15.75">
      <c r="A134" s="21" t="s">
        <v>347</v>
      </c>
      <c r="B134" s="21" t="s">
        <v>348</v>
      </c>
      <c r="C134" s="20">
        <v>46066</v>
      </c>
      <c r="D134" s="21" t="s">
        <v>349</v>
      </c>
      <c r="E134" s="21" t="s">
        <v>350</v>
      </c>
      <c r="F134" s="21" t="s">
        <v>67</v>
      </c>
      <c r="G134" s="21">
        <v>30</v>
      </c>
      <c r="H134" s="35">
        <v>178729.7</v>
      </c>
      <c r="I134" s="35">
        <v>178729.7</v>
      </c>
      <c r="J134" s="35">
        <f>CobrosPendientes3[[#This Row],[Importe]]-CobrosPendientes3[[#This Row],[Imp cobrado]]</f>
        <v>0</v>
      </c>
      <c r="K134" s="40">
        <v>46090</v>
      </c>
      <c r="L134" s="69" t="s">
        <v>22</v>
      </c>
      <c r="M134" s="55">
        <v>46076</v>
      </c>
      <c r="N134" s="30"/>
      <c r="O134" s="34"/>
      <c r="P134" s="33"/>
      <c r="Q134" s="6"/>
      <c r="R134" s="15"/>
    </row>
    <row r="135" spans="1:18" s="16" customFormat="1" ht="15.75">
      <c r="A135" s="21" t="s">
        <v>351</v>
      </c>
      <c r="B135" s="21" t="s">
        <v>352</v>
      </c>
      <c r="C135" s="20">
        <v>46066</v>
      </c>
      <c r="D135" s="21" t="s">
        <v>133</v>
      </c>
      <c r="E135" s="21" t="s">
        <v>134</v>
      </c>
      <c r="F135" s="21" t="s">
        <v>54</v>
      </c>
      <c r="G135" s="21">
        <v>5</v>
      </c>
      <c r="H135" s="35">
        <v>6057.3</v>
      </c>
      <c r="I135" s="35">
        <v>6057.3</v>
      </c>
      <c r="J135" s="35">
        <f>CobrosPendientes3[[#This Row],[Importe]]-CobrosPendientes3[[#This Row],[Imp cobrado]]</f>
        <v>0</v>
      </c>
      <c r="K135" s="40">
        <v>46206</v>
      </c>
      <c r="L135" s="69" t="s">
        <v>22</v>
      </c>
      <c r="M135" s="55">
        <v>46096</v>
      </c>
      <c r="N135" s="106" t="s">
        <v>353</v>
      </c>
      <c r="O135" s="34"/>
      <c r="P135" s="33"/>
      <c r="Q135" s="6"/>
      <c r="R135" s="15"/>
    </row>
    <row r="136" spans="1:18" s="16" customFormat="1" ht="15.75">
      <c r="A136" s="21" t="s">
        <v>354</v>
      </c>
      <c r="B136" s="21" t="s">
        <v>355</v>
      </c>
      <c r="C136" s="20">
        <v>46066</v>
      </c>
      <c r="D136" s="21" t="s">
        <v>133</v>
      </c>
      <c r="E136" s="21" t="s">
        <v>136</v>
      </c>
      <c r="F136" s="21" t="s">
        <v>54</v>
      </c>
      <c r="G136" s="21">
        <v>5</v>
      </c>
      <c r="H136" s="35">
        <v>6000.12</v>
      </c>
      <c r="I136" s="35">
        <v>6000.12</v>
      </c>
      <c r="J136" s="35">
        <f>CobrosPendientes3[[#This Row],[Importe]]-CobrosPendientes3[[#This Row],[Imp cobrado]]</f>
        <v>0</v>
      </c>
      <c r="K136" s="40">
        <v>46184</v>
      </c>
      <c r="L136" s="69" t="s">
        <v>22</v>
      </c>
      <c r="M136" s="55">
        <v>46096</v>
      </c>
      <c r="N136" s="30"/>
      <c r="O136" s="34"/>
      <c r="P136" s="33"/>
      <c r="Q136" s="6"/>
      <c r="R136" s="15"/>
    </row>
    <row r="137" spans="1:18" s="16" customFormat="1" ht="15.75">
      <c r="A137" s="21" t="s">
        <v>356</v>
      </c>
      <c r="B137" s="21" t="s">
        <v>357</v>
      </c>
      <c r="C137" s="20">
        <v>46066</v>
      </c>
      <c r="D137" s="21" t="s">
        <v>133</v>
      </c>
      <c r="E137" s="21" t="s">
        <v>138</v>
      </c>
      <c r="F137" s="21" t="s">
        <v>54</v>
      </c>
      <c r="G137" s="21">
        <v>5</v>
      </c>
      <c r="H137" s="35">
        <v>6129.38</v>
      </c>
      <c r="I137" s="35">
        <v>6129.38</v>
      </c>
      <c r="J137" s="35">
        <f>CobrosPendientes3[[#This Row],[Importe]]-CobrosPendientes3[[#This Row],[Imp cobrado]]</f>
        <v>0</v>
      </c>
      <c r="K137" s="40">
        <v>46184</v>
      </c>
      <c r="L137" s="69" t="s">
        <v>22</v>
      </c>
      <c r="M137" s="55">
        <v>46096</v>
      </c>
      <c r="N137" s="30"/>
      <c r="O137" s="34"/>
      <c r="P137" s="33"/>
      <c r="Q137" s="6"/>
      <c r="R137" s="15"/>
    </row>
    <row r="138" spans="1:18" s="16" customFormat="1" ht="15.75">
      <c r="A138" s="21" t="s">
        <v>358</v>
      </c>
      <c r="B138" s="21" t="s">
        <v>359</v>
      </c>
      <c r="C138" s="20">
        <v>46066</v>
      </c>
      <c r="D138" s="21" t="s">
        <v>133</v>
      </c>
      <c r="E138" s="21" t="s">
        <v>140</v>
      </c>
      <c r="F138" s="21" t="s">
        <v>54</v>
      </c>
      <c r="G138" s="21">
        <v>5</v>
      </c>
      <c r="H138" s="35">
        <v>6074.95</v>
      </c>
      <c r="I138" s="35">
        <v>6074.95</v>
      </c>
      <c r="J138" s="35">
        <f>CobrosPendientes3[[#This Row],[Importe]]-CobrosPendientes3[[#This Row],[Imp cobrado]]</f>
        <v>0</v>
      </c>
      <c r="K138" s="40">
        <v>46184</v>
      </c>
      <c r="L138" s="69" t="s">
        <v>22</v>
      </c>
      <c r="M138" s="55">
        <v>46096</v>
      </c>
      <c r="N138" s="30"/>
      <c r="O138" s="34"/>
      <c r="P138" s="33"/>
      <c r="Q138" s="6"/>
      <c r="R138" s="15"/>
    </row>
    <row r="139" spans="1:18" s="16" customFormat="1" ht="15.75">
      <c r="A139" s="21" t="s">
        <v>360</v>
      </c>
      <c r="B139" s="21" t="s">
        <v>361</v>
      </c>
      <c r="C139" s="20">
        <v>46066</v>
      </c>
      <c r="D139" s="21" t="s">
        <v>133</v>
      </c>
      <c r="E139" s="21" t="s">
        <v>142</v>
      </c>
      <c r="F139" s="21" t="s">
        <v>54</v>
      </c>
      <c r="G139" s="21">
        <v>5</v>
      </c>
      <c r="H139" s="35">
        <v>6485.28</v>
      </c>
      <c r="I139" s="35">
        <v>6485.28</v>
      </c>
      <c r="J139" s="35">
        <f>CobrosPendientes3[[#This Row],[Importe]]-CobrosPendientes3[[#This Row],[Imp cobrado]]</f>
        <v>0</v>
      </c>
      <c r="K139" s="40">
        <v>46184</v>
      </c>
      <c r="L139" s="69" t="s">
        <v>22</v>
      </c>
      <c r="M139" s="55">
        <v>46096</v>
      </c>
      <c r="N139" s="30"/>
      <c r="O139" s="34"/>
      <c r="P139" s="33"/>
      <c r="Q139" s="6"/>
      <c r="R139" s="15"/>
    </row>
    <row r="140" spans="1:18" s="16" customFormat="1" ht="15.75">
      <c r="A140" s="21" t="s">
        <v>362</v>
      </c>
      <c r="B140" s="21" t="s">
        <v>363</v>
      </c>
      <c r="C140" s="20">
        <v>46069</v>
      </c>
      <c r="D140" s="21" t="s">
        <v>364</v>
      </c>
      <c r="E140" s="21" t="s">
        <v>365</v>
      </c>
      <c r="F140" s="21" t="s">
        <v>366</v>
      </c>
      <c r="G140" s="21">
        <v>30</v>
      </c>
      <c r="H140" s="35">
        <v>52340.09</v>
      </c>
      <c r="I140" s="35">
        <v>52340.09</v>
      </c>
      <c r="J140" s="35">
        <f>CobrosPendientes3[[#This Row],[Importe]]-CobrosPendientes3[[#This Row],[Imp cobrado]]</f>
        <v>0</v>
      </c>
      <c r="K140" s="40">
        <v>46071</v>
      </c>
      <c r="L140" s="40" t="s">
        <v>22</v>
      </c>
      <c r="M140" s="55">
        <v>46072</v>
      </c>
      <c r="N140" s="30"/>
      <c r="O140" s="34"/>
      <c r="P140" s="33"/>
      <c r="Q140" s="6"/>
      <c r="R140" s="15"/>
    </row>
    <row r="141" spans="1:18" s="16" customFormat="1" ht="15.75">
      <c r="A141" s="21" t="s">
        <v>367</v>
      </c>
      <c r="B141" s="21" t="s">
        <v>368</v>
      </c>
      <c r="C141" s="20">
        <v>46078</v>
      </c>
      <c r="D141" s="66" t="s">
        <v>133</v>
      </c>
      <c r="E141" s="66" t="s">
        <v>369</v>
      </c>
      <c r="F141" s="66" t="s">
        <v>370</v>
      </c>
      <c r="G141" s="66">
        <v>100</v>
      </c>
      <c r="H141" s="46">
        <v>500</v>
      </c>
      <c r="I141" s="46">
        <v>500</v>
      </c>
      <c r="J141" s="46">
        <f>CobrosPendientes3[[#This Row],[Importe]]-CobrosPendientes3[[#This Row],[Imp cobrado]]</f>
        <v>0</v>
      </c>
      <c r="K141" s="40">
        <v>46122</v>
      </c>
      <c r="L141" s="69" t="s">
        <v>22</v>
      </c>
      <c r="M141" s="55">
        <v>46106</v>
      </c>
      <c r="N141" s="30"/>
      <c r="O141" s="34"/>
      <c r="P141" s="33"/>
      <c r="Q141" s="6"/>
      <c r="R141" s="15"/>
    </row>
    <row r="142" spans="1:18" s="16" customFormat="1" ht="15.75">
      <c r="A142" s="39" t="s">
        <v>371</v>
      </c>
      <c r="B142" s="39" t="s">
        <v>372</v>
      </c>
      <c r="C142" s="38">
        <v>46078</v>
      </c>
      <c r="D142" s="39" t="s">
        <v>373</v>
      </c>
      <c r="E142" s="39" t="s">
        <v>176</v>
      </c>
      <c r="F142" s="39" t="s">
        <v>21</v>
      </c>
      <c r="G142" s="39">
        <v>50</v>
      </c>
      <c r="H142" s="114">
        <v>63671.07</v>
      </c>
      <c r="I142" s="114">
        <v>63671.07</v>
      </c>
      <c r="J142" s="114">
        <f>CobrosPendientes3[[#This Row],[Importe]]-CobrosPendientes3[[#This Row],[Imp cobrado]]</f>
        <v>0</v>
      </c>
      <c r="K142" s="115">
        <v>46101</v>
      </c>
      <c r="L142" s="116" t="s">
        <v>22</v>
      </c>
      <c r="M142" s="82">
        <v>46083</v>
      </c>
      <c r="N142" s="51"/>
      <c r="O142" s="49"/>
      <c r="P142" s="33"/>
      <c r="Q142" s="6"/>
      <c r="R142" s="15"/>
    </row>
    <row r="143" spans="1:18" s="16" customFormat="1" ht="15.75">
      <c r="A143" s="21" t="s">
        <v>374</v>
      </c>
      <c r="B143" s="21" t="s">
        <v>375</v>
      </c>
      <c r="C143" s="20">
        <v>46080</v>
      </c>
      <c r="D143" s="21" t="s">
        <v>147</v>
      </c>
      <c r="E143" s="21" t="s">
        <v>148</v>
      </c>
      <c r="F143" s="21" t="s">
        <v>376</v>
      </c>
      <c r="G143" s="22" t="s">
        <v>377</v>
      </c>
      <c r="H143" s="5">
        <v>35247.11</v>
      </c>
      <c r="I143" s="5"/>
      <c r="J143" s="5">
        <f>CobrosPendientes3[[#This Row],[Importe]]-CobrosPendientes3[[#This Row],[Imp cobrado]]</f>
        <v>35247.11</v>
      </c>
      <c r="K143" s="3"/>
      <c r="L143" s="3"/>
      <c r="M143" s="55">
        <v>46083</v>
      </c>
      <c r="N143" s="30" t="s">
        <v>378</v>
      </c>
      <c r="O143" s="34"/>
      <c r="P143" s="33"/>
      <c r="Q143" s="6"/>
      <c r="R143" s="4"/>
    </row>
    <row r="144" spans="1:18" s="81" customFormat="1" ht="15.75">
      <c r="A144" s="39" t="s">
        <v>379</v>
      </c>
      <c r="B144" s="39" t="s">
        <v>380</v>
      </c>
      <c r="C144" s="38">
        <v>46080</v>
      </c>
      <c r="D144" s="39" t="s">
        <v>90</v>
      </c>
      <c r="E144" s="39" t="s">
        <v>91</v>
      </c>
      <c r="F144" s="39" t="s">
        <v>381</v>
      </c>
      <c r="G144" s="77" t="s">
        <v>382</v>
      </c>
      <c r="H144" s="43">
        <v>33910.1</v>
      </c>
      <c r="I144" s="43"/>
      <c r="J144" s="43">
        <f>CobrosPendientes3[[#This Row],[Importe]]-CobrosPendientes3[[#This Row],[Imp cobrado]]</f>
        <v>33910.1</v>
      </c>
      <c r="K144" s="78"/>
      <c r="L144" s="78"/>
      <c r="M144" s="79">
        <v>46083</v>
      </c>
      <c r="N144" s="80"/>
      <c r="O144" s="33" t="s">
        <v>22</v>
      </c>
      <c r="P144" s="33" t="s">
        <v>300</v>
      </c>
      <c r="Q144" s="74">
        <v>46086</v>
      </c>
      <c r="R144" s="68">
        <v>33910.1</v>
      </c>
    </row>
    <row r="145" spans="1:18" ht="15.75">
      <c r="A145" s="21" t="s">
        <v>383</v>
      </c>
      <c r="B145" s="21" t="s">
        <v>384</v>
      </c>
      <c r="C145" s="20">
        <v>46080</v>
      </c>
      <c r="D145" s="21" t="s">
        <v>156</v>
      </c>
      <c r="E145" s="21" t="s">
        <v>157</v>
      </c>
      <c r="F145" s="21" t="s">
        <v>21</v>
      </c>
      <c r="G145" s="22" t="s">
        <v>385</v>
      </c>
      <c r="H145" s="35">
        <v>245897.45</v>
      </c>
      <c r="I145" s="35">
        <v>245897.45</v>
      </c>
      <c r="J145" s="35">
        <f>CobrosPendientes3[[#This Row],[Importe]]-CobrosPendientes3[[#This Row],[Imp cobrado]]</f>
        <v>0</v>
      </c>
      <c r="K145" s="40">
        <v>46093</v>
      </c>
      <c r="L145" s="69" t="s">
        <v>22</v>
      </c>
      <c r="M145" s="55">
        <v>46110</v>
      </c>
      <c r="N145" s="30"/>
      <c r="O145" s="34"/>
      <c r="P145" s="33"/>
      <c r="Q145" s="6"/>
      <c r="R145" s="68"/>
    </row>
    <row r="146" spans="1:18" ht="15.75">
      <c r="A146" s="21" t="s">
        <v>386</v>
      </c>
      <c r="B146" s="21" t="s">
        <v>387</v>
      </c>
      <c r="C146" s="20">
        <v>46080</v>
      </c>
      <c r="D146" s="21" t="s">
        <v>171</v>
      </c>
      <c r="E146" s="21" t="s">
        <v>172</v>
      </c>
      <c r="F146" s="21" t="s">
        <v>82</v>
      </c>
      <c r="G146" s="22" t="s">
        <v>385</v>
      </c>
      <c r="H146" s="35">
        <v>73500</v>
      </c>
      <c r="I146" s="35">
        <v>73500</v>
      </c>
      <c r="J146" s="35">
        <f>CobrosPendientes3[[#This Row],[Importe]]-CobrosPendientes3[[#This Row],[Imp cobrado]]</f>
        <v>0</v>
      </c>
      <c r="K146" s="40">
        <v>46106</v>
      </c>
      <c r="L146" s="69" t="s">
        <v>22</v>
      </c>
      <c r="M146" s="55">
        <v>46083</v>
      </c>
      <c r="N146" s="30" t="s">
        <v>388</v>
      </c>
      <c r="O146" s="34"/>
      <c r="P146" s="33"/>
      <c r="Q146" s="6"/>
      <c r="R146" s="68"/>
    </row>
    <row r="147" spans="1:18" ht="15.75">
      <c r="A147" s="12" t="s">
        <v>389</v>
      </c>
      <c r="B147" s="12" t="s">
        <v>390</v>
      </c>
      <c r="C147" s="13">
        <v>46080</v>
      </c>
      <c r="D147" s="12" t="s">
        <v>156</v>
      </c>
      <c r="E147" s="12" t="s">
        <v>391</v>
      </c>
      <c r="F147" s="12" t="s">
        <v>225</v>
      </c>
      <c r="G147" s="14" t="s">
        <v>392</v>
      </c>
      <c r="H147" s="7">
        <v>15000</v>
      </c>
      <c r="I147" s="7"/>
      <c r="J147" s="7">
        <f>CobrosPendientes3[[#This Row],[Importe]]-CobrosPendientes3[[#This Row],[Imp cobrado]]</f>
        <v>15000</v>
      </c>
      <c r="K147" s="3"/>
      <c r="L147" s="3"/>
      <c r="M147" s="55">
        <v>46110</v>
      </c>
      <c r="N147" s="30" t="s">
        <v>393</v>
      </c>
      <c r="O147" s="34"/>
      <c r="P147" s="33"/>
      <c r="Q147" s="6"/>
      <c r="R147" s="68"/>
    </row>
    <row r="148" spans="1:18" ht="15.75">
      <c r="A148" s="21" t="s">
        <v>394</v>
      </c>
      <c r="B148" s="21" t="s">
        <v>395</v>
      </c>
      <c r="C148" s="20">
        <v>46080</v>
      </c>
      <c r="D148" s="21" t="s">
        <v>396</v>
      </c>
      <c r="E148" s="21" t="s">
        <v>397</v>
      </c>
      <c r="F148" s="21" t="s">
        <v>225</v>
      </c>
      <c r="G148" s="22" t="s">
        <v>392</v>
      </c>
      <c r="H148" s="35">
        <v>2297.6</v>
      </c>
      <c r="I148" s="35">
        <v>2297.6</v>
      </c>
      <c r="J148" s="35">
        <f>CobrosPendientes3[[#This Row],[Importe]]-CobrosPendientes3[[#This Row],[Imp cobrado]]</f>
        <v>0</v>
      </c>
      <c r="K148" s="40">
        <v>46084</v>
      </c>
      <c r="L148" s="69" t="s">
        <v>22</v>
      </c>
      <c r="M148" s="55">
        <v>46080</v>
      </c>
      <c r="N148" s="30"/>
      <c r="O148" s="34"/>
      <c r="P148" s="33"/>
      <c r="Q148" s="6"/>
      <c r="R148" s="68"/>
    </row>
    <row r="149" spans="1:18" ht="15.75">
      <c r="A149" s="21" t="s">
        <v>398</v>
      </c>
      <c r="B149" s="21" t="s">
        <v>399</v>
      </c>
      <c r="C149" s="20">
        <v>46084</v>
      </c>
      <c r="D149" s="21" t="s">
        <v>400</v>
      </c>
      <c r="E149" s="21" t="s">
        <v>401</v>
      </c>
      <c r="F149" s="21" t="s">
        <v>402</v>
      </c>
      <c r="G149" s="22" t="s">
        <v>392</v>
      </c>
      <c r="H149" s="76">
        <v>7000</v>
      </c>
      <c r="I149" s="76">
        <v>7000</v>
      </c>
      <c r="J149" s="76">
        <f>CobrosPendientes3[[#This Row],[Importe]]-CobrosPendientes3[[#This Row],[Imp cobrado]]</f>
        <v>0</v>
      </c>
      <c r="K149" s="40">
        <v>46084</v>
      </c>
      <c r="L149" s="69" t="s">
        <v>22</v>
      </c>
      <c r="M149" s="55">
        <v>46084</v>
      </c>
      <c r="N149" s="30"/>
      <c r="O149" s="34"/>
      <c r="P149" s="33"/>
      <c r="Q149" s="6"/>
      <c r="R149" s="68"/>
    </row>
    <row r="150" spans="1:18" s="45" customFormat="1" ht="15.75">
      <c r="A150" s="39" t="s">
        <v>403</v>
      </c>
      <c r="B150" s="39"/>
      <c r="C150" s="38">
        <v>45923</v>
      </c>
      <c r="D150" s="39" t="s">
        <v>404</v>
      </c>
      <c r="E150" s="39" t="s">
        <v>176</v>
      </c>
      <c r="F150" s="39" t="s">
        <v>225</v>
      </c>
      <c r="G150" s="77" t="s">
        <v>392</v>
      </c>
      <c r="H150" s="43">
        <v>4080.38</v>
      </c>
      <c r="I150" s="43"/>
      <c r="J150" s="43">
        <f>CobrosPendientes3[[#This Row],[Importe]]-CobrosPendientes3[[#This Row],[Imp cobrado]]</f>
        <v>4080.38</v>
      </c>
      <c r="K150" s="44"/>
      <c r="L150" s="44"/>
      <c r="M150" s="82"/>
      <c r="N150" s="51"/>
      <c r="O150" s="49" t="s">
        <v>22</v>
      </c>
      <c r="P150" s="33" t="s">
        <v>261</v>
      </c>
      <c r="Q150" s="74">
        <v>46030</v>
      </c>
      <c r="R150" s="68">
        <v>4080.38</v>
      </c>
    </row>
    <row r="151" spans="1:18" ht="15.75">
      <c r="A151" s="21" t="s">
        <v>405</v>
      </c>
      <c r="B151" s="21" t="s">
        <v>406</v>
      </c>
      <c r="C151" s="20">
        <v>46086</v>
      </c>
      <c r="D151" s="21" t="s">
        <v>407</v>
      </c>
      <c r="E151" s="21" t="s">
        <v>91</v>
      </c>
      <c r="F151" s="21" t="s">
        <v>408</v>
      </c>
      <c r="G151" s="22" t="s">
        <v>409</v>
      </c>
      <c r="H151" s="35">
        <v>118685.34</v>
      </c>
      <c r="I151" s="35">
        <v>118685.34</v>
      </c>
      <c r="J151" s="35">
        <f>CobrosPendientes3[[#This Row],[Importe]]-CobrosPendientes3[[#This Row],[Imp cobrado]]</f>
        <v>0</v>
      </c>
      <c r="K151" s="40">
        <v>46111</v>
      </c>
      <c r="L151" s="69" t="s">
        <v>22</v>
      </c>
      <c r="M151" s="55">
        <v>46089</v>
      </c>
      <c r="N151" s="30"/>
      <c r="O151" s="34"/>
      <c r="P151" s="33"/>
      <c r="Q151" s="6"/>
      <c r="R151" s="68"/>
    </row>
    <row r="152" spans="1:18" ht="15.75">
      <c r="A152" s="12" t="s">
        <v>410</v>
      </c>
      <c r="B152" s="12" t="s">
        <v>411</v>
      </c>
      <c r="C152" s="13">
        <v>46091</v>
      </c>
      <c r="D152" s="12" t="s">
        <v>412</v>
      </c>
      <c r="E152" s="12" t="s">
        <v>413</v>
      </c>
      <c r="F152" s="12" t="s">
        <v>414</v>
      </c>
      <c r="G152" s="14" t="s">
        <v>382</v>
      </c>
      <c r="H152" s="35">
        <v>8680.65</v>
      </c>
      <c r="I152" s="35">
        <v>8680.65</v>
      </c>
      <c r="J152" s="35">
        <f>CobrosPendientes3[[#This Row],[Importe]]-CobrosPendientes3[[#This Row],[Imp cobrado]]</f>
        <v>0</v>
      </c>
      <c r="K152" s="40">
        <v>46092</v>
      </c>
      <c r="L152" s="69" t="s">
        <v>22</v>
      </c>
      <c r="M152" s="55">
        <v>46094</v>
      </c>
      <c r="N152" s="30"/>
      <c r="O152" s="34"/>
      <c r="P152" s="33"/>
      <c r="Q152" s="6"/>
      <c r="R152" s="68"/>
    </row>
    <row r="153" spans="1:18" ht="15.75">
      <c r="A153" s="21" t="s">
        <v>415</v>
      </c>
      <c r="B153" s="21" t="s">
        <v>416</v>
      </c>
      <c r="C153" s="20">
        <v>46094</v>
      </c>
      <c r="D153" s="21" t="s">
        <v>417</v>
      </c>
      <c r="E153" s="21" t="s">
        <v>312</v>
      </c>
      <c r="F153" s="21" t="s">
        <v>418</v>
      </c>
      <c r="G153" s="22" t="s">
        <v>419</v>
      </c>
      <c r="H153" s="35">
        <v>44565</v>
      </c>
      <c r="I153" s="35">
        <v>44565</v>
      </c>
      <c r="J153" s="35">
        <f>CobrosPendientes3[[#This Row],[Importe]]-CobrosPendientes3[[#This Row],[Imp cobrado]]</f>
        <v>0</v>
      </c>
      <c r="K153" s="40">
        <v>46099</v>
      </c>
      <c r="L153" s="69" t="s">
        <v>22</v>
      </c>
      <c r="M153" s="55">
        <v>46101</v>
      </c>
      <c r="N153" s="30"/>
      <c r="O153" s="34"/>
      <c r="P153" s="33"/>
      <c r="Q153" s="6"/>
      <c r="R153" s="68"/>
    </row>
    <row r="154" spans="1:18" ht="15.75">
      <c r="A154" s="21" t="s">
        <v>420</v>
      </c>
      <c r="B154" s="21" t="s">
        <v>421</v>
      </c>
      <c r="C154" s="20">
        <v>46097</v>
      </c>
      <c r="D154" s="21" t="s">
        <v>133</v>
      </c>
      <c r="E154" s="21" t="s">
        <v>222</v>
      </c>
      <c r="F154" s="21" t="s">
        <v>422</v>
      </c>
      <c r="G154" s="22" t="s">
        <v>409</v>
      </c>
      <c r="H154" s="35">
        <v>379928.6</v>
      </c>
      <c r="I154" s="35">
        <v>379928.6</v>
      </c>
      <c r="J154" s="35">
        <f>CobrosPendientes3[[#This Row],[Importe]]-CobrosPendientes3[[#This Row],[Imp cobrado]]</f>
        <v>0</v>
      </c>
      <c r="K154" s="40">
        <v>46122</v>
      </c>
      <c r="L154" s="69" t="s">
        <v>22</v>
      </c>
      <c r="M154" s="55">
        <v>46127</v>
      </c>
      <c r="N154" s="30" t="s">
        <v>423</v>
      </c>
      <c r="O154" s="34"/>
      <c r="P154" s="33"/>
      <c r="Q154" s="6"/>
      <c r="R154" s="68"/>
    </row>
    <row r="155" spans="1:18" ht="15.75">
      <c r="A155" s="21" t="s">
        <v>424</v>
      </c>
      <c r="B155" s="21" t="s">
        <v>425</v>
      </c>
      <c r="C155" s="20">
        <v>46097</v>
      </c>
      <c r="D155" s="21" t="s">
        <v>291</v>
      </c>
      <c r="E155" s="21" t="s">
        <v>292</v>
      </c>
      <c r="F155" s="21" t="s">
        <v>82</v>
      </c>
      <c r="G155" s="22" t="s">
        <v>385</v>
      </c>
      <c r="H155" s="35">
        <v>73110.509999999995</v>
      </c>
      <c r="I155" s="35">
        <v>73110.509999999995</v>
      </c>
      <c r="J155" s="35">
        <f>CobrosPendientes3[[#This Row],[Importe]]-CobrosPendientes3[[#This Row],[Imp cobrado]]</f>
        <v>0</v>
      </c>
      <c r="K155" s="40">
        <v>46098</v>
      </c>
      <c r="L155" s="69" t="s">
        <v>22</v>
      </c>
      <c r="M155" s="55">
        <v>46100</v>
      </c>
      <c r="N155" s="30"/>
      <c r="O155" s="34"/>
      <c r="P155" s="33"/>
      <c r="Q155" s="6"/>
      <c r="R155" s="68"/>
    </row>
    <row r="156" spans="1:18" ht="15.75">
      <c r="A156" s="83" t="s">
        <v>426</v>
      </c>
      <c r="B156" s="83" t="s">
        <v>427</v>
      </c>
      <c r="C156" s="84">
        <v>46098</v>
      </c>
      <c r="D156" s="83" t="s">
        <v>167</v>
      </c>
      <c r="E156" s="83" t="s">
        <v>196</v>
      </c>
      <c r="F156" s="83" t="s">
        <v>428</v>
      </c>
      <c r="G156" s="85" t="s">
        <v>382</v>
      </c>
      <c r="H156" s="35">
        <v>6290</v>
      </c>
      <c r="I156" s="35">
        <v>6290</v>
      </c>
      <c r="J156" s="35">
        <f>CobrosPendientes3[[#This Row],[Importe]]-CobrosPendientes3[[#This Row],[Imp cobrado]]</f>
        <v>0</v>
      </c>
      <c r="K156" s="40">
        <v>46101</v>
      </c>
      <c r="L156" s="69" t="s">
        <v>22</v>
      </c>
      <c r="M156" s="55">
        <v>46101</v>
      </c>
      <c r="N156" s="30"/>
      <c r="O156" s="34"/>
      <c r="P156" s="33"/>
      <c r="Q156" s="6"/>
      <c r="R156" s="68"/>
    </row>
    <row r="157" spans="1:18" ht="15.75">
      <c r="A157" s="12" t="s">
        <v>429</v>
      </c>
      <c r="B157" s="12" t="s">
        <v>430</v>
      </c>
      <c r="C157" s="13">
        <v>46098</v>
      </c>
      <c r="D157" s="12" t="s">
        <v>162</v>
      </c>
      <c r="E157" s="12" t="s">
        <v>163</v>
      </c>
      <c r="F157" s="12" t="s">
        <v>21</v>
      </c>
      <c r="G157" s="14" t="s">
        <v>409</v>
      </c>
      <c r="H157" s="35">
        <v>46237.5</v>
      </c>
      <c r="I157" s="35">
        <v>46237.5</v>
      </c>
      <c r="J157" s="35">
        <f>CobrosPendientes3[[#This Row],[Importe]]-CobrosPendientes3[[#This Row],[Imp cobrado]]</f>
        <v>0</v>
      </c>
      <c r="K157" s="40">
        <v>46139</v>
      </c>
      <c r="L157" s="69" t="s">
        <v>22</v>
      </c>
      <c r="M157" s="55">
        <v>46128</v>
      </c>
      <c r="N157" s="30"/>
      <c r="O157" s="34"/>
      <c r="P157" s="33"/>
      <c r="Q157" s="6"/>
      <c r="R157" s="68"/>
    </row>
    <row r="158" spans="1:18" ht="15.75">
      <c r="A158" s="21" t="s">
        <v>431</v>
      </c>
      <c r="B158" s="21" t="s">
        <v>432</v>
      </c>
      <c r="C158" s="20">
        <v>46098</v>
      </c>
      <c r="D158" s="21" t="s">
        <v>433</v>
      </c>
      <c r="E158" s="21" t="s">
        <v>165</v>
      </c>
      <c r="F158" s="21" t="s">
        <v>21</v>
      </c>
      <c r="G158" s="22" t="s">
        <v>409</v>
      </c>
      <c r="H158" s="35">
        <v>154701.9</v>
      </c>
      <c r="I158" s="35">
        <v>154701.9</v>
      </c>
      <c r="J158" s="35">
        <f>CobrosPendientes3[[#This Row],[Importe]]-CobrosPendientes3[[#This Row],[Imp cobrado]]</f>
        <v>0</v>
      </c>
      <c r="K158" s="40">
        <v>46139</v>
      </c>
      <c r="L158" s="69" t="s">
        <v>22</v>
      </c>
      <c r="M158" s="55">
        <v>46128</v>
      </c>
      <c r="N158" s="30"/>
      <c r="O158" s="34"/>
      <c r="P158" s="33"/>
      <c r="Q158" s="6"/>
      <c r="R158" s="68"/>
    </row>
    <row r="159" spans="1:18" ht="15.75">
      <c r="A159" s="12" t="s">
        <v>434</v>
      </c>
      <c r="B159" s="12" t="s">
        <v>435</v>
      </c>
      <c r="C159" s="13">
        <v>46098</v>
      </c>
      <c r="D159" s="12" t="s">
        <v>436</v>
      </c>
      <c r="E159" s="12" t="s">
        <v>437</v>
      </c>
      <c r="F159" s="12" t="s">
        <v>67</v>
      </c>
      <c r="G159" s="14" t="s">
        <v>419</v>
      </c>
      <c r="H159" s="35">
        <v>39439.79</v>
      </c>
      <c r="I159" s="35">
        <v>39439.79</v>
      </c>
      <c r="J159" s="35">
        <f>CobrosPendientes3[[#This Row],[Importe]]-CobrosPendientes3[[#This Row],[Imp cobrado]]</f>
        <v>0</v>
      </c>
      <c r="K159" s="40">
        <v>46111</v>
      </c>
      <c r="L159" s="69" t="s">
        <v>22</v>
      </c>
      <c r="M159" s="55">
        <v>46101</v>
      </c>
      <c r="N159" s="30" t="s">
        <v>438</v>
      </c>
      <c r="O159" s="34"/>
      <c r="P159" s="33"/>
      <c r="Q159" s="6"/>
      <c r="R159" s="68"/>
    </row>
    <row r="160" spans="1:18" ht="15.75">
      <c r="A160" s="21" t="s">
        <v>439</v>
      </c>
      <c r="B160" s="21" t="s">
        <v>440</v>
      </c>
      <c r="C160" s="20">
        <v>46098</v>
      </c>
      <c r="D160" s="21" t="s">
        <v>436</v>
      </c>
      <c r="E160" s="21" t="s">
        <v>441</v>
      </c>
      <c r="F160" s="21" t="s">
        <v>442</v>
      </c>
      <c r="G160" s="22" t="s">
        <v>419</v>
      </c>
      <c r="H160" s="35">
        <v>23337.27</v>
      </c>
      <c r="I160" s="35">
        <v>23337.27</v>
      </c>
      <c r="J160" s="35">
        <f>CobrosPendientes3[[#This Row],[Importe]]-CobrosPendientes3[[#This Row],[Imp cobrado]]</f>
        <v>0</v>
      </c>
      <c r="K160" s="40">
        <v>46111</v>
      </c>
      <c r="L160" s="69" t="s">
        <v>22</v>
      </c>
      <c r="M160" s="55">
        <v>46101</v>
      </c>
      <c r="N160" s="30" t="s">
        <v>438</v>
      </c>
      <c r="O160" s="34"/>
      <c r="P160" s="33"/>
      <c r="Q160" s="6"/>
      <c r="R160" s="68"/>
    </row>
    <row r="161" spans="1:18" ht="15.75">
      <c r="A161" s="21" t="s">
        <v>443</v>
      </c>
      <c r="B161" s="21" t="s">
        <v>444</v>
      </c>
      <c r="C161" s="20">
        <v>46098</v>
      </c>
      <c r="D161" s="21" t="s">
        <v>436</v>
      </c>
      <c r="E161" s="21" t="s">
        <v>445</v>
      </c>
      <c r="F161" s="21" t="s">
        <v>446</v>
      </c>
      <c r="G161" s="22" t="s">
        <v>419</v>
      </c>
      <c r="H161" s="35">
        <v>20515.12</v>
      </c>
      <c r="I161" s="35">
        <v>20515.12</v>
      </c>
      <c r="J161" s="35">
        <f>CobrosPendientes3[[#This Row],[Importe]]-CobrosPendientes3[[#This Row],[Imp cobrado]]</f>
        <v>0</v>
      </c>
      <c r="K161" s="40">
        <v>46111</v>
      </c>
      <c r="L161" s="69" t="s">
        <v>22</v>
      </c>
      <c r="M161" s="55">
        <v>46101</v>
      </c>
      <c r="N161" s="30" t="s">
        <v>438</v>
      </c>
      <c r="O161" s="34"/>
      <c r="P161" s="33"/>
      <c r="Q161" s="6"/>
      <c r="R161" s="68"/>
    </row>
    <row r="162" spans="1:18" ht="15.75">
      <c r="A162" s="12" t="s">
        <v>447</v>
      </c>
      <c r="B162" s="12" t="s">
        <v>448</v>
      </c>
      <c r="C162" s="13">
        <v>46098</v>
      </c>
      <c r="D162" s="12" t="s">
        <v>436</v>
      </c>
      <c r="E162" s="12" t="s">
        <v>449</v>
      </c>
      <c r="F162" s="12" t="s">
        <v>450</v>
      </c>
      <c r="G162" s="14" t="s">
        <v>419</v>
      </c>
      <c r="H162" s="35">
        <v>59752.68</v>
      </c>
      <c r="I162" s="35">
        <v>59752.68</v>
      </c>
      <c r="J162" s="35">
        <f>CobrosPendientes3[[#This Row],[Importe]]-CobrosPendientes3[[#This Row],[Imp cobrado]]</f>
        <v>0</v>
      </c>
      <c r="K162" s="40">
        <v>46111</v>
      </c>
      <c r="L162" s="69" t="s">
        <v>22</v>
      </c>
      <c r="M162" s="55">
        <v>46101</v>
      </c>
      <c r="N162" s="30" t="s">
        <v>438</v>
      </c>
      <c r="O162" s="34"/>
      <c r="P162" s="33"/>
      <c r="Q162" s="6"/>
      <c r="R162" s="68"/>
    </row>
    <row r="163" spans="1:18" ht="15.75">
      <c r="A163" s="12" t="s">
        <v>451</v>
      </c>
      <c r="B163" s="12" t="s">
        <v>452</v>
      </c>
      <c r="C163" s="13">
        <v>46098</v>
      </c>
      <c r="D163" s="12" t="s">
        <v>436</v>
      </c>
      <c r="E163" s="12" t="s">
        <v>453</v>
      </c>
      <c r="F163" s="12" t="s">
        <v>450</v>
      </c>
      <c r="G163" s="14" t="s">
        <v>419</v>
      </c>
      <c r="H163" s="35">
        <v>40365.35</v>
      </c>
      <c r="I163" s="35">
        <v>40365.35</v>
      </c>
      <c r="J163" s="35">
        <f>CobrosPendientes3[[#This Row],[Importe]]-CobrosPendientes3[[#This Row],[Imp cobrado]]</f>
        <v>0</v>
      </c>
      <c r="K163" s="40">
        <v>46111</v>
      </c>
      <c r="L163" s="69" t="s">
        <v>22</v>
      </c>
      <c r="M163" s="55">
        <v>46101</v>
      </c>
      <c r="N163" s="30" t="s">
        <v>438</v>
      </c>
      <c r="O163" s="34"/>
      <c r="P163" s="33"/>
      <c r="Q163" s="6"/>
      <c r="R163" s="68"/>
    </row>
    <row r="164" spans="1:18" ht="15.75">
      <c r="A164" s="21" t="s">
        <v>454</v>
      </c>
      <c r="B164" s="21" t="s">
        <v>455</v>
      </c>
      <c r="C164" s="20">
        <v>46100</v>
      </c>
      <c r="D164" s="21" t="s">
        <v>456</v>
      </c>
      <c r="E164" s="21" t="s">
        <v>457</v>
      </c>
      <c r="F164" s="21" t="s">
        <v>458</v>
      </c>
      <c r="G164" s="22" t="s">
        <v>459</v>
      </c>
      <c r="H164" s="35">
        <v>24917.74</v>
      </c>
      <c r="I164" s="35">
        <v>24917.74</v>
      </c>
      <c r="J164" s="35">
        <f>CobrosPendientes3[[#This Row],[Importe]]-CobrosPendientes3[[#This Row],[Imp cobrado]]</f>
        <v>0</v>
      </c>
      <c r="K164" s="40">
        <v>46106</v>
      </c>
      <c r="L164" s="69" t="s">
        <v>22</v>
      </c>
      <c r="M164" s="55">
        <v>46105</v>
      </c>
      <c r="N164" s="30"/>
      <c r="O164" s="34"/>
      <c r="P164" s="33"/>
      <c r="Q164" s="6"/>
      <c r="R164" s="68"/>
    </row>
    <row r="165" spans="1:18" ht="15.75">
      <c r="A165" s="21" t="s">
        <v>460</v>
      </c>
      <c r="B165" s="21" t="s">
        <v>461</v>
      </c>
      <c r="C165" s="20">
        <v>46104</v>
      </c>
      <c r="D165" s="21" t="s">
        <v>307</v>
      </c>
      <c r="E165" s="21" t="s">
        <v>308</v>
      </c>
      <c r="F165" s="21" t="s">
        <v>462</v>
      </c>
      <c r="G165" s="22" t="s">
        <v>463</v>
      </c>
      <c r="H165" s="35">
        <v>105973.99</v>
      </c>
      <c r="I165" s="35">
        <v>105973.99</v>
      </c>
      <c r="J165" s="35">
        <f>CobrosPendientes3[[#This Row],[Importe]]-CobrosPendientes3[[#This Row],[Imp cobrado]]</f>
        <v>0</v>
      </c>
      <c r="K165" s="40">
        <v>46176</v>
      </c>
      <c r="L165" s="69" t="s">
        <v>22</v>
      </c>
      <c r="M165" s="55">
        <v>46107</v>
      </c>
      <c r="N165" s="30"/>
      <c r="O165" s="34"/>
      <c r="P165" s="33"/>
      <c r="Q165" s="6"/>
      <c r="R165" s="68"/>
    </row>
    <row r="166" spans="1:18" ht="16.5" customHeight="1">
      <c r="A166" s="12" t="s">
        <v>464</v>
      </c>
      <c r="B166" s="12" t="s">
        <v>465</v>
      </c>
      <c r="C166" s="13">
        <v>46104</v>
      </c>
      <c r="D166" s="12" t="s">
        <v>466</v>
      </c>
      <c r="E166" s="71" t="s">
        <v>467</v>
      </c>
      <c r="F166" s="12" t="s">
        <v>450</v>
      </c>
      <c r="G166" s="14" t="s">
        <v>468</v>
      </c>
      <c r="H166" s="35">
        <v>24154.38</v>
      </c>
      <c r="I166" s="35">
        <v>24154.38</v>
      </c>
      <c r="J166" s="35">
        <f>CobrosPendientes3[[#This Row],[Importe]]-CobrosPendientes3[[#This Row],[Imp cobrado]]</f>
        <v>0</v>
      </c>
      <c r="K166" s="40">
        <v>46139</v>
      </c>
      <c r="L166" s="69" t="s">
        <v>22</v>
      </c>
      <c r="M166" s="55">
        <v>46109</v>
      </c>
      <c r="N166" s="30"/>
      <c r="O166" s="34"/>
      <c r="P166" s="33"/>
      <c r="Q166" s="6"/>
      <c r="R166" s="68"/>
    </row>
    <row r="167" spans="1:18" ht="15.75">
      <c r="A167" s="21" t="s">
        <v>469</v>
      </c>
      <c r="B167" s="21" t="s">
        <v>470</v>
      </c>
      <c r="C167" s="20">
        <v>46104</v>
      </c>
      <c r="D167" s="21" t="s">
        <v>319</v>
      </c>
      <c r="E167" s="21" t="s">
        <v>471</v>
      </c>
      <c r="F167" s="21" t="s">
        <v>458</v>
      </c>
      <c r="G167" s="22" t="s">
        <v>459</v>
      </c>
      <c r="H167" s="35">
        <v>18378</v>
      </c>
      <c r="I167" s="35">
        <v>18378</v>
      </c>
      <c r="J167" s="35">
        <f>CobrosPendientes3[[#This Row],[Importe]]-CobrosPendientes3[[#This Row],[Imp cobrado]]</f>
        <v>0</v>
      </c>
      <c r="K167" s="40">
        <v>46106</v>
      </c>
      <c r="L167" s="69" t="s">
        <v>22</v>
      </c>
      <c r="M167" s="55">
        <v>46109</v>
      </c>
      <c r="N167" s="30"/>
      <c r="O167" s="34"/>
      <c r="P167" s="33"/>
      <c r="Q167" s="6"/>
      <c r="R167" s="68"/>
    </row>
    <row r="168" spans="1:18" ht="15.75">
      <c r="A168" s="21" t="s">
        <v>472</v>
      </c>
      <c r="B168" s="21" t="s">
        <v>473</v>
      </c>
      <c r="C168" s="20">
        <v>46105</v>
      </c>
      <c r="D168" s="21" t="s">
        <v>364</v>
      </c>
      <c r="E168" s="21" t="s">
        <v>365</v>
      </c>
      <c r="F168" s="21" t="s">
        <v>474</v>
      </c>
      <c r="G168" s="22" t="s">
        <v>385</v>
      </c>
      <c r="H168" s="35">
        <v>87233.48</v>
      </c>
      <c r="I168" s="35">
        <v>87233.48</v>
      </c>
      <c r="J168" s="35">
        <f>CobrosPendientes3[[#This Row],[Importe]]-CobrosPendientes3[[#This Row],[Imp cobrado]]</f>
        <v>0</v>
      </c>
      <c r="K168" s="40">
        <v>46107</v>
      </c>
      <c r="L168" s="69" t="s">
        <v>22</v>
      </c>
      <c r="M168" s="55">
        <v>46109</v>
      </c>
      <c r="N168" s="30"/>
      <c r="O168" s="34"/>
      <c r="P168" s="33"/>
      <c r="Q168" s="6"/>
      <c r="R168" s="68"/>
    </row>
    <row r="169" spans="1:18" ht="15.75">
      <c r="A169" s="21" t="s">
        <v>475</v>
      </c>
      <c r="B169" s="21" t="s">
        <v>476</v>
      </c>
      <c r="C169" s="20">
        <v>46105</v>
      </c>
      <c r="D169" s="21" t="s">
        <v>147</v>
      </c>
      <c r="E169" s="21" t="s">
        <v>150</v>
      </c>
      <c r="F169" s="21" t="s">
        <v>54</v>
      </c>
      <c r="G169" s="22" t="s">
        <v>377</v>
      </c>
      <c r="H169" s="7">
        <v>65678.960000000006</v>
      </c>
      <c r="I169" s="7"/>
      <c r="J169" s="7">
        <f>CobrosPendientes3[[#This Row],[Importe]]-CobrosPendientes3[[#This Row],[Imp cobrado]]</f>
        <v>65678.960000000006</v>
      </c>
      <c r="K169" s="3"/>
      <c r="L169" s="3"/>
      <c r="M169" s="55">
        <v>46108</v>
      </c>
      <c r="N169" s="30" t="s">
        <v>477</v>
      </c>
      <c r="O169" s="34"/>
      <c r="P169" s="33"/>
      <c r="Q169" s="6"/>
      <c r="R169" s="68"/>
    </row>
    <row r="170" spans="1:18" ht="15.75">
      <c r="A170" s="21" t="s">
        <v>478</v>
      </c>
      <c r="B170" s="21" t="s">
        <v>479</v>
      </c>
      <c r="C170" s="20">
        <v>46105</v>
      </c>
      <c r="D170" s="21" t="s">
        <v>340</v>
      </c>
      <c r="E170" s="21" t="s">
        <v>341</v>
      </c>
      <c r="F170" s="21" t="s">
        <v>480</v>
      </c>
      <c r="G170" s="22" t="s">
        <v>385</v>
      </c>
      <c r="H170" s="35">
        <v>71620.929999999993</v>
      </c>
      <c r="I170" s="35">
        <v>71620.929999999993</v>
      </c>
      <c r="J170" s="35">
        <f>CobrosPendientes3[[#This Row],[Importe]]-CobrosPendientes3[[#This Row],[Imp cobrado]]</f>
        <v>0</v>
      </c>
      <c r="K170" s="40">
        <v>46139</v>
      </c>
      <c r="L170" s="69" t="s">
        <v>22</v>
      </c>
      <c r="M170" s="55">
        <v>46108</v>
      </c>
      <c r="N170" s="30" t="s">
        <v>481</v>
      </c>
      <c r="O170" s="34"/>
      <c r="P170" s="33"/>
      <c r="Q170" s="6"/>
      <c r="R170" s="68"/>
    </row>
    <row r="171" spans="1:18" ht="15.75">
      <c r="A171" s="21" t="s">
        <v>482</v>
      </c>
      <c r="B171" s="21" t="s">
        <v>483</v>
      </c>
      <c r="C171" s="20">
        <v>46105</v>
      </c>
      <c r="D171" s="21" t="s">
        <v>340</v>
      </c>
      <c r="E171" s="21" t="s">
        <v>346</v>
      </c>
      <c r="F171" s="21" t="s">
        <v>480</v>
      </c>
      <c r="G171" s="22" t="s">
        <v>385</v>
      </c>
      <c r="H171" s="35">
        <v>22816.16</v>
      </c>
      <c r="I171" s="35">
        <v>22816.16</v>
      </c>
      <c r="J171" s="35">
        <f>CobrosPendientes3[[#This Row],[Importe]]-CobrosPendientes3[[#This Row],[Imp cobrado]]</f>
        <v>0</v>
      </c>
      <c r="K171" s="40">
        <v>46119</v>
      </c>
      <c r="L171" s="69" t="s">
        <v>22</v>
      </c>
      <c r="M171" s="55">
        <v>46108</v>
      </c>
      <c r="N171" s="30"/>
      <c r="O171" s="34"/>
      <c r="P171" s="33"/>
      <c r="Q171" s="6"/>
      <c r="R171" s="68"/>
    </row>
    <row r="172" spans="1:18" ht="15.75">
      <c r="A172" s="21" t="s">
        <v>484</v>
      </c>
      <c r="B172" s="21" t="s">
        <v>485</v>
      </c>
      <c r="C172" s="20">
        <v>46107</v>
      </c>
      <c r="D172" s="21" t="s">
        <v>167</v>
      </c>
      <c r="E172" s="21" t="s">
        <v>486</v>
      </c>
      <c r="F172" s="21" t="s">
        <v>487</v>
      </c>
      <c r="G172" s="22" t="s">
        <v>419</v>
      </c>
      <c r="H172" s="35">
        <v>6300</v>
      </c>
      <c r="I172" s="35">
        <v>6300</v>
      </c>
      <c r="J172" s="35">
        <f>CobrosPendientes3[[#This Row],[Importe]]-CobrosPendientes3[[#This Row],[Imp cobrado]]</f>
        <v>0</v>
      </c>
      <c r="K172" s="40">
        <v>46108</v>
      </c>
      <c r="L172" s="69" t="s">
        <v>22</v>
      </c>
      <c r="M172" s="55">
        <v>46110</v>
      </c>
      <c r="N172" s="30"/>
      <c r="O172" s="34"/>
      <c r="P172" s="33"/>
      <c r="Q172" s="6"/>
      <c r="R172" s="68"/>
    </row>
    <row r="173" spans="1:18" ht="15.75">
      <c r="A173" s="21" t="s">
        <v>488</v>
      </c>
      <c r="B173" s="21" t="s">
        <v>489</v>
      </c>
      <c r="C173" s="20">
        <v>46107</v>
      </c>
      <c r="D173" s="21" t="s">
        <v>490</v>
      </c>
      <c r="E173" s="93" t="s">
        <v>491</v>
      </c>
      <c r="F173" s="21" t="s">
        <v>487</v>
      </c>
      <c r="G173" s="22" t="s">
        <v>419</v>
      </c>
      <c r="H173" s="35">
        <v>34551.410000000003</v>
      </c>
      <c r="I173" s="35">
        <v>34551.410000000003</v>
      </c>
      <c r="J173" s="35">
        <f>CobrosPendientes3[[#This Row],[Importe]]-CobrosPendientes3[[#This Row],[Imp cobrado]]</f>
        <v>0</v>
      </c>
      <c r="K173" s="40">
        <v>46139</v>
      </c>
      <c r="L173" s="69" t="s">
        <v>22</v>
      </c>
      <c r="M173" s="55">
        <v>46110</v>
      </c>
      <c r="N173" s="30" t="s">
        <v>492</v>
      </c>
      <c r="O173" s="34"/>
      <c r="P173" s="33"/>
      <c r="Q173" s="6"/>
      <c r="R173" s="68"/>
    </row>
    <row r="174" spans="1:18" ht="15.75">
      <c r="A174" s="21" t="s">
        <v>493</v>
      </c>
      <c r="B174" s="21" t="s">
        <v>494</v>
      </c>
      <c r="C174" s="20">
        <v>46108</v>
      </c>
      <c r="D174" s="21" t="s">
        <v>30</v>
      </c>
      <c r="E174" s="21" t="s">
        <v>495</v>
      </c>
      <c r="F174" s="21" t="s">
        <v>487</v>
      </c>
      <c r="G174" s="22" t="s">
        <v>419</v>
      </c>
      <c r="H174" s="76">
        <v>310102.15999999997</v>
      </c>
      <c r="I174" s="35">
        <v>310102.15999999997</v>
      </c>
      <c r="J174" s="35">
        <f>CobrosPendientes3[[#This Row],[Importe]]-CobrosPendientes3[[#This Row],[Imp cobrado]]</f>
        <v>0</v>
      </c>
      <c r="K174" s="40">
        <v>46170</v>
      </c>
      <c r="L174" s="69" t="s">
        <v>22</v>
      </c>
      <c r="M174" s="55">
        <v>46111</v>
      </c>
      <c r="N174" s="30" t="s">
        <v>496</v>
      </c>
      <c r="O174" s="34"/>
      <c r="P174" s="33"/>
      <c r="Q174" s="6"/>
      <c r="R174" s="68"/>
    </row>
    <row r="175" spans="1:18" ht="15.75">
      <c r="A175" s="21" t="s">
        <v>497</v>
      </c>
      <c r="B175" s="21" t="s">
        <v>498</v>
      </c>
      <c r="C175" s="20">
        <v>46113</v>
      </c>
      <c r="D175" s="21" t="s">
        <v>133</v>
      </c>
      <c r="E175" s="21" t="s">
        <v>224</v>
      </c>
      <c r="F175" s="21" t="s">
        <v>499</v>
      </c>
      <c r="G175" s="22" t="s">
        <v>409</v>
      </c>
      <c r="H175" s="35">
        <v>249306.55</v>
      </c>
      <c r="I175" s="35">
        <v>249306.55</v>
      </c>
      <c r="J175" s="35">
        <f>CobrosPendientes3[[#This Row],[Importe]]-CobrosPendientes3[[#This Row],[Imp cobrado]]</f>
        <v>0</v>
      </c>
      <c r="K175" s="40">
        <v>46149</v>
      </c>
      <c r="L175" s="69" t="s">
        <v>22</v>
      </c>
      <c r="M175" s="55">
        <v>46143</v>
      </c>
      <c r="N175" s="30"/>
      <c r="O175" s="34"/>
      <c r="P175" s="33"/>
      <c r="Q175" s="6"/>
      <c r="R175" s="68"/>
    </row>
    <row r="176" spans="1:18" ht="15.75">
      <c r="A176" s="21" t="s">
        <v>500</v>
      </c>
      <c r="B176" s="21" t="s">
        <v>501</v>
      </c>
      <c r="C176" s="20">
        <v>46113</v>
      </c>
      <c r="D176" s="21" t="s">
        <v>133</v>
      </c>
      <c r="E176" s="126" t="s">
        <v>218</v>
      </c>
      <c r="F176" s="21" t="s">
        <v>499</v>
      </c>
      <c r="G176" s="22" t="s">
        <v>409</v>
      </c>
      <c r="H176" s="35">
        <v>45932.75</v>
      </c>
      <c r="I176" s="35">
        <v>45932.75</v>
      </c>
      <c r="J176" s="35">
        <f>CobrosPendientes3[[#This Row],[Importe]]-CobrosPendientes3[[#This Row],[Imp cobrado]]</f>
        <v>0</v>
      </c>
      <c r="K176" s="40">
        <v>46149</v>
      </c>
      <c r="L176" s="69" t="s">
        <v>22</v>
      </c>
      <c r="M176" s="55">
        <v>46143</v>
      </c>
      <c r="N176" s="30"/>
      <c r="O176" s="34"/>
      <c r="P176" s="33"/>
      <c r="Q176" s="6"/>
      <c r="R176" s="68"/>
    </row>
    <row r="177" spans="1:18" ht="15.75">
      <c r="A177" s="21" t="s">
        <v>502</v>
      </c>
      <c r="B177" s="21" t="s">
        <v>503</v>
      </c>
      <c r="C177" s="20">
        <v>46113</v>
      </c>
      <c r="D177" s="21" t="s">
        <v>291</v>
      </c>
      <c r="E177" s="21" t="s">
        <v>292</v>
      </c>
      <c r="F177" s="21" t="s">
        <v>504</v>
      </c>
      <c r="G177" s="22" t="s">
        <v>468</v>
      </c>
      <c r="H177" s="35">
        <v>29244.2</v>
      </c>
      <c r="I177" s="35">
        <v>29244.2</v>
      </c>
      <c r="J177" s="35">
        <f>CobrosPendientes3[[#This Row],[Importe]]-CobrosPendientes3[[#This Row],[Imp cobrado]]</f>
        <v>0</v>
      </c>
      <c r="K177" s="40">
        <v>46119</v>
      </c>
      <c r="L177" s="69" t="s">
        <v>22</v>
      </c>
      <c r="M177" s="55">
        <v>46116</v>
      </c>
      <c r="N177" s="30"/>
      <c r="O177" s="34"/>
      <c r="P177" s="33"/>
      <c r="Q177" s="6"/>
      <c r="R177" s="68"/>
    </row>
    <row r="178" spans="1:18" ht="15.75">
      <c r="A178" s="21" t="s">
        <v>505</v>
      </c>
      <c r="B178" s="21" t="s">
        <v>506</v>
      </c>
      <c r="C178" s="20">
        <v>46113</v>
      </c>
      <c r="D178" s="21" t="s">
        <v>507</v>
      </c>
      <c r="E178" s="21" t="s">
        <v>312</v>
      </c>
      <c r="F178" s="21" t="s">
        <v>508</v>
      </c>
      <c r="G178" s="22" t="s">
        <v>409</v>
      </c>
      <c r="H178" s="35">
        <v>57585.66</v>
      </c>
      <c r="I178" s="35">
        <v>57585.66</v>
      </c>
      <c r="J178" s="35">
        <f>CobrosPendientes3[[#This Row],[Importe]]-CobrosPendientes3[[#This Row],[Imp cobrado]]</f>
        <v>0</v>
      </c>
      <c r="K178" s="40">
        <v>46122</v>
      </c>
      <c r="L178" s="69" t="s">
        <v>22</v>
      </c>
      <c r="M178" s="55">
        <v>46120</v>
      </c>
      <c r="N178" s="30"/>
      <c r="O178" s="34"/>
      <c r="P178" s="33"/>
      <c r="Q178" s="6"/>
      <c r="R178" s="68"/>
    </row>
    <row r="179" spans="1:18" ht="15.75">
      <c r="A179" s="21" t="s">
        <v>509</v>
      </c>
      <c r="B179" s="21" t="s">
        <v>510</v>
      </c>
      <c r="C179" s="20">
        <v>46118</v>
      </c>
      <c r="D179" s="21" t="s">
        <v>167</v>
      </c>
      <c r="E179" s="21" t="s">
        <v>511</v>
      </c>
      <c r="F179" s="21" t="s">
        <v>512</v>
      </c>
      <c r="G179" s="22" t="s">
        <v>419</v>
      </c>
      <c r="H179" s="35">
        <v>66600</v>
      </c>
      <c r="I179" s="35">
        <v>66600</v>
      </c>
      <c r="J179" s="35">
        <f>CobrosPendientes3[[#This Row],[Importe]]-CobrosPendientes3[[#This Row],[Imp cobrado]]</f>
        <v>0</v>
      </c>
      <c r="K179" s="40">
        <v>46120</v>
      </c>
      <c r="L179" s="69" t="s">
        <v>22</v>
      </c>
      <c r="M179" s="55">
        <v>46121</v>
      </c>
      <c r="N179" s="30"/>
      <c r="O179" s="34"/>
      <c r="P179" s="33"/>
      <c r="Q179" s="6"/>
      <c r="R179" s="68"/>
    </row>
    <row r="180" spans="1:18" ht="15.75">
      <c r="A180" s="21" t="s">
        <v>513</v>
      </c>
      <c r="B180" s="21" t="s">
        <v>514</v>
      </c>
      <c r="C180" s="20">
        <v>46118</v>
      </c>
      <c r="D180" s="21" t="s">
        <v>407</v>
      </c>
      <c r="E180" s="21" t="s">
        <v>91</v>
      </c>
      <c r="F180" s="21" t="s">
        <v>504</v>
      </c>
      <c r="G180" s="22" t="s">
        <v>419</v>
      </c>
      <c r="H180" s="35">
        <v>101730.29</v>
      </c>
      <c r="I180" s="35">
        <v>101730.29</v>
      </c>
      <c r="J180" s="35">
        <f>CobrosPendientes3[[#This Row],[Importe]]-CobrosPendientes3[[#This Row],[Imp cobrado]]</f>
        <v>0</v>
      </c>
      <c r="K180" s="40">
        <v>46133</v>
      </c>
      <c r="L180" s="69" t="s">
        <v>22</v>
      </c>
      <c r="M180" s="55">
        <v>46121</v>
      </c>
      <c r="N180" s="30"/>
      <c r="O180" s="34"/>
      <c r="P180" s="33"/>
      <c r="Q180" s="6"/>
      <c r="R180" s="68"/>
    </row>
    <row r="181" spans="1:18" ht="15.75">
      <c r="A181" s="21" t="s">
        <v>515</v>
      </c>
      <c r="B181" s="21" t="s">
        <v>516</v>
      </c>
      <c r="C181" s="20">
        <v>46118</v>
      </c>
      <c r="D181" s="21" t="s">
        <v>517</v>
      </c>
      <c r="E181" s="21" t="s">
        <v>350</v>
      </c>
      <c r="F181" s="21" t="s">
        <v>518</v>
      </c>
      <c r="G181" s="22" t="s">
        <v>385</v>
      </c>
      <c r="H181" s="35">
        <v>297882.84000000003</v>
      </c>
      <c r="I181" s="35">
        <v>297882.84000000003</v>
      </c>
      <c r="J181" s="35">
        <f>CobrosPendientes3[[#This Row],[Importe]]-CobrosPendientes3[[#This Row],[Imp cobrado]]</f>
        <v>0</v>
      </c>
      <c r="K181" s="40">
        <v>46125</v>
      </c>
      <c r="L181" s="69" t="s">
        <v>22</v>
      </c>
      <c r="M181" s="55">
        <v>46128</v>
      </c>
      <c r="N181" s="30"/>
      <c r="O181" s="34"/>
      <c r="P181" s="33"/>
      <c r="Q181" s="6"/>
      <c r="R181" s="68"/>
    </row>
    <row r="182" spans="1:18" ht="15.75">
      <c r="A182" s="21" t="s">
        <v>519</v>
      </c>
      <c r="B182" s="21" t="s">
        <v>520</v>
      </c>
      <c r="C182" s="20">
        <v>46120</v>
      </c>
      <c r="D182" s="25" t="s">
        <v>159</v>
      </c>
      <c r="E182" s="21" t="s">
        <v>160</v>
      </c>
      <c r="F182" s="21" t="s">
        <v>160</v>
      </c>
      <c r="G182" s="22" t="s">
        <v>392</v>
      </c>
      <c r="H182" s="7">
        <v>224635.04</v>
      </c>
      <c r="I182" s="7"/>
      <c r="J182" s="7">
        <f>CobrosPendientes3[[#This Row],[Importe]]-CobrosPendientes3[[#This Row],[Imp cobrado]]</f>
        <v>224635.04</v>
      </c>
      <c r="K182" s="3"/>
      <c r="L182" s="3"/>
      <c r="M182" s="55">
        <v>46120</v>
      </c>
      <c r="N182" s="30"/>
      <c r="O182" s="34"/>
      <c r="P182" s="33"/>
      <c r="Q182" s="6"/>
      <c r="R182" s="68"/>
    </row>
    <row r="183" spans="1:18" ht="15.75">
      <c r="A183" s="21" t="s">
        <v>521</v>
      </c>
      <c r="B183" s="21" t="s">
        <v>522</v>
      </c>
      <c r="C183" s="20">
        <v>46121</v>
      </c>
      <c r="D183" s="21" t="s">
        <v>156</v>
      </c>
      <c r="E183" s="21" t="s">
        <v>157</v>
      </c>
      <c r="F183" s="21" t="s">
        <v>504</v>
      </c>
      <c r="G183" s="22" t="s">
        <v>523</v>
      </c>
      <c r="H183" s="35">
        <v>73769.240000000005</v>
      </c>
      <c r="I183" s="35">
        <v>73769.240000000005</v>
      </c>
      <c r="J183" s="35">
        <f>CobrosPendientes3[[#This Row],[Importe]]-CobrosPendientes3[[#This Row],[Imp cobrado]]</f>
        <v>0</v>
      </c>
      <c r="K183" s="40">
        <v>46178</v>
      </c>
      <c r="L183" s="69" t="s">
        <v>22</v>
      </c>
      <c r="M183" s="55">
        <v>46151</v>
      </c>
      <c r="N183" s="30"/>
      <c r="O183" s="34"/>
      <c r="P183" s="33"/>
      <c r="Q183" s="6"/>
      <c r="R183" s="68"/>
    </row>
    <row r="184" spans="1:18" ht="15.75">
      <c r="A184" s="25" t="s">
        <v>524</v>
      </c>
      <c r="B184" s="25" t="s">
        <v>525</v>
      </c>
      <c r="C184" s="20">
        <v>46125</v>
      </c>
      <c r="D184" s="21" t="s">
        <v>526</v>
      </c>
      <c r="E184" s="21" t="s">
        <v>397</v>
      </c>
      <c r="F184" s="21" t="s">
        <v>527</v>
      </c>
      <c r="G184" s="22" t="s">
        <v>419</v>
      </c>
      <c r="H184" s="87">
        <v>46613.61</v>
      </c>
      <c r="I184" s="35">
        <v>46613.61</v>
      </c>
      <c r="J184" s="35">
        <f>CobrosPendientes3[[#This Row],[Importe]]-CobrosPendientes3[[#This Row],[Imp cobrado]]</f>
        <v>0</v>
      </c>
      <c r="K184" s="40">
        <v>46134</v>
      </c>
      <c r="L184" s="69" t="s">
        <v>22</v>
      </c>
      <c r="M184" s="55">
        <v>46128</v>
      </c>
      <c r="N184" s="30" t="s">
        <v>528</v>
      </c>
      <c r="O184" s="34"/>
      <c r="P184" s="33"/>
      <c r="Q184" s="6"/>
      <c r="R184" s="68"/>
    </row>
    <row r="185" spans="1:18" ht="15.75">
      <c r="A185" s="21" t="s">
        <v>529</v>
      </c>
      <c r="B185" s="21" t="s">
        <v>530</v>
      </c>
      <c r="C185" s="20">
        <v>46127</v>
      </c>
      <c r="D185" s="21" t="s">
        <v>364</v>
      </c>
      <c r="E185" s="21" t="s">
        <v>365</v>
      </c>
      <c r="F185" s="21" t="s">
        <v>531</v>
      </c>
      <c r="G185" s="22" t="s">
        <v>468</v>
      </c>
      <c r="H185" s="35">
        <v>34893.39</v>
      </c>
      <c r="I185" s="35">
        <v>34893.39</v>
      </c>
      <c r="J185" s="35">
        <f>CobrosPendientes3[[#This Row],[Importe]]-CobrosPendientes3[[#This Row],[Imp cobrado]]</f>
        <v>0</v>
      </c>
      <c r="K185" s="40">
        <v>46128</v>
      </c>
      <c r="L185" s="69" t="s">
        <v>22</v>
      </c>
      <c r="M185" s="55">
        <v>46130</v>
      </c>
      <c r="N185" s="30"/>
      <c r="O185" s="34"/>
      <c r="P185" s="33"/>
      <c r="Q185" s="6"/>
      <c r="R185" s="68"/>
    </row>
    <row r="186" spans="1:18" ht="15.75">
      <c r="A186" s="21" t="s">
        <v>532</v>
      </c>
      <c r="B186" s="21" t="s">
        <v>533</v>
      </c>
      <c r="C186" s="20">
        <v>46127</v>
      </c>
      <c r="D186" s="21" t="s">
        <v>436</v>
      </c>
      <c r="E186" s="21" t="s">
        <v>441</v>
      </c>
      <c r="F186" s="21" t="s">
        <v>534</v>
      </c>
      <c r="G186" s="22" t="s">
        <v>535</v>
      </c>
      <c r="H186" s="35">
        <v>54463.63</v>
      </c>
      <c r="I186" s="35">
        <v>54463.63</v>
      </c>
      <c r="J186" s="35">
        <f>CobrosPendientes3[[#This Row],[Importe]]-CobrosPendientes3[[#This Row],[Imp cobrado]]</f>
        <v>0</v>
      </c>
      <c r="K186" s="40">
        <v>46142</v>
      </c>
      <c r="L186" s="69" t="s">
        <v>22</v>
      </c>
      <c r="M186" s="55">
        <v>46130</v>
      </c>
      <c r="N186" s="30"/>
      <c r="O186" s="34"/>
      <c r="P186" s="33"/>
      <c r="Q186" s="6"/>
      <c r="R186" s="68"/>
    </row>
    <row r="187" spans="1:18" ht="15.75">
      <c r="A187" s="21" t="s">
        <v>536</v>
      </c>
      <c r="B187" s="21" t="s">
        <v>537</v>
      </c>
      <c r="C187" s="20">
        <v>46127</v>
      </c>
      <c r="D187" s="21" t="s">
        <v>436</v>
      </c>
      <c r="E187" s="21" t="s">
        <v>445</v>
      </c>
      <c r="F187" s="21" t="s">
        <v>538</v>
      </c>
      <c r="G187" s="22" t="s">
        <v>535</v>
      </c>
      <c r="H187" s="35">
        <v>47868.62</v>
      </c>
      <c r="I187" s="35">
        <v>47868.62</v>
      </c>
      <c r="J187" s="35">
        <f>CobrosPendientes3[[#This Row],[Importe]]-CobrosPendientes3[[#This Row],[Imp cobrado]]</f>
        <v>0</v>
      </c>
      <c r="K187" s="40">
        <v>46142</v>
      </c>
      <c r="L187" s="69" t="s">
        <v>22</v>
      </c>
      <c r="M187" s="55">
        <v>46130</v>
      </c>
      <c r="N187" s="30"/>
      <c r="O187" s="34"/>
      <c r="P187" s="33"/>
      <c r="Q187" s="6"/>
      <c r="R187" s="68"/>
    </row>
    <row r="188" spans="1:18" ht="15.75">
      <c r="A188" s="21" t="s">
        <v>539</v>
      </c>
      <c r="B188" s="21" t="s">
        <v>540</v>
      </c>
      <c r="C188" s="20">
        <v>46127</v>
      </c>
      <c r="D188" s="21" t="s">
        <v>171</v>
      </c>
      <c r="E188" s="21" t="s">
        <v>172</v>
      </c>
      <c r="F188" s="21" t="s">
        <v>504</v>
      </c>
      <c r="G188" s="22" t="s">
        <v>468</v>
      </c>
      <c r="H188" s="35">
        <v>29400</v>
      </c>
      <c r="I188" s="35">
        <v>29400</v>
      </c>
      <c r="J188" s="35">
        <f>CobrosPendientes3[[#This Row],[Importe]]-CobrosPendientes3[[#This Row],[Imp cobrado]]</f>
        <v>0</v>
      </c>
      <c r="K188" s="40">
        <v>46132</v>
      </c>
      <c r="L188" s="69" t="s">
        <v>22</v>
      </c>
      <c r="M188" s="55">
        <v>46130</v>
      </c>
      <c r="N188" s="30"/>
      <c r="O188" s="34"/>
      <c r="P188" s="33"/>
      <c r="Q188" s="6"/>
      <c r="R188" s="68"/>
    </row>
    <row r="189" spans="1:18" ht="15.75">
      <c r="A189" s="12" t="s">
        <v>541</v>
      </c>
      <c r="B189" s="12" t="s">
        <v>542</v>
      </c>
      <c r="C189" s="13">
        <v>46128</v>
      </c>
      <c r="D189" s="12" t="s">
        <v>133</v>
      </c>
      <c r="E189" s="12" t="s">
        <v>220</v>
      </c>
      <c r="F189" s="12" t="s">
        <v>518</v>
      </c>
      <c r="G189" s="14" t="s">
        <v>409</v>
      </c>
      <c r="H189" s="35">
        <v>50025.279999999999</v>
      </c>
      <c r="I189" s="35">
        <v>50025.279999999999</v>
      </c>
      <c r="J189" s="35">
        <f>CobrosPendientes3[[#This Row],[Importe]]-CobrosPendientes3[[#This Row],[Imp cobrado]]</f>
        <v>0</v>
      </c>
      <c r="K189" s="40">
        <v>46181</v>
      </c>
      <c r="L189" s="69" t="s">
        <v>22</v>
      </c>
      <c r="M189" s="55">
        <v>46158</v>
      </c>
      <c r="N189" s="30"/>
      <c r="O189" s="34"/>
      <c r="P189" s="33"/>
      <c r="Q189" s="6"/>
      <c r="R189" s="68"/>
    </row>
    <row r="190" spans="1:18" ht="15.75">
      <c r="A190" s="12" t="s">
        <v>543</v>
      </c>
      <c r="B190" s="12" t="s">
        <v>544</v>
      </c>
      <c r="C190" s="13">
        <v>46132</v>
      </c>
      <c r="D190" s="12" t="s">
        <v>545</v>
      </c>
      <c r="E190" s="12" t="s">
        <v>546</v>
      </c>
      <c r="F190" s="12" t="s">
        <v>487</v>
      </c>
      <c r="G190" s="14" t="s">
        <v>547</v>
      </c>
      <c r="H190" s="35">
        <v>25000</v>
      </c>
      <c r="I190" s="35">
        <v>25000</v>
      </c>
      <c r="J190" s="35">
        <f>CobrosPendientes3[[#This Row],[Importe]]-CobrosPendientes3[[#This Row],[Imp cobrado]]</f>
        <v>0</v>
      </c>
      <c r="K190" s="40">
        <v>46135</v>
      </c>
      <c r="L190" s="69" t="s">
        <v>22</v>
      </c>
      <c r="M190" s="55">
        <v>46135</v>
      </c>
      <c r="N190" s="30"/>
      <c r="O190" s="34"/>
      <c r="P190" s="33"/>
      <c r="Q190" s="6"/>
      <c r="R190" s="68"/>
    </row>
    <row r="191" spans="1:18" ht="15.75">
      <c r="A191" s="21" t="s">
        <v>548</v>
      </c>
      <c r="B191" s="21" t="s">
        <v>549</v>
      </c>
      <c r="C191" s="20">
        <v>46132</v>
      </c>
      <c r="D191" s="21" t="s">
        <v>545</v>
      </c>
      <c r="E191" s="21" t="s">
        <v>550</v>
      </c>
      <c r="F191" s="21" t="s">
        <v>487</v>
      </c>
      <c r="G191" s="22" t="s">
        <v>468</v>
      </c>
      <c r="H191" s="35">
        <v>25532.15</v>
      </c>
      <c r="I191" s="35">
        <v>25532.15</v>
      </c>
      <c r="J191" s="35">
        <f>CobrosPendientes3[[#This Row],[Importe]]-CobrosPendientes3[[#This Row],[Imp cobrado]]</f>
        <v>0</v>
      </c>
      <c r="K191" s="40">
        <v>46135</v>
      </c>
      <c r="L191" s="69" t="s">
        <v>22</v>
      </c>
      <c r="M191" s="55">
        <v>46135</v>
      </c>
      <c r="N191" s="30"/>
      <c r="O191" s="34"/>
      <c r="P191" s="33"/>
      <c r="Q191" s="6"/>
      <c r="R191" s="68"/>
    </row>
    <row r="192" spans="1:18" ht="15.75">
      <c r="A192" s="21" t="s">
        <v>551</v>
      </c>
      <c r="B192" s="21" t="s">
        <v>552</v>
      </c>
      <c r="C192" s="20">
        <v>46132</v>
      </c>
      <c r="D192" s="21" t="s">
        <v>553</v>
      </c>
      <c r="E192" s="21" t="s">
        <v>554</v>
      </c>
      <c r="F192" s="21" t="s">
        <v>555</v>
      </c>
      <c r="G192" s="22" t="s">
        <v>392</v>
      </c>
      <c r="H192" s="7">
        <v>4814.29</v>
      </c>
      <c r="I192" s="7"/>
      <c r="J192" s="7">
        <f>CobrosPendientes3[[#This Row],[Importe]]-CobrosPendientes3[[#This Row],[Imp cobrado]]</f>
        <v>4814.29</v>
      </c>
      <c r="K192" s="3"/>
      <c r="L192" s="3"/>
      <c r="M192" s="55">
        <v>46135</v>
      </c>
      <c r="N192" s="30" t="s">
        <v>556</v>
      </c>
      <c r="O192" s="34"/>
      <c r="P192" s="33"/>
      <c r="Q192" s="6"/>
      <c r="R192" s="68"/>
    </row>
    <row r="193" spans="1:18" ht="15.75">
      <c r="A193" s="21" t="s">
        <v>557</v>
      </c>
      <c r="B193" s="21" t="s">
        <v>558</v>
      </c>
      <c r="C193" s="20">
        <v>46133</v>
      </c>
      <c r="D193" s="25" t="s">
        <v>167</v>
      </c>
      <c r="E193" s="25" t="s">
        <v>559</v>
      </c>
      <c r="F193" s="25" t="s">
        <v>560</v>
      </c>
      <c r="G193" s="22" t="s">
        <v>419</v>
      </c>
      <c r="H193" s="35">
        <v>485861.93</v>
      </c>
      <c r="I193" s="35">
        <v>485861.93</v>
      </c>
      <c r="J193" s="35">
        <f>CobrosPendientes3[[#This Row],[Importe]]-CobrosPendientes3[[#This Row],[Imp cobrado]]</f>
        <v>0</v>
      </c>
      <c r="K193" s="40">
        <v>46139</v>
      </c>
      <c r="L193" s="69" t="s">
        <v>22</v>
      </c>
      <c r="M193" s="55">
        <v>46136</v>
      </c>
      <c r="N193" s="30"/>
      <c r="O193" s="34"/>
      <c r="P193" s="33"/>
      <c r="Q193" s="6"/>
      <c r="R193" s="68"/>
    </row>
    <row r="194" spans="1:18" ht="15.75">
      <c r="A194" s="21" t="s">
        <v>561</v>
      </c>
      <c r="B194" s="21" t="s">
        <v>562</v>
      </c>
      <c r="C194" s="20">
        <v>46134</v>
      </c>
      <c r="D194" s="21" t="s">
        <v>563</v>
      </c>
      <c r="E194" s="21" t="s">
        <v>564</v>
      </c>
      <c r="F194" s="21" t="s">
        <v>289</v>
      </c>
      <c r="G194" s="22" t="s">
        <v>392</v>
      </c>
      <c r="H194" s="35">
        <v>23000</v>
      </c>
      <c r="I194" s="35">
        <v>23000</v>
      </c>
      <c r="J194" s="35">
        <f>CobrosPendientes3[[#This Row],[Importe]]-CobrosPendientes3[[#This Row],[Imp cobrado]]</f>
        <v>0</v>
      </c>
      <c r="K194" s="40">
        <v>46141</v>
      </c>
      <c r="L194" s="69" t="s">
        <v>22</v>
      </c>
      <c r="M194" s="55">
        <v>46137</v>
      </c>
      <c r="N194" s="30"/>
      <c r="O194" s="34"/>
      <c r="P194" s="33"/>
      <c r="Q194" s="6"/>
      <c r="R194" s="68"/>
    </row>
    <row r="195" spans="1:18" ht="15.75">
      <c r="A195" s="21" t="s">
        <v>565</v>
      </c>
      <c r="B195" s="21" t="s">
        <v>566</v>
      </c>
      <c r="C195" s="20">
        <v>46134</v>
      </c>
      <c r="D195" s="21" t="s">
        <v>340</v>
      </c>
      <c r="E195" s="21" t="s">
        <v>346</v>
      </c>
      <c r="F195" s="21" t="s">
        <v>567</v>
      </c>
      <c r="G195" s="22" t="s">
        <v>468</v>
      </c>
      <c r="H195" s="35">
        <v>9126.4599999999991</v>
      </c>
      <c r="I195" s="35">
        <v>9126.4599999999991</v>
      </c>
      <c r="J195" s="35">
        <f>CobrosPendientes3[[#This Row],[Importe]]-CobrosPendientes3[[#This Row],[Imp cobrado]]</f>
        <v>0</v>
      </c>
      <c r="K195" s="40">
        <v>46149</v>
      </c>
      <c r="L195" s="69" t="s">
        <v>22</v>
      </c>
      <c r="M195" s="55">
        <v>46137</v>
      </c>
      <c r="N195" s="30"/>
      <c r="O195" s="34"/>
      <c r="P195" s="33"/>
      <c r="Q195" s="6"/>
      <c r="R195" s="68"/>
    </row>
    <row r="196" spans="1:18" ht="15.75">
      <c r="A196" s="21" t="s">
        <v>568</v>
      </c>
      <c r="B196" s="21" t="s">
        <v>569</v>
      </c>
      <c r="C196" s="20">
        <v>46139</v>
      </c>
      <c r="D196" s="21" t="s">
        <v>570</v>
      </c>
      <c r="E196" s="21" t="s">
        <v>571</v>
      </c>
      <c r="F196" s="21" t="s">
        <v>572</v>
      </c>
      <c r="G196" s="22" t="s">
        <v>419</v>
      </c>
      <c r="H196" s="35">
        <v>34315.14</v>
      </c>
      <c r="I196" s="35">
        <v>34315.14</v>
      </c>
      <c r="J196" s="35">
        <f>CobrosPendientes3[[#This Row],[Importe]]-CobrosPendientes3[[#This Row],[Imp cobrado]]</f>
        <v>0</v>
      </c>
      <c r="K196" s="40">
        <v>46140</v>
      </c>
      <c r="L196" s="69" t="s">
        <v>22</v>
      </c>
      <c r="M196" s="55">
        <v>46142</v>
      </c>
      <c r="N196" s="30"/>
      <c r="O196" s="34"/>
      <c r="P196" s="33"/>
      <c r="Q196" s="6"/>
      <c r="R196" s="68"/>
    </row>
    <row r="197" spans="1:18" ht="15.75">
      <c r="A197" s="21" t="s">
        <v>573</v>
      </c>
      <c r="B197" s="21" t="s">
        <v>574</v>
      </c>
      <c r="C197" s="20">
        <v>46139</v>
      </c>
      <c r="D197" s="21" t="s">
        <v>319</v>
      </c>
      <c r="E197" s="21" t="s">
        <v>457</v>
      </c>
      <c r="F197" s="21" t="s">
        <v>575</v>
      </c>
      <c r="G197" s="22" t="s">
        <v>576</v>
      </c>
      <c r="H197" s="35">
        <v>2786.64</v>
      </c>
      <c r="I197" s="35">
        <v>2786.64</v>
      </c>
      <c r="J197" s="35">
        <f>CobrosPendientes3[[#This Row],[Importe]]-CobrosPendientes3[[#This Row],[Imp cobrado]]</f>
        <v>0</v>
      </c>
      <c r="K197" s="40">
        <v>46147</v>
      </c>
      <c r="L197" s="69" t="s">
        <v>22</v>
      </c>
      <c r="M197" s="55">
        <v>46144</v>
      </c>
      <c r="N197" s="30" t="s">
        <v>577</v>
      </c>
      <c r="O197" s="34"/>
      <c r="P197" s="33"/>
      <c r="Q197" s="6"/>
      <c r="R197" s="68"/>
    </row>
    <row r="198" spans="1:18" ht="15.75">
      <c r="A198" s="21" t="s">
        <v>578</v>
      </c>
      <c r="B198" s="21" t="s">
        <v>579</v>
      </c>
      <c r="C198" s="20">
        <v>46141</v>
      </c>
      <c r="D198" s="21" t="s">
        <v>580</v>
      </c>
      <c r="E198" s="21" t="s">
        <v>581</v>
      </c>
      <c r="F198" s="21" t="s">
        <v>582</v>
      </c>
      <c r="G198" s="22" t="s">
        <v>392</v>
      </c>
      <c r="H198" s="35">
        <v>2494</v>
      </c>
      <c r="I198" s="35">
        <v>2494</v>
      </c>
      <c r="J198" s="35">
        <f>CobrosPendientes3[[#This Row],[Importe]]-CobrosPendientes3[[#This Row],[Imp cobrado]]</f>
        <v>0</v>
      </c>
      <c r="K198" s="40">
        <v>46146</v>
      </c>
      <c r="L198" s="69" t="s">
        <v>22</v>
      </c>
      <c r="M198" s="55">
        <v>46144</v>
      </c>
      <c r="N198" s="30"/>
      <c r="O198" s="34"/>
      <c r="P198" s="33"/>
      <c r="Q198" s="6"/>
      <c r="R198" s="68"/>
    </row>
    <row r="199" spans="1:18" ht="15.75">
      <c r="A199" s="21" t="s">
        <v>583</v>
      </c>
      <c r="B199" s="21" t="s">
        <v>584</v>
      </c>
      <c r="C199" s="20">
        <v>46141</v>
      </c>
      <c r="D199" s="21" t="s">
        <v>585</v>
      </c>
      <c r="E199" s="21" t="s">
        <v>287</v>
      </c>
      <c r="F199" s="21" t="s">
        <v>518</v>
      </c>
      <c r="G199" s="22" t="s">
        <v>385</v>
      </c>
      <c r="H199" s="35">
        <v>214700</v>
      </c>
      <c r="I199" s="35">
        <v>214700</v>
      </c>
      <c r="J199" s="35">
        <f>CobrosPendientes3[[#This Row],[Importe]]-CobrosPendientes3[[#This Row],[Imp cobrado]]</f>
        <v>0</v>
      </c>
      <c r="K199" s="40">
        <v>46146</v>
      </c>
      <c r="L199" s="69" t="s">
        <v>22</v>
      </c>
      <c r="M199" s="55">
        <v>46144</v>
      </c>
      <c r="N199" s="30"/>
      <c r="O199" s="34"/>
      <c r="P199" s="33"/>
      <c r="Q199" s="6"/>
      <c r="R199" s="68"/>
    </row>
    <row r="200" spans="1:18" ht="15.75">
      <c r="A200" s="21" t="s">
        <v>586</v>
      </c>
      <c r="B200" s="21" t="s">
        <v>587</v>
      </c>
      <c r="C200" s="20">
        <v>46141</v>
      </c>
      <c r="D200" s="21" t="s">
        <v>133</v>
      </c>
      <c r="E200" s="21" t="s">
        <v>222</v>
      </c>
      <c r="F200" s="21" t="s">
        <v>504</v>
      </c>
      <c r="G200" s="22" t="s">
        <v>419</v>
      </c>
      <c r="H200" s="35">
        <v>302525.71999999997</v>
      </c>
      <c r="I200" s="35">
        <v>302525.71999999997</v>
      </c>
      <c r="J200" s="35">
        <f>CobrosPendientes3[[#This Row],[Importe]]-CobrosPendientes3[[#This Row],[Imp cobrado]]</f>
        <v>0</v>
      </c>
      <c r="K200" s="40">
        <v>46181</v>
      </c>
      <c r="L200" s="69" t="s">
        <v>22</v>
      </c>
      <c r="M200" s="55">
        <v>46171</v>
      </c>
      <c r="N200" s="30" t="s">
        <v>588</v>
      </c>
      <c r="O200" s="34"/>
      <c r="P200" s="33"/>
      <c r="Q200" s="6"/>
      <c r="R200" s="68"/>
    </row>
    <row r="201" spans="1:18" ht="15.75">
      <c r="A201" s="21" t="s">
        <v>589</v>
      </c>
      <c r="B201" s="21" t="s">
        <v>590</v>
      </c>
      <c r="C201" s="20">
        <v>46141</v>
      </c>
      <c r="D201" s="21" t="s">
        <v>133</v>
      </c>
      <c r="E201" s="21" t="s">
        <v>218</v>
      </c>
      <c r="F201" s="21" t="s">
        <v>591</v>
      </c>
      <c r="G201" s="22" t="s">
        <v>419</v>
      </c>
      <c r="H201" s="76">
        <v>39370.93</v>
      </c>
      <c r="I201" s="76">
        <v>39370.93</v>
      </c>
      <c r="J201" s="76">
        <f>CobrosPendientes3[[#This Row],[Importe]]-CobrosPendientes3[[#This Row],[Imp cobrado]]</f>
        <v>0</v>
      </c>
      <c r="K201" s="40">
        <v>46181</v>
      </c>
      <c r="L201" s="69" t="s">
        <v>22</v>
      </c>
      <c r="M201" s="55">
        <v>46171</v>
      </c>
      <c r="N201" s="30"/>
      <c r="O201" s="34"/>
      <c r="P201" s="33"/>
      <c r="Q201" s="6"/>
      <c r="R201" s="68"/>
    </row>
    <row r="202" spans="1:18" ht="15.75">
      <c r="A202" s="12" t="s">
        <v>592</v>
      </c>
      <c r="B202" s="12" t="s">
        <v>593</v>
      </c>
      <c r="C202" s="13">
        <v>46141</v>
      </c>
      <c r="D202" s="12" t="s">
        <v>133</v>
      </c>
      <c r="E202" s="12" t="s">
        <v>594</v>
      </c>
      <c r="F202" s="12" t="s">
        <v>591</v>
      </c>
      <c r="G202" s="14" t="s">
        <v>419</v>
      </c>
      <c r="H202" s="76">
        <v>42878.81</v>
      </c>
      <c r="I202" s="76">
        <v>42878.81</v>
      </c>
      <c r="J202" s="76">
        <f>CobrosPendientes3[[#This Row],[Importe]]-CobrosPendientes3[[#This Row],[Imp cobrado]]</f>
        <v>0</v>
      </c>
      <c r="K202" s="40">
        <v>46181</v>
      </c>
      <c r="L202" s="69" t="s">
        <v>22</v>
      </c>
      <c r="M202" s="55">
        <v>46171</v>
      </c>
      <c r="N202" s="30"/>
      <c r="O202" s="34"/>
      <c r="P202" s="33"/>
      <c r="Q202" s="6"/>
      <c r="R202" s="68"/>
    </row>
    <row r="203" spans="1:18" ht="15.75">
      <c r="A203" s="21" t="s">
        <v>595</v>
      </c>
      <c r="B203" s="21" t="s">
        <v>596</v>
      </c>
      <c r="C203" s="20">
        <v>46141</v>
      </c>
      <c r="D203" s="21" t="s">
        <v>433</v>
      </c>
      <c r="E203" s="21" t="s">
        <v>165</v>
      </c>
      <c r="F203" s="21" t="s">
        <v>591</v>
      </c>
      <c r="G203" s="22" t="s">
        <v>419</v>
      </c>
      <c r="H203" s="76">
        <v>132601.63</v>
      </c>
      <c r="I203" s="76">
        <v>132601.63</v>
      </c>
      <c r="J203" s="76">
        <f>CobrosPendientes3[[#This Row],[Importe]]-CobrosPendientes3[[#This Row],[Imp cobrado]]</f>
        <v>0</v>
      </c>
      <c r="K203" s="40">
        <v>46168</v>
      </c>
      <c r="L203" s="69" t="s">
        <v>22</v>
      </c>
      <c r="M203" s="55">
        <v>46171</v>
      </c>
      <c r="N203" s="30"/>
      <c r="O203" s="34"/>
      <c r="P203" s="33"/>
      <c r="Q203" s="6"/>
      <c r="R203" s="68"/>
    </row>
    <row r="204" spans="1:18" ht="15.75">
      <c r="A204" s="21" t="s">
        <v>597</v>
      </c>
      <c r="B204" s="21" t="s">
        <v>598</v>
      </c>
      <c r="C204" s="20">
        <v>46141</v>
      </c>
      <c r="D204" s="21" t="s">
        <v>517</v>
      </c>
      <c r="E204" s="21" t="s">
        <v>350</v>
      </c>
      <c r="F204" s="21" t="s">
        <v>591</v>
      </c>
      <c r="G204" s="22" t="s">
        <v>468</v>
      </c>
      <c r="H204" s="76">
        <v>119153.14</v>
      </c>
      <c r="I204" s="76">
        <v>119153.14</v>
      </c>
      <c r="J204" s="76">
        <f>CobrosPendientes3[[#This Row],[Importe]]-CobrosPendientes3[[#This Row],[Imp cobrado]]</f>
        <v>0</v>
      </c>
      <c r="K204" s="40">
        <v>46167</v>
      </c>
      <c r="L204" s="69" t="s">
        <v>22</v>
      </c>
      <c r="M204" s="55">
        <v>46151</v>
      </c>
      <c r="N204" s="30" t="s">
        <v>599</v>
      </c>
      <c r="O204" s="34"/>
      <c r="P204" s="33"/>
      <c r="Q204" s="6"/>
      <c r="R204" s="68"/>
    </row>
    <row r="205" spans="1:18" ht="15.75">
      <c r="A205" s="12" t="s">
        <v>600</v>
      </c>
      <c r="B205" s="12" t="s">
        <v>601</v>
      </c>
      <c r="C205" s="13">
        <v>46141</v>
      </c>
      <c r="D205" s="12" t="s">
        <v>585</v>
      </c>
      <c r="E205" s="12" t="s">
        <v>602</v>
      </c>
      <c r="F205" s="12" t="s">
        <v>512</v>
      </c>
      <c r="G205" s="14" t="s">
        <v>419</v>
      </c>
      <c r="H205" s="35">
        <v>10140</v>
      </c>
      <c r="I205" s="35">
        <v>10140</v>
      </c>
      <c r="J205" s="35">
        <f>CobrosPendientes3[[#This Row],[Importe]]-CobrosPendientes3[[#This Row],[Imp cobrado]]</f>
        <v>0</v>
      </c>
      <c r="K205" s="40">
        <v>46147</v>
      </c>
      <c r="L205" s="69" t="s">
        <v>22</v>
      </c>
      <c r="M205" s="55">
        <v>46144</v>
      </c>
      <c r="N205" s="30"/>
      <c r="O205" s="34"/>
      <c r="P205" s="33"/>
      <c r="Q205" s="6"/>
      <c r="R205" s="68"/>
    </row>
    <row r="206" spans="1:18" ht="15.75">
      <c r="A206" s="21" t="s">
        <v>603</v>
      </c>
      <c r="B206" s="21" t="s">
        <v>604</v>
      </c>
      <c r="C206" s="20">
        <v>46141</v>
      </c>
      <c r="D206" s="21" t="s">
        <v>167</v>
      </c>
      <c r="E206" s="21" t="s">
        <v>168</v>
      </c>
      <c r="F206" s="21" t="s">
        <v>518</v>
      </c>
      <c r="G206" s="22" t="s">
        <v>385</v>
      </c>
      <c r="H206" s="35">
        <v>74400</v>
      </c>
      <c r="I206" s="35">
        <v>74400</v>
      </c>
      <c r="J206" s="35">
        <f>CobrosPendientes3[[#This Row],[Importe]]-CobrosPendientes3[[#This Row],[Imp cobrado]]</f>
        <v>0</v>
      </c>
      <c r="K206" s="40">
        <v>46147</v>
      </c>
      <c r="L206" s="69" t="s">
        <v>22</v>
      </c>
      <c r="M206" s="55">
        <v>46144</v>
      </c>
      <c r="N206" s="30"/>
      <c r="O206" s="34"/>
      <c r="P206" s="33"/>
      <c r="Q206" s="6"/>
      <c r="R206" s="68"/>
    </row>
    <row r="207" spans="1:18" ht="15.75">
      <c r="A207" s="21" t="s">
        <v>605</v>
      </c>
      <c r="B207" s="21" t="s">
        <v>606</v>
      </c>
      <c r="C207" s="20">
        <v>46142</v>
      </c>
      <c r="D207" s="21" t="s">
        <v>30</v>
      </c>
      <c r="E207" s="21" t="s">
        <v>495</v>
      </c>
      <c r="F207" s="21" t="s">
        <v>499</v>
      </c>
      <c r="G207" s="22" t="s">
        <v>385</v>
      </c>
      <c r="H207" s="76">
        <v>516836.93</v>
      </c>
      <c r="I207" s="35">
        <v>516836.93</v>
      </c>
      <c r="J207" s="35">
        <f>CobrosPendientes3[[#This Row],[Importe]]-CobrosPendientes3[[#This Row],[Imp cobrado]]</f>
        <v>0</v>
      </c>
      <c r="K207" s="40">
        <v>46209</v>
      </c>
      <c r="L207" s="69" t="s">
        <v>22</v>
      </c>
      <c r="M207" s="55">
        <v>46145</v>
      </c>
      <c r="N207" s="30"/>
      <c r="O207" s="34"/>
      <c r="P207" s="33"/>
      <c r="Q207" s="6"/>
      <c r="R207" s="68"/>
    </row>
    <row r="208" spans="1:18" ht="15.75">
      <c r="A208" s="21" t="s">
        <v>607</v>
      </c>
      <c r="B208" s="21" t="s">
        <v>608</v>
      </c>
      <c r="C208" s="20">
        <v>46142</v>
      </c>
      <c r="D208" s="21" t="s">
        <v>30</v>
      </c>
      <c r="E208" s="21" t="s">
        <v>495</v>
      </c>
      <c r="F208" s="21" t="s">
        <v>504</v>
      </c>
      <c r="G208" s="22" t="s">
        <v>468</v>
      </c>
      <c r="H208" s="76">
        <v>206734.77</v>
      </c>
      <c r="I208" s="35">
        <v>206734.77</v>
      </c>
      <c r="J208" s="35">
        <f>CobrosPendientes3[[#This Row],[Importe]]-CobrosPendientes3[[#This Row],[Imp cobrado]]</f>
        <v>0</v>
      </c>
      <c r="K208" s="40">
        <v>46209</v>
      </c>
      <c r="L208" s="69" t="s">
        <v>22</v>
      </c>
      <c r="M208" s="55">
        <v>46145</v>
      </c>
      <c r="N208" s="30"/>
      <c r="O208" s="34"/>
      <c r="P208" s="33"/>
      <c r="Q208" s="6"/>
      <c r="R208" s="68"/>
    </row>
    <row r="209" spans="1:18" ht="15.75">
      <c r="A209" s="21" t="s">
        <v>609</v>
      </c>
      <c r="B209" s="21" t="s">
        <v>610</v>
      </c>
      <c r="C209" s="20">
        <v>46142</v>
      </c>
      <c r="D209" s="21" t="s">
        <v>133</v>
      </c>
      <c r="E209" s="21" t="s">
        <v>222</v>
      </c>
      <c r="F209" s="21" t="s">
        <v>611</v>
      </c>
      <c r="G209" s="22" t="s">
        <v>392</v>
      </c>
      <c r="H209" s="91">
        <v>11972.6</v>
      </c>
      <c r="I209" s="7"/>
      <c r="J209" s="7">
        <f>CobrosPendientes3[[#This Row],[Importe]]-CobrosPendientes3[[#This Row],[Imp cobrado]]</f>
        <v>11972.6</v>
      </c>
      <c r="K209" s="3"/>
      <c r="L209" s="3"/>
      <c r="M209" s="55">
        <v>46172</v>
      </c>
      <c r="N209" s="106" t="s">
        <v>353</v>
      </c>
      <c r="O209" s="34"/>
      <c r="P209" s="33"/>
      <c r="Q209" s="6"/>
      <c r="R209" s="68"/>
    </row>
    <row r="210" spans="1:18" ht="15.75">
      <c r="A210" s="21" t="s">
        <v>612</v>
      </c>
      <c r="B210" s="21" t="s">
        <v>613</v>
      </c>
      <c r="C210" s="20">
        <v>46148</v>
      </c>
      <c r="D210" s="21" t="s">
        <v>407</v>
      </c>
      <c r="E210" s="21" t="s">
        <v>91</v>
      </c>
      <c r="F210" s="21" t="s">
        <v>614</v>
      </c>
      <c r="G210" s="22" t="s">
        <v>382</v>
      </c>
      <c r="H210" s="35">
        <v>33910.1</v>
      </c>
      <c r="I210" s="35">
        <v>33910.1</v>
      </c>
      <c r="J210" s="35">
        <f>CobrosPendientes3[[#This Row],[Importe]]-CobrosPendientes3[[#This Row],[Imp cobrado]]</f>
        <v>0</v>
      </c>
      <c r="K210" s="40">
        <v>46167</v>
      </c>
      <c r="L210" s="69" t="s">
        <v>22</v>
      </c>
      <c r="M210" s="55">
        <v>46151</v>
      </c>
      <c r="N210" s="30"/>
      <c r="O210" s="34"/>
      <c r="P210" s="33"/>
      <c r="Q210" s="6"/>
      <c r="R210" s="68"/>
    </row>
    <row r="211" spans="1:18" ht="15.75">
      <c r="A211" s="21" t="s">
        <v>615</v>
      </c>
      <c r="B211" s="21" t="s">
        <v>616</v>
      </c>
      <c r="C211" s="20">
        <v>46149</v>
      </c>
      <c r="D211" s="21" t="s">
        <v>490</v>
      </c>
      <c r="E211" s="93" t="s">
        <v>491</v>
      </c>
      <c r="F211" s="21" t="s">
        <v>499</v>
      </c>
      <c r="G211" s="22" t="s">
        <v>385</v>
      </c>
      <c r="H211" s="35">
        <v>57585.69</v>
      </c>
      <c r="I211" s="35">
        <v>57585.69</v>
      </c>
      <c r="J211" s="35">
        <f>CobrosPendientes3[[#This Row],[Importe]]-CobrosPendientes3[[#This Row],[Imp cobrado]]</f>
        <v>0</v>
      </c>
      <c r="K211" s="40">
        <v>46153</v>
      </c>
      <c r="L211" s="69" t="s">
        <v>22</v>
      </c>
      <c r="M211" s="55">
        <v>46152</v>
      </c>
      <c r="N211" s="30"/>
      <c r="O211" s="34"/>
      <c r="P211" s="33"/>
      <c r="Q211" s="6"/>
      <c r="R211" s="68"/>
    </row>
    <row r="212" spans="1:18" ht="15.75">
      <c r="A212" s="12" t="s">
        <v>617</v>
      </c>
      <c r="B212" s="12" t="s">
        <v>618</v>
      </c>
      <c r="C212" s="13">
        <v>46149</v>
      </c>
      <c r="D212" s="12" t="s">
        <v>436</v>
      </c>
      <c r="E212" s="12" t="s">
        <v>619</v>
      </c>
      <c r="F212" s="12" t="s">
        <v>512</v>
      </c>
      <c r="G212" s="14" t="s">
        <v>419</v>
      </c>
      <c r="H212" s="76">
        <v>22174.95</v>
      </c>
      <c r="I212" s="35">
        <v>22174.95</v>
      </c>
      <c r="J212" s="35">
        <f>CobrosPendientes3[[#This Row],[Importe]]-CobrosPendientes3[[#This Row],[Imp cobrado]]</f>
        <v>0</v>
      </c>
      <c r="K212" s="40">
        <v>46156</v>
      </c>
      <c r="L212" s="69" t="s">
        <v>22</v>
      </c>
      <c r="M212" s="55">
        <v>46152</v>
      </c>
      <c r="N212" s="30"/>
      <c r="O212" s="34"/>
      <c r="P212" s="33"/>
      <c r="Q212" s="6"/>
      <c r="R212" s="68"/>
    </row>
    <row r="213" spans="1:18" ht="15.75">
      <c r="A213" s="21" t="s">
        <v>620</v>
      </c>
      <c r="B213" s="21" t="s">
        <v>621</v>
      </c>
      <c r="C213" s="20">
        <v>46149</v>
      </c>
      <c r="D213" s="21" t="s">
        <v>133</v>
      </c>
      <c r="E213" s="21" t="s">
        <v>224</v>
      </c>
      <c r="F213" s="21" t="s">
        <v>504</v>
      </c>
      <c r="G213" s="22" t="s">
        <v>419</v>
      </c>
      <c r="H213" s="35">
        <v>213691.33</v>
      </c>
      <c r="I213" s="35">
        <v>213691.33</v>
      </c>
      <c r="J213" s="35">
        <f>CobrosPendientes3[[#This Row],[Importe]]-CobrosPendientes3[[#This Row],[Imp cobrado]]</f>
        <v>0</v>
      </c>
      <c r="K213" s="40">
        <v>46181</v>
      </c>
      <c r="L213" s="69" t="s">
        <v>22</v>
      </c>
      <c r="M213" s="55">
        <v>46179</v>
      </c>
      <c r="N213" s="30"/>
      <c r="O213" s="34"/>
      <c r="P213" s="33"/>
      <c r="Q213" s="6"/>
      <c r="R213" s="68"/>
    </row>
    <row r="214" spans="1:18" ht="15.75">
      <c r="A214" s="12" t="s">
        <v>622</v>
      </c>
      <c r="B214" s="12" t="s">
        <v>623</v>
      </c>
      <c r="C214" s="13">
        <v>46154</v>
      </c>
      <c r="D214" s="12" t="s">
        <v>624</v>
      </c>
      <c r="E214" s="12" t="s">
        <v>625</v>
      </c>
      <c r="F214" s="12" t="s">
        <v>225</v>
      </c>
      <c r="G214" s="14">
        <v>100</v>
      </c>
      <c r="H214" s="76">
        <v>1612.48</v>
      </c>
      <c r="I214" s="35">
        <v>1612.48</v>
      </c>
      <c r="J214" s="35">
        <f>CobrosPendientes3[[#This Row],[Importe]]-CobrosPendientes3[[#This Row],[Imp cobrado]]</f>
        <v>0</v>
      </c>
      <c r="K214" s="40">
        <v>46162</v>
      </c>
      <c r="L214" s="69" t="s">
        <v>22</v>
      </c>
      <c r="M214" s="55">
        <v>46154</v>
      </c>
      <c r="N214" s="30"/>
      <c r="O214" s="34"/>
      <c r="P214" s="33"/>
      <c r="Q214" s="6"/>
      <c r="R214" s="68"/>
    </row>
    <row r="215" spans="1:18" ht="15.75">
      <c r="A215" s="12" t="s">
        <v>626</v>
      </c>
      <c r="B215" s="12" t="s">
        <v>627</v>
      </c>
      <c r="C215" s="13">
        <v>46155</v>
      </c>
      <c r="D215" s="12" t="s">
        <v>628</v>
      </c>
      <c r="E215" s="12" t="s">
        <v>629</v>
      </c>
      <c r="F215" s="12" t="s">
        <v>630</v>
      </c>
      <c r="G215" s="14">
        <v>100</v>
      </c>
      <c r="H215" s="35">
        <v>13905.88</v>
      </c>
      <c r="I215" s="35">
        <v>13905.88</v>
      </c>
      <c r="J215" s="35">
        <f>CobrosPendientes3[[#This Row],[Importe]]-CobrosPendientes3[[#This Row],[Imp cobrado]]</f>
        <v>0</v>
      </c>
      <c r="K215" s="40">
        <v>46160</v>
      </c>
      <c r="L215" s="69" t="s">
        <v>22</v>
      </c>
      <c r="M215" s="55">
        <v>46155</v>
      </c>
      <c r="N215" s="30"/>
      <c r="O215" s="34"/>
      <c r="P215" s="33"/>
      <c r="Q215" s="6"/>
      <c r="R215" s="68"/>
    </row>
    <row r="216" spans="1:18" ht="15.75">
      <c r="A216" s="21" t="s">
        <v>631</v>
      </c>
      <c r="B216" s="21" t="s">
        <v>632</v>
      </c>
      <c r="C216" s="20">
        <v>46155</v>
      </c>
      <c r="D216" s="21" t="s">
        <v>340</v>
      </c>
      <c r="E216" s="21" t="s">
        <v>341</v>
      </c>
      <c r="F216" s="21" t="s">
        <v>633</v>
      </c>
      <c r="G216" s="22">
        <v>20</v>
      </c>
      <c r="H216" s="7">
        <v>28648.37</v>
      </c>
      <c r="I216" s="7"/>
      <c r="J216" s="7">
        <f>CobrosPendientes3[[#This Row],[Importe]]-CobrosPendientes3[[#This Row],[Imp cobrado]]</f>
        <v>28648.37</v>
      </c>
      <c r="K216" s="3"/>
      <c r="L216" s="3"/>
      <c r="M216" s="55">
        <v>46158</v>
      </c>
      <c r="N216" s="30"/>
      <c r="O216" s="34"/>
      <c r="P216" s="33"/>
      <c r="Q216" s="6"/>
      <c r="R216" s="68"/>
    </row>
    <row r="217" spans="1:18" ht="15.75">
      <c r="A217" s="21" t="s">
        <v>634</v>
      </c>
      <c r="B217" s="21" t="s">
        <v>635</v>
      </c>
      <c r="C217" s="20">
        <v>46155</v>
      </c>
      <c r="D217" s="21" t="s">
        <v>167</v>
      </c>
      <c r="E217" s="93" t="s">
        <v>287</v>
      </c>
      <c r="F217" s="21" t="s">
        <v>24</v>
      </c>
      <c r="G217" s="22">
        <v>10</v>
      </c>
      <c r="H217" s="35">
        <v>39700</v>
      </c>
      <c r="I217" s="35">
        <v>39700</v>
      </c>
      <c r="J217" s="35">
        <f>CobrosPendientes3[[#This Row],[Importe]]-CobrosPendientes3[[#This Row],[Imp cobrado]]</f>
        <v>0</v>
      </c>
      <c r="K217" s="40">
        <v>46160</v>
      </c>
      <c r="L217" s="69" t="s">
        <v>22</v>
      </c>
      <c r="M217" s="55">
        <v>46158</v>
      </c>
      <c r="N217" s="30"/>
      <c r="O217" s="34"/>
      <c r="P217" s="33"/>
      <c r="Q217" s="6"/>
      <c r="R217" s="68"/>
    </row>
    <row r="218" spans="1:18" ht="15.75">
      <c r="A218" s="21" t="s">
        <v>636</v>
      </c>
      <c r="B218" s="21" t="s">
        <v>637</v>
      </c>
      <c r="C218" s="20">
        <v>46155</v>
      </c>
      <c r="D218" s="21" t="s">
        <v>167</v>
      </c>
      <c r="E218" s="21" t="s">
        <v>638</v>
      </c>
      <c r="F218" s="21" t="s">
        <v>21</v>
      </c>
      <c r="G218" s="22">
        <v>60</v>
      </c>
      <c r="H218" s="76">
        <v>15291</v>
      </c>
      <c r="I218" s="35">
        <v>15291</v>
      </c>
      <c r="J218" s="35">
        <f>CobrosPendientes3[[#This Row],[Importe]]-CobrosPendientes3[[#This Row],[Imp cobrado]]</f>
        <v>0</v>
      </c>
      <c r="K218" s="40">
        <v>46160</v>
      </c>
      <c r="L218" s="69" t="s">
        <v>22</v>
      </c>
      <c r="M218" s="55">
        <v>46158</v>
      </c>
      <c r="N218" s="30"/>
      <c r="O218" s="34"/>
      <c r="P218" s="33"/>
      <c r="Q218" s="6"/>
      <c r="R218" s="68"/>
    </row>
    <row r="219" spans="1:18" ht="15.75">
      <c r="A219" s="21" t="s">
        <v>639</v>
      </c>
      <c r="B219" s="21" t="s">
        <v>640</v>
      </c>
      <c r="C219" s="20">
        <v>46155</v>
      </c>
      <c r="D219" s="21" t="s">
        <v>641</v>
      </c>
      <c r="E219" s="21" t="s">
        <v>571</v>
      </c>
      <c r="F219" s="21" t="s">
        <v>642</v>
      </c>
      <c r="G219" s="22">
        <v>50</v>
      </c>
      <c r="H219" s="35">
        <v>57191.9</v>
      </c>
      <c r="I219" s="35">
        <v>57191.9</v>
      </c>
      <c r="J219" s="35">
        <f>CobrosPendientes3[[#This Row],[Importe]]-CobrosPendientes3[[#This Row],[Imp cobrado]]</f>
        <v>0</v>
      </c>
      <c r="K219" s="40">
        <v>46161</v>
      </c>
      <c r="L219" s="69" t="s">
        <v>22</v>
      </c>
      <c r="M219" s="55">
        <v>46158</v>
      </c>
      <c r="N219" s="30"/>
      <c r="O219" s="34"/>
      <c r="P219" s="33"/>
      <c r="Q219" s="6"/>
      <c r="R219" s="68"/>
    </row>
    <row r="220" spans="1:18" ht="15.75">
      <c r="A220" s="21" t="s">
        <v>643</v>
      </c>
      <c r="B220" s="21" t="s">
        <v>644</v>
      </c>
      <c r="C220" s="20">
        <v>46155</v>
      </c>
      <c r="D220" s="21" t="s">
        <v>641</v>
      </c>
      <c r="E220" s="21" t="s">
        <v>571</v>
      </c>
      <c r="F220" s="21" t="s">
        <v>645</v>
      </c>
      <c r="G220" s="22">
        <v>20</v>
      </c>
      <c r="H220" s="76">
        <v>22876.76</v>
      </c>
      <c r="I220" s="35">
        <v>22876.76</v>
      </c>
      <c r="J220" s="35">
        <f>CobrosPendientes3[[#This Row],[Importe]]-CobrosPendientes3[[#This Row],[Imp cobrado]]</f>
        <v>0</v>
      </c>
      <c r="K220" s="40">
        <v>46162</v>
      </c>
      <c r="L220" s="69" t="s">
        <v>22</v>
      </c>
      <c r="M220" s="55">
        <v>46158</v>
      </c>
      <c r="N220" s="30"/>
      <c r="O220" s="34"/>
      <c r="P220" s="33"/>
      <c r="Q220" s="6"/>
      <c r="R220" s="68"/>
    </row>
    <row r="221" spans="1:18" ht="15.75">
      <c r="A221" s="21" t="s">
        <v>646</v>
      </c>
      <c r="B221" s="21" t="s">
        <v>647</v>
      </c>
      <c r="C221" s="20">
        <v>46156</v>
      </c>
      <c r="D221" s="21" t="s">
        <v>156</v>
      </c>
      <c r="E221" s="21" t="s">
        <v>157</v>
      </c>
      <c r="F221" s="21" t="s">
        <v>648</v>
      </c>
      <c r="G221" s="22">
        <v>100</v>
      </c>
      <c r="H221" s="35">
        <v>170</v>
      </c>
      <c r="I221" s="35">
        <v>170</v>
      </c>
      <c r="J221" s="35">
        <f>CobrosPendientes3[[#This Row],[Importe]]-CobrosPendientes3[[#This Row],[Imp cobrado]]</f>
        <v>0</v>
      </c>
      <c r="K221" s="40">
        <v>46170</v>
      </c>
      <c r="L221" s="69" t="s">
        <v>22</v>
      </c>
      <c r="M221" s="55">
        <v>46186</v>
      </c>
      <c r="N221" s="30"/>
      <c r="O221" s="34"/>
      <c r="P221" s="33"/>
      <c r="Q221" s="6"/>
      <c r="R221" s="68"/>
    </row>
    <row r="222" spans="1:18" ht="15.75">
      <c r="A222" s="12" t="s">
        <v>649</v>
      </c>
      <c r="B222" s="12" t="s">
        <v>650</v>
      </c>
      <c r="C222" s="13">
        <v>46156</v>
      </c>
      <c r="D222" s="12" t="s">
        <v>651</v>
      </c>
      <c r="E222" s="12" t="s">
        <v>652</v>
      </c>
      <c r="F222" s="12" t="s">
        <v>653</v>
      </c>
      <c r="G222" s="14">
        <v>20</v>
      </c>
      <c r="H222" s="7">
        <v>26016.79</v>
      </c>
      <c r="I222" s="7"/>
      <c r="J222" s="7">
        <f>CobrosPendientes3[[#This Row],[Importe]]-CobrosPendientes3[[#This Row],[Imp cobrado]]</f>
        <v>26016.79</v>
      </c>
      <c r="K222" s="3"/>
      <c r="L222" s="3"/>
      <c r="M222" s="55">
        <v>381</v>
      </c>
      <c r="N222" s="30"/>
      <c r="O222" s="34"/>
      <c r="P222" s="33"/>
      <c r="Q222" s="6"/>
      <c r="R222" s="68"/>
    </row>
    <row r="223" spans="1:18" ht="15.75">
      <c r="A223" s="12" t="s">
        <v>654</v>
      </c>
      <c r="B223" s="12" t="s">
        <v>655</v>
      </c>
      <c r="C223" s="13">
        <v>46156</v>
      </c>
      <c r="D223" s="12" t="s">
        <v>656</v>
      </c>
      <c r="E223" s="12" t="s">
        <v>657</v>
      </c>
      <c r="F223" s="12" t="s">
        <v>658</v>
      </c>
      <c r="G223" s="14">
        <v>100</v>
      </c>
      <c r="H223" s="35">
        <v>670</v>
      </c>
      <c r="I223" s="35">
        <v>670</v>
      </c>
      <c r="J223" s="35">
        <f>CobrosPendientes3[[#This Row],[Importe]]-CobrosPendientes3[[#This Row],[Imp cobrado]]</f>
        <v>0</v>
      </c>
      <c r="K223" s="40">
        <v>46167</v>
      </c>
      <c r="L223" s="69" t="s">
        <v>22</v>
      </c>
      <c r="M223" s="55">
        <v>46157</v>
      </c>
      <c r="N223" s="30"/>
      <c r="O223" s="34"/>
      <c r="P223" s="33"/>
      <c r="Q223" s="6"/>
      <c r="R223" s="68"/>
    </row>
    <row r="224" spans="1:18" ht="15.75">
      <c r="A224" s="12" t="s">
        <v>659</v>
      </c>
      <c r="B224" s="12" t="s">
        <v>660</v>
      </c>
      <c r="C224" s="13">
        <v>46157</v>
      </c>
      <c r="D224" s="12" t="s">
        <v>624</v>
      </c>
      <c r="E224" s="12" t="s">
        <v>661</v>
      </c>
      <c r="F224" s="12" t="s">
        <v>662</v>
      </c>
      <c r="G224" s="14">
        <v>30</v>
      </c>
      <c r="H224" s="35">
        <v>34801.9</v>
      </c>
      <c r="I224" s="35">
        <v>34801.9</v>
      </c>
      <c r="J224" s="35">
        <f>CobrosPendientes3[[#This Row],[Importe]]-CobrosPendientes3[[#This Row],[Imp cobrado]]</f>
        <v>0</v>
      </c>
      <c r="K224" s="40">
        <v>46162</v>
      </c>
      <c r="L224" s="69" t="s">
        <v>22</v>
      </c>
      <c r="M224" s="55">
        <v>46160</v>
      </c>
      <c r="N224" s="30"/>
      <c r="O224" s="34"/>
      <c r="P224" s="33"/>
      <c r="Q224" s="6"/>
      <c r="R224" s="60"/>
    </row>
    <row r="225" spans="1:18" ht="15.75">
      <c r="A225" s="12" t="s">
        <v>663</v>
      </c>
      <c r="B225" s="12" t="s">
        <v>664</v>
      </c>
      <c r="C225" s="13">
        <v>46157</v>
      </c>
      <c r="D225" s="12" t="s">
        <v>665</v>
      </c>
      <c r="E225" s="12" t="s">
        <v>666</v>
      </c>
      <c r="F225" s="12" t="s">
        <v>313</v>
      </c>
      <c r="G225" s="14">
        <v>30</v>
      </c>
      <c r="H225" s="35">
        <v>20350.14</v>
      </c>
      <c r="I225" s="35">
        <v>20350.14</v>
      </c>
      <c r="J225" s="35">
        <f>CobrosPendientes3[[#This Row],[Importe]]-CobrosPendientes3[[#This Row],[Imp cobrado]]</f>
        <v>0</v>
      </c>
      <c r="K225" s="40">
        <v>46181</v>
      </c>
      <c r="L225" s="69" t="s">
        <v>22</v>
      </c>
      <c r="M225" s="55">
        <v>46160</v>
      </c>
      <c r="N225" s="30"/>
      <c r="O225" s="34"/>
      <c r="P225" s="33"/>
      <c r="Q225" s="6"/>
      <c r="R225" s="60"/>
    </row>
    <row r="226" spans="1:18" ht="15.75">
      <c r="A226" s="12" t="s">
        <v>667</v>
      </c>
      <c r="B226" s="12" t="s">
        <v>668</v>
      </c>
      <c r="C226" s="13">
        <v>46157</v>
      </c>
      <c r="D226" s="12" t="s">
        <v>665</v>
      </c>
      <c r="E226" s="12" t="s">
        <v>669</v>
      </c>
      <c r="F226" s="12" t="s">
        <v>313</v>
      </c>
      <c r="G226" s="14">
        <v>30</v>
      </c>
      <c r="H226" s="35">
        <v>9930.5499999999993</v>
      </c>
      <c r="I226" s="35">
        <v>9930.5499999999993</v>
      </c>
      <c r="J226" s="35">
        <f>CobrosPendientes3[[#This Row],[Importe]]-CobrosPendientes3[[#This Row],[Imp cobrado]]</f>
        <v>0</v>
      </c>
      <c r="K226" s="40">
        <v>46181</v>
      </c>
      <c r="L226" s="69" t="s">
        <v>22</v>
      </c>
      <c r="M226" s="55">
        <v>46160</v>
      </c>
      <c r="N226" s="30"/>
      <c r="O226" s="34"/>
      <c r="P226" s="33"/>
      <c r="Q226" s="6"/>
      <c r="R226" s="60"/>
    </row>
    <row r="227" spans="1:18" ht="15.75">
      <c r="A227" s="12" t="s">
        <v>670</v>
      </c>
      <c r="B227" s="12" t="s">
        <v>671</v>
      </c>
      <c r="C227" s="13">
        <v>46161</v>
      </c>
      <c r="D227" s="12" t="s">
        <v>672</v>
      </c>
      <c r="E227" s="12" t="s">
        <v>673</v>
      </c>
      <c r="F227" s="12" t="s">
        <v>653</v>
      </c>
      <c r="G227" s="14">
        <v>10</v>
      </c>
      <c r="H227" s="35">
        <v>15111.27</v>
      </c>
      <c r="I227" s="35">
        <v>15111.27</v>
      </c>
      <c r="J227" s="35">
        <f>CobrosPendientes3[[#This Row],[Importe]]-CobrosPendientes3[[#This Row],[Imp cobrado]]</f>
        <v>0</v>
      </c>
      <c r="K227" s="40">
        <v>46162</v>
      </c>
      <c r="L227" s="69" t="s">
        <v>22</v>
      </c>
      <c r="M227" s="55">
        <v>46164</v>
      </c>
      <c r="N227" s="30"/>
      <c r="O227" s="34"/>
      <c r="P227" s="33"/>
      <c r="Q227" s="6"/>
      <c r="R227" s="60"/>
    </row>
    <row r="228" spans="1:18" ht="15.75">
      <c r="A228" s="12" t="s">
        <v>674</v>
      </c>
      <c r="B228" s="12" t="s">
        <v>675</v>
      </c>
      <c r="C228" s="13">
        <v>46161</v>
      </c>
      <c r="D228" s="12" t="s">
        <v>672</v>
      </c>
      <c r="E228" s="12" t="s">
        <v>676</v>
      </c>
      <c r="F228" s="12" t="s">
        <v>653</v>
      </c>
      <c r="G228" s="14">
        <v>10</v>
      </c>
      <c r="H228" s="35">
        <v>10976.53</v>
      </c>
      <c r="I228" s="35">
        <v>10976.53</v>
      </c>
      <c r="J228" s="35">
        <f>CobrosPendientes3[[#This Row],[Importe]]-CobrosPendientes3[[#This Row],[Imp cobrado]]</f>
        <v>0</v>
      </c>
      <c r="K228" s="40">
        <v>46162</v>
      </c>
      <c r="L228" s="69" t="s">
        <v>22</v>
      </c>
      <c r="M228" s="55">
        <v>46164</v>
      </c>
      <c r="N228" s="30"/>
      <c r="O228" s="34"/>
      <c r="P228" s="33"/>
      <c r="Q228" s="6"/>
      <c r="R228" s="60"/>
    </row>
    <row r="229" spans="1:18" ht="15.75">
      <c r="A229" s="21" t="s">
        <v>677</v>
      </c>
      <c r="B229" s="21" t="s">
        <v>678</v>
      </c>
      <c r="C229" s="20">
        <v>46161</v>
      </c>
      <c r="D229" s="21" t="s">
        <v>167</v>
      </c>
      <c r="E229" s="21" t="s">
        <v>679</v>
      </c>
      <c r="F229" s="21" t="s">
        <v>680</v>
      </c>
      <c r="G229" s="22">
        <v>50</v>
      </c>
      <c r="H229" s="35">
        <v>818505.91</v>
      </c>
      <c r="I229" s="35">
        <v>818505.91</v>
      </c>
      <c r="J229" s="35">
        <f>CobrosPendientes3[[#This Row],[Importe]]-CobrosPendientes3[[#This Row],[Imp cobrado]]</f>
        <v>0</v>
      </c>
      <c r="K229" s="40">
        <v>46171</v>
      </c>
      <c r="L229" s="69" t="s">
        <v>22</v>
      </c>
      <c r="M229" s="55">
        <v>46164</v>
      </c>
      <c r="N229" s="55"/>
      <c r="O229" s="34"/>
      <c r="P229" s="33"/>
      <c r="Q229" s="6"/>
      <c r="R229" s="60"/>
    </row>
    <row r="230" spans="1:18" ht="15.75">
      <c r="A230" s="21" t="s">
        <v>681</v>
      </c>
      <c r="B230" s="21" t="s">
        <v>682</v>
      </c>
      <c r="C230" s="20">
        <v>46162</v>
      </c>
      <c r="D230" s="21" t="s">
        <v>683</v>
      </c>
      <c r="E230" s="21" t="s">
        <v>684</v>
      </c>
      <c r="F230" s="21" t="s">
        <v>685</v>
      </c>
      <c r="G230" s="22">
        <v>100</v>
      </c>
      <c r="H230" s="35">
        <v>10570.69</v>
      </c>
      <c r="I230" s="35">
        <v>10570.69</v>
      </c>
      <c r="J230" s="35">
        <f>CobrosPendientes3[[#This Row],[Importe]]-CobrosPendientes3[[#This Row],[Imp cobrado]]</f>
        <v>0</v>
      </c>
      <c r="K230" s="40">
        <v>46167</v>
      </c>
      <c r="L230" s="69" t="s">
        <v>22</v>
      </c>
      <c r="M230" s="55">
        <v>46169</v>
      </c>
      <c r="N230" s="30"/>
      <c r="O230" s="34"/>
      <c r="P230" s="33"/>
      <c r="Q230" s="6"/>
      <c r="R230" s="15"/>
    </row>
    <row r="231" spans="1:18" ht="15.75">
      <c r="A231" s="12" t="s">
        <v>686</v>
      </c>
      <c r="B231" s="12" t="s">
        <v>687</v>
      </c>
      <c r="C231" s="13">
        <v>46162</v>
      </c>
      <c r="D231" s="12" t="s">
        <v>683</v>
      </c>
      <c r="E231" s="12" t="s">
        <v>688</v>
      </c>
      <c r="F231" s="12" t="s">
        <v>487</v>
      </c>
      <c r="G231" s="14">
        <v>30</v>
      </c>
      <c r="H231" s="35">
        <v>150000</v>
      </c>
      <c r="I231" s="35">
        <v>150000</v>
      </c>
      <c r="J231" s="35">
        <f>CobrosPendientes3[[#This Row],[Importe]]-CobrosPendientes3[[#This Row],[Imp cobrado]]</f>
        <v>0</v>
      </c>
      <c r="K231" s="40">
        <v>46169</v>
      </c>
      <c r="L231" s="69" t="s">
        <v>22</v>
      </c>
      <c r="M231" s="55">
        <v>46169</v>
      </c>
      <c r="N231" s="30"/>
      <c r="O231" s="34"/>
      <c r="P231" s="33"/>
      <c r="Q231" s="6"/>
      <c r="R231" s="60"/>
    </row>
    <row r="232" spans="1:18" ht="18" customHeight="1">
      <c r="A232" s="21" t="s">
        <v>689</v>
      </c>
      <c r="B232" s="21" t="s">
        <v>690</v>
      </c>
      <c r="C232" s="20">
        <v>46164</v>
      </c>
      <c r="D232" s="21" t="s">
        <v>97</v>
      </c>
      <c r="E232" s="21" t="s">
        <v>691</v>
      </c>
      <c r="F232" s="21" t="s">
        <v>54</v>
      </c>
      <c r="G232" s="22">
        <v>5</v>
      </c>
      <c r="H232" s="7">
        <v>52017.66</v>
      </c>
      <c r="I232" s="7"/>
      <c r="J232" s="7">
        <f>CobrosPendientes3[[#This Row],[Importe]]-CobrosPendientes3[[#This Row],[Imp cobrado]]</f>
        <v>52017.66</v>
      </c>
      <c r="K232" s="3"/>
      <c r="L232" s="3"/>
      <c r="M232" s="55">
        <v>46224</v>
      </c>
      <c r="N232" s="41" t="s">
        <v>692</v>
      </c>
      <c r="O232" s="34"/>
      <c r="P232" s="33"/>
      <c r="Q232" s="6"/>
      <c r="R232" s="60"/>
    </row>
    <row r="233" spans="1:18" s="45" customFormat="1" ht="15.75">
      <c r="A233" s="88" t="s">
        <v>693</v>
      </c>
      <c r="B233" s="88" t="s">
        <v>694</v>
      </c>
      <c r="C233" s="89">
        <v>46164</v>
      </c>
      <c r="D233" s="88" t="s">
        <v>97</v>
      </c>
      <c r="E233" s="88" t="s">
        <v>695</v>
      </c>
      <c r="F233" s="88" t="s">
        <v>54</v>
      </c>
      <c r="G233" s="90">
        <v>5</v>
      </c>
      <c r="H233" s="43">
        <v>25050.5095</v>
      </c>
      <c r="I233" s="43"/>
      <c r="J233" s="43">
        <f>CobrosPendientes3[[#This Row],[Importe]]-CobrosPendientes3[[#This Row],[Imp cobrado]]</f>
        <v>25050.5095</v>
      </c>
      <c r="K233" s="44"/>
      <c r="L233" s="44"/>
      <c r="M233" s="82">
        <v>46224</v>
      </c>
      <c r="N233" s="51" t="s">
        <v>696</v>
      </c>
      <c r="O233" s="49" t="s">
        <v>22</v>
      </c>
      <c r="P233" s="33" t="s">
        <v>697</v>
      </c>
      <c r="Q233" s="74">
        <v>46174</v>
      </c>
      <c r="R233" s="60">
        <v>25050.51</v>
      </c>
    </row>
    <row r="234" spans="1:18" s="45" customFormat="1" ht="15.75">
      <c r="A234" s="88" t="s">
        <v>698</v>
      </c>
      <c r="B234" s="88" t="s">
        <v>699</v>
      </c>
      <c r="C234" s="89">
        <v>46164</v>
      </c>
      <c r="D234" s="88" t="s">
        <v>97</v>
      </c>
      <c r="E234" s="88" t="s">
        <v>700</v>
      </c>
      <c r="F234" s="88" t="s">
        <v>54</v>
      </c>
      <c r="G234" s="90">
        <v>5</v>
      </c>
      <c r="H234" s="43">
        <v>51867.661</v>
      </c>
      <c r="I234" s="43"/>
      <c r="J234" s="43">
        <f>CobrosPendientes3[[#This Row],[Importe]]-CobrosPendientes3[[#This Row],[Imp cobrado]]</f>
        <v>51867.661</v>
      </c>
      <c r="K234" s="44"/>
      <c r="L234" s="44"/>
      <c r="M234" s="82">
        <v>46224</v>
      </c>
      <c r="N234" s="51" t="s">
        <v>701</v>
      </c>
      <c r="O234" s="49" t="s">
        <v>22</v>
      </c>
      <c r="P234" s="33" t="s">
        <v>702</v>
      </c>
      <c r="Q234" s="74">
        <v>46174</v>
      </c>
      <c r="R234" s="60">
        <v>51867.66</v>
      </c>
    </row>
    <row r="235" spans="1:18" ht="15.75">
      <c r="A235" s="21" t="s">
        <v>703</v>
      </c>
      <c r="B235" s="21" t="s">
        <v>704</v>
      </c>
      <c r="C235" s="20">
        <v>46164</v>
      </c>
      <c r="D235" s="21" t="s">
        <v>167</v>
      </c>
      <c r="E235" s="21" t="s">
        <v>705</v>
      </c>
      <c r="F235" s="21" t="s">
        <v>706</v>
      </c>
      <c r="G235" s="22">
        <v>10</v>
      </c>
      <c r="H235" s="35">
        <v>6550</v>
      </c>
      <c r="I235" s="35">
        <v>6550</v>
      </c>
      <c r="J235" s="35">
        <f>CobrosPendientes3[[#This Row],[Importe]]-CobrosPendientes3[[#This Row],[Imp cobrado]]</f>
        <v>0</v>
      </c>
      <c r="K235" s="40">
        <v>46152</v>
      </c>
      <c r="L235" s="69" t="s">
        <v>22</v>
      </c>
      <c r="M235" s="55">
        <v>46179</v>
      </c>
      <c r="N235" s="30"/>
      <c r="O235" s="34"/>
      <c r="P235" s="33"/>
      <c r="Q235" s="6"/>
      <c r="R235" s="60"/>
    </row>
    <row r="236" spans="1:18" ht="15.75">
      <c r="A236" s="21" t="s">
        <v>707</v>
      </c>
      <c r="B236" s="21" t="s">
        <v>708</v>
      </c>
      <c r="C236" s="20">
        <v>46164</v>
      </c>
      <c r="D236" s="21" t="s">
        <v>167</v>
      </c>
      <c r="E236" s="21" t="s">
        <v>168</v>
      </c>
      <c r="F236" s="21" t="s">
        <v>591</v>
      </c>
      <c r="G236" s="22">
        <v>10</v>
      </c>
      <c r="H236" s="35">
        <v>13800</v>
      </c>
      <c r="I236" s="35">
        <v>13800</v>
      </c>
      <c r="J236" s="35">
        <f>CobrosPendientes3[[#This Row],[Importe]]-CobrosPendientes3[[#This Row],[Imp cobrado]]</f>
        <v>0</v>
      </c>
      <c r="K236" s="100">
        <v>46170</v>
      </c>
      <c r="L236" s="69" t="s">
        <v>22</v>
      </c>
      <c r="M236" s="55">
        <v>46167</v>
      </c>
      <c r="N236" s="30"/>
      <c r="O236" s="34"/>
      <c r="P236" s="33"/>
      <c r="Q236" s="6"/>
      <c r="R236" s="60"/>
    </row>
    <row r="237" spans="1:18" ht="15.75">
      <c r="A237" s="21" t="s">
        <v>709</v>
      </c>
      <c r="B237" s="21" t="s">
        <v>710</v>
      </c>
      <c r="C237" s="20">
        <v>46164</v>
      </c>
      <c r="D237" s="21" t="s">
        <v>683</v>
      </c>
      <c r="E237" s="21" t="s">
        <v>684</v>
      </c>
      <c r="F237" s="21" t="s">
        <v>711</v>
      </c>
      <c r="G237" s="22">
        <v>5</v>
      </c>
      <c r="H237" s="35">
        <v>7721.88</v>
      </c>
      <c r="I237" s="35">
        <v>7721.88</v>
      </c>
      <c r="J237" s="35">
        <f>CobrosPendientes3[[#This Row],[Importe]]-CobrosPendientes3[[#This Row],[Imp cobrado]]</f>
        <v>0</v>
      </c>
      <c r="K237" s="40">
        <v>46178</v>
      </c>
      <c r="L237" s="69" t="s">
        <v>22</v>
      </c>
      <c r="M237" s="55">
        <v>46171</v>
      </c>
      <c r="N237" s="30"/>
      <c r="O237" s="34"/>
      <c r="P237" s="33"/>
      <c r="Q237" s="6"/>
      <c r="R237" s="60"/>
    </row>
    <row r="238" spans="1:18" ht="15.75">
      <c r="A238" s="21" t="s">
        <v>712</v>
      </c>
      <c r="B238" s="21" t="s">
        <v>713</v>
      </c>
      <c r="C238" s="20">
        <v>46164</v>
      </c>
      <c r="D238" s="21" t="s">
        <v>714</v>
      </c>
      <c r="E238" s="21" t="s">
        <v>715</v>
      </c>
      <c r="F238" s="21" t="s">
        <v>591</v>
      </c>
      <c r="G238" s="22">
        <v>20</v>
      </c>
      <c r="H238" s="35">
        <v>23034.27</v>
      </c>
      <c r="I238" s="35">
        <v>23034.27</v>
      </c>
      <c r="J238" s="35">
        <f>CobrosPendientes3[[#This Row],[Importe]]-CobrosPendientes3[[#This Row],[Imp cobrado]]</f>
        <v>0</v>
      </c>
      <c r="K238" s="40">
        <v>46183</v>
      </c>
      <c r="L238" s="69" t="s">
        <v>22</v>
      </c>
      <c r="M238" s="55">
        <v>46167</v>
      </c>
      <c r="N238" s="30"/>
      <c r="O238" s="34"/>
      <c r="P238" s="33"/>
      <c r="Q238" s="6"/>
      <c r="R238" s="60"/>
    </row>
    <row r="239" spans="1:18" ht="15.75">
      <c r="A239" s="21" t="s">
        <v>716</v>
      </c>
      <c r="B239" s="21" t="s">
        <v>717</v>
      </c>
      <c r="C239" s="20">
        <v>46164</v>
      </c>
      <c r="D239" s="21" t="s">
        <v>718</v>
      </c>
      <c r="E239" s="21" t="s">
        <v>719</v>
      </c>
      <c r="F239" s="21" t="s">
        <v>54</v>
      </c>
      <c r="G239" s="22">
        <v>5</v>
      </c>
      <c r="H239" s="7">
        <v>24589.75</v>
      </c>
      <c r="I239" s="7"/>
      <c r="J239" s="7">
        <f>CobrosPendientes3[[#This Row],[Importe]]-CobrosPendientes3[[#This Row],[Imp cobrado]]</f>
        <v>24589.75</v>
      </c>
      <c r="K239" s="3"/>
      <c r="L239" s="3"/>
      <c r="M239" s="55">
        <v>46194</v>
      </c>
      <c r="N239" s="30" t="s">
        <v>720</v>
      </c>
      <c r="O239" s="34"/>
      <c r="P239" s="33"/>
      <c r="Q239" s="6"/>
      <c r="R239" s="60"/>
    </row>
    <row r="240" spans="1:18" ht="15.75">
      <c r="A240" s="21" t="s">
        <v>721</v>
      </c>
      <c r="B240" s="21" t="s">
        <v>722</v>
      </c>
      <c r="C240" s="20">
        <v>46164</v>
      </c>
      <c r="D240" s="21" t="s">
        <v>723</v>
      </c>
      <c r="E240" s="21" t="s">
        <v>222</v>
      </c>
      <c r="F240" s="21" t="s">
        <v>724</v>
      </c>
      <c r="G240" s="22">
        <v>100</v>
      </c>
      <c r="H240" s="7">
        <v>900</v>
      </c>
      <c r="I240" s="7"/>
      <c r="J240" s="7">
        <f>CobrosPendientes3[[#This Row],[Importe]]-CobrosPendientes3[[#This Row],[Imp cobrado]]</f>
        <v>900</v>
      </c>
      <c r="K240" s="3"/>
      <c r="L240" s="3"/>
      <c r="M240" s="55">
        <v>46203</v>
      </c>
      <c r="N240" s="106" t="s">
        <v>353</v>
      </c>
      <c r="O240" s="34"/>
      <c r="P240" s="33"/>
      <c r="Q240" s="6"/>
      <c r="R240" s="60"/>
    </row>
    <row r="241" spans="1:18" ht="15.75">
      <c r="A241" s="88" t="s">
        <v>725</v>
      </c>
      <c r="B241" s="88" t="s">
        <v>726</v>
      </c>
      <c r="C241" s="89">
        <v>46164</v>
      </c>
      <c r="D241" s="88" t="s">
        <v>26</v>
      </c>
      <c r="E241" s="88" t="s">
        <v>27</v>
      </c>
      <c r="F241" s="88" t="s">
        <v>727</v>
      </c>
      <c r="G241" s="90" t="s">
        <v>392</v>
      </c>
      <c r="H241" s="43">
        <v>18580</v>
      </c>
      <c r="I241" s="43"/>
      <c r="J241" s="43">
        <f>CobrosPendientes3[[#This Row],[Importe]]-CobrosPendientes3[[#This Row],[Imp cobrado]]</f>
        <v>18580</v>
      </c>
      <c r="K241" s="44"/>
      <c r="L241" s="44"/>
      <c r="M241" s="82"/>
      <c r="N241" s="101" t="s">
        <v>728</v>
      </c>
      <c r="O241" s="49" t="s">
        <v>22</v>
      </c>
      <c r="P241" s="33" t="s">
        <v>729</v>
      </c>
      <c r="Q241" s="74">
        <v>46170</v>
      </c>
      <c r="R241" s="60">
        <v>18580</v>
      </c>
    </row>
    <row r="242" spans="1:18" ht="15.75">
      <c r="A242" s="21" t="s">
        <v>730</v>
      </c>
      <c r="B242" s="21" t="s">
        <v>731</v>
      </c>
      <c r="C242" s="20">
        <v>46164</v>
      </c>
      <c r="D242" s="21" t="s">
        <v>167</v>
      </c>
      <c r="E242" s="21" t="s">
        <v>511</v>
      </c>
      <c r="F242" s="21" t="s">
        <v>732</v>
      </c>
      <c r="G242" s="22">
        <v>60</v>
      </c>
      <c r="H242" s="35">
        <v>138600</v>
      </c>
      <c r="I242" s="35">
        <v>138600</v>
      </c>
      <c r="J242" s="35">
        <f>CobrosPendientes3[[#This Row],[Importe]]-CobrosPendientes3[[#This Row],[Imp cobrado]]</f>
        <v>0</v>
      </c>
      <c r="K242" s="40">
        <v>46181</v>
      </c>
      <c r="L242" s="69" t="s">
        <v>22</v>
      </c>
      <c r="M242" s="55">
        <v>46167</v>
      </c>
      <c r="N242" s="30"/>
      <c r="O242" s="34"/>
      <c r="P242" s="33"/>
      <c r="Q242" s="6"/>
      <c r="R242" s="60"/>
    </row>
    <row r="243" spans="1:18" ht="15.75">
      <c r="A243" s="21" t="s">
        <v>733</v>
      </c>
      <c r="B243" s="21" t="s">
        <v>734</v>
      </c>
      <c r="C243" s="20">
        <v>46168</v>
      </c>
      <c r="D243" s="21" t="s">
        <v>87</v>
      </c>
      <c r="E243" s="98" t="s">
        <v>88</v>
      </c>
      <c r="F243" s="98" t="s">
        <v>735</v>
      </c>
      <c r="G243" s="99">
        <v>100</v>
      </c>
      <c r="H243" s="97">
        <v>6928.57</v>
      </c>
      <c r="I243" s="97">
        <v>6928.57</v>
      </c>
      <c r="J243" s="35">
        <f>CobrosPendientes3[[#This Row],[Importe]]-CobrosPendientes3[[#This Row],[Imp cobrado]]</f>
        <v>0</v>
      </c>
      <c r="K243" s="40">
        <v>46169</v>
      </c>
      <c r="L243" s="69" t="s">
        <v>22</v>
      </c>
      <c r="M243" s="55">
        <v>46168</v>
      </c>
      <c r="N243" s="30"/>
      <c r="O243" s="34"/>
      <c r="P243" s="33"/>
      <c r="Q243" s="6"/>
      <c r="R243" s="60"/>
    </row>
    <row r="244" spans="1:18" ht="15.75">
      <c r="A244" s="12" t="s">
        <v>736</v>
      </c>
      <c r="B244" s="12" t="s">
        <v>737</v>
      </c>
      <c r="C244" s="13">
        <v>46168</v>
      </c>
      <c r="D244" s="12" t="s">
        <v>738</v>
      </c>
      <c r="E244" s="94" t="s">
        <v>546</v>
      </c>
      <c r="F244" s="94" t="s">
        <v>518</v>
      </c>
      <c r="G244" s="95">
        <v>20</v>
      </c>
      <c r="H244" s="97">
        <v>46253.53</v>
      </c>
      <c r="I244" s="97">
        <v>46253.53</v>
      </c>
      <c r="J244" s="35">
        <f>CobrosPendientes3[[#This Row],[Importe]]-CobrosPendientes3[[#This Row],[Imp cobrado]]</f>
        <v>0</v>
      </c>
      <c r="K244" s="40">
        <v>46171</v>
      </c>
      <c r="L244" s="69" t="s">
        <v>22</v>
      </c>
      <c r="M244" s="55">
        <v>46171</v>
      </c>
      <c r="N244" s="30"/>
      <c r="O244" s="34"/>
      <c r="P244" s="33"/>
      <c r="Q244" s="6"/>
      <c r="R244" s="60"/>
    </row>
    <row r="245" spans="1:18" ht="15.75">
      <c r="A245" s="12" t="s">
        <v>739</v>
      </c>
      <c r="B245" s="12" t="s">
        <v>740</v>
      </c>
      <c r="C245" s="13">
        <v>46168</v>
      </c>
      <c r="D245" s="12" t="s">
        <v>738</v>
      </c>
      <c r="E245" s="94" t="s">
        <v>546</v>
      </c>
      <c r="F245" s="94" t="s">
        <v>591</v>
      </c>
      <c r="G245" s="95">
        <v>50</v>
      </c>
      <c r="H245" s="97">
        <v>178133.82</v>
      </c>
      <c r="I245" s="97">
        <v>178133.82</v>
      </c>
      <c r="J245" s="35">
        <f>CobrosPendientes3[[#This Row],[Importe]]-CobrosPendientes3[[#This Row],[Imp cobrado]]</f>
        <v>0</v>
      </c>
      <c r="K245" s="40">
        <v>46171</v>
      </c>
      <c r="L245" s="69" t="s">
        <v>22</v>
      </c>
      <c r="M245" s="55">
        <v>46171</v>
      </c>
      <c r="N245" s="30"/>
      <c r="O245" s="34"/>
      <c r="P245" s="33"/>
      <c r="Q245" s="6"/>
      <c r="R245" s="60"/>
    </row>
    <row r="246" spans="1:18" ht="15.75">
      <c r="A246" s="21" t="s">
        <v>741</v>
      </c>
      <c r="B246" s="21" t="s">
        <v>742</v>
      </c>
      <c r="C246" s="20">
        <v>46168</v>
      </c>
      <c r="D246" s="21" t="s">
        <v>545</v>
      </c>
      <c r="E246" s="98" t="s">
        <v>550</v>
      </c>
      <c r="F246" s="98" t="s">
        <v>518</v>
      </c>
      <c r="G246" s="99">
        <v>50</v>
      </c>
      <c r="H246" s="97">
        <v>63830.38</v>
      </c>
      <c r="I246" s="97">
        <v>63830.38</v>
      </c>
      <c r="J246" s="35">
        <f>CobrosPendientes3[[#This Row],[Importe]]-CobrosPendientes3[[#This Row],[Imp cobrado]]</f>
        <v>0</v>
      </c>
      <c r="K246" s="40">
        <v>46171</v>
      </c>
      <c r="L246" s="69" t="s">
        <v>22</v>
      </c>
      <c r="M246" s="55">
        <v>46171</v>
      </c>
      <c r="N246" s="30"/>
      <c r="O246" s="34"/>
      <c r="P246" s="33"/>
      <c r="Q246" s="6"/>
      <c r="R246" s="60"/>
    </row>
    <row r="247" spans="1:18" ht="15.75">
      <c r="A247" s="12" t="s">
        <v>743</v>
      </c>
      <c r="B247" s="12" t="s">
        <v>744</v>
      </c>
      <c r="C247" s="13">
        <v>46170</v>
      </c>
      <c r="D247" s="12" t="s">
        <v>745</v>
      </c>
      <c r="E247" s="94" t="s">
        <v>746</v>
      </c>
      <c r="F247" s="94" t="s">
        <v>747</v>
      </c>
      <c r="G247" s="95">
        <v>15</v>
      </c>
      <c r="H247" s="97">
        <v>159750</v>
      </c>
      <c r="I247" s="97">
        <v>159750</v>
      </c>
      <c r="J247" s="35">
        <f>CobrosPendientes3[[#This Row],[Importe]]-CobrosPendientes3[[#This Row],[Imp cobrado]]</f>
        <v>0</v>
      </c>
      <c r="K247" s="40">
        <v>46178</v>
      </c>
      <c r="L247" s="69" t="s">
        <v>22</v>
      </c>
      <c r="M247" s="55">
        <v>46180</v>
      </c>
      <c r="N247" s="30"/>
      <c r="O247" s="34"/>
      <c r="P247" s="33"/>
      <c r="Q247" s="6"/>
      <c r="R247" s="60"/>
    </row>
    <row r="248" spans="1:18" ht="15.75">
      <c r="A248" s="21" t="s">
        <v>748</v>
      </c>
      <c r="B248" s="21" t="s">
        <v>749</v>
      </c>
      <c r="C248" s="20">
        <v>46170</v>
      </c>
      <c r="D248" s="21" t="s">
        <v>723</v>
      </c>
      <c r="E248" s="98" t="s">
        <v>224</v>
      </c>
      <c r="F248" s="98" t="s">
        <v>750</v>
      </c>
      <c r="G248" s="99">
        <v>100</v>
      </c>
      <c r="H248" s="96">
        <v>6165.28</v>
      </c>
      <c r="I248" s="96"/>
      <c r="J248" s="7">
        <f>CobrosPendientes3[[#This Row],[Importe]]-CobrosPendientes3[[#This Row],[Imp cobrado]]</f>
        <v>6165.28</v>
      </c>
      <c r="K248" s="3"/>
      <c r="L248" s="3"/>
      <c r="M248" s="55">
        <v>46170</v>
      </c>
      <c r="N248" s="106" t="s">
        <v>353</v>
      </c>
      <c r="O248" s="34"/>
      <c r="P248" s="33"/>
      <c r="Q248" s="6"/>
      <c r="R248" s="60"/>
    </row>
    <row r="249" spans="1:18" ht="15.75">
      <c r="A249" s="25" t="s">
        <v>751</v>
      </c>
      <c r="B249" s="25" t="s">
        <v>752</v>
      </c>
      <c r="C249" s="20">
        <v>46176</v>
      </c>
      <c r="D249" s="21" t="s">
        <v>526</v>
      </c>
      <c r="E249" s="98" t="s">
        <v>397</v>
      </c>
      <c r="F249" s="98" t="s">
        <v>200</v>
      </c>
      <c r="G249" s="99">
        <v>50</v>
      </c>
      <c r="H249" s="97">
        <v>77689.350000000006</v>
      </c>
      <c r="I249" s="97">
        <v>77689.350000000006</v>
      </c>
      <c r="J249" s="35">
        <f>CobrosPendientes3[[#This Row],[Importe]]-CobrosPendientes3[[#This Row],[Imp cobrado]]</f>
        <v>0</v>
      </c>
      <c r="K249" s="40">
        <v>46184</v>
      </c>
      <c r="L249" s="69" t="s">
        <v>22</v>
      </c>
      <c r="M249" s="55">
        <v>46179</v>
      </c>
      <c r="N249" s="30"/>
      <c r="O249" s="34"/>
      <c r="P249" s="33"/>
      <c r="Q249" s="6"/>
      <c r="R249" s="60"/>
    </row>
    <row r="250" spans="1:18" ht="15.75">
      <c r="A250" s="86" t="s">
        <v>753</v>
      </c>
      <c r="B250" s="86" t="s">
        <v>754</v>
      </c>
      <c r="C250" s="13">
        <v>46176</v>
      </c>
      <c r="D250" s="12" t="s">
        <v>755</v>
      </c>
      <c r="E250" s="94" t="s">
        <v>467</v>
      </c>
      <c r="F250" s="94" t="s">
        <v>21</v>
      </c>
      <c r="G250" s="95">
        <v>40</v>
      </c>
      <c r="H250" s="97">
        <v>46040.76</v>
      </c>
      <c r="I250" s="35">
        <v>46040.76</v>
      </c>
      <c r="J250" s="35">
        <f>CobrosPendientes3[[#This Row],[Importe]]-CobrosPendientes3[[#This Row],[Imp cobrado]]</f>
        <v>0</v>
      </c>
      <c r="K250" s="40">
        <v>46183</v>
      </c>
      <c r="L250" s="69" t="s">
        <v>22</v>
      </c>
      <c r="M250" s="55">
        <v>46181</v>
      </c>
      <c r="N250" s="30"/>
      <c r="O250" s="34"/>
      <c r="P250" s="33"/>
      <c r="Q250" s="6"/>
      <c r="R250" s="60"/>
    </row>
    <row r="251" spans="1:18" ht="15.75">
      <c r="A251" s="25" t="s">
        <v>756</v>
      </c>
      <c r="B251" s="25" t="s">
        <v>757</v>
      </c>
      <c r="C251" s="20">
        <v>46176</v>
      </c>
      <c r="D251" s="21" t="s">
        <v>162</v>
      </c>
      <c r="E251" s="98" t="s">
        <v>165</v>
      </c>
      <c r="F251" s="98" t="s">
        <v>54</v>
      </c>
      <c r="G251" s="99">
        <v>10</v>
      </c>
      <c r="H251" s="96">
        <f>442005.43*10%</f>
        <v>44200.543000000005</v>
      </c>
      <c r="I251" s="7"/>
      <c r="J251" s="7">
        <f>CobrosPendientes3[[#This Row],[Importe]]-CobrosPendientes3[[#This Row],[Imp cobrado]]</f>
        <v>44200.543000000005</v>
      </c>
      <c r="K251" s="3"/>
      <c r="L251" s="3"/>
      <c r="M251" s="55">
        <v>46206</v>
      </c>
      <c r="N251" s="30"/>
      <c r="O251" s="34"/>
      <c r="P251" s="33"/>
      <c r="Q251" s="6"/>
      <c r="R251" s="60"/>
    </row>
    <row r="252" spans="1:18" ht="15.75">
      <c r="A252" s="86" t="s">
        <v>758</v>
      </c>
      <c r="B252" s="86" t="s">
        <v>759</v>
      </c>
      <c r="C252" s="13">
        <v>46177</v>
      </c>
      <c r="D252" s="12" t="s">
        <v>760</v>
      </c>
      <c r="E252" s="94" t="s">
        <v>761</v>
      </c>
      <c r="F252" s="94" t="s">
        <v>653</v>
      </c>
      <c r="G252" s="95" t="s">
        <v>468</v>
      </c>
      <c r="H252" s="97">
        <v>23246.81</v>
      </c>
      <c r="I252" s="35">
        <v>23246.81</v>
      </c>
      <c r="J252" s="35">
        <f>CobrosPendientes3[[#This Row],[Importe]]-CobrosPendientes3[[#This Row],[Imp cobrado]]</f>
        <v>0</v>
      </c>
      <c r="K252" s="40">
        <v>46191</v>
      </c>
      <c r="L252" s="69" t="s">
        <v>22</v>
      </c>
      <c r="M252" s="55">
        <v>46180</v>
      </c>
      <c r="N252" s="106" t="s">
        <v>353</v>
      </c>
      <c r="O252" s="34"/>
      <c r="P252" s="33"/>
      <c r="Q252" s="6"/>
      <c r="R252" s="60"/>
    </row>
    <row r="253" spans="1:18" ht="15.75">
      <c r="A253" s="86" t="s">
        <v>762</v>
      </c>
      <c r="B253" s="86" t="s">
        <v>763</v>
      </c>
      <c r="C253" s="13">
        <v>46177</v>
      </c>
      <c r="D253" s="12" t="s">
        <v>760</v>
      </c>
      <c r="E253" s="94" t="s">
        <v>764</v>
      </c>
      <c r="F253" s="94" t="s">
        <v>765</v>
      </c>
      <c r="G253" s="95" t="s">
        <v>468</v>
      </c>
      <c r="H253" s="97">
        <v>21418.53</v>
      </c>
      <c r="I253" s="35">
        <v>21418.53</v>
      </c>
      <c r="J253" s="35">
        <f>CobrosPendientes3[[#This Row],[Importe]]-CobrosPendientes3[[#This Row],[Imp cobrado]]</f>
        <v>0</v>
      </c>
      <c r="K253" s="40">
        <v>46191</v>
      </c>
      <c r="L253" s="69" t="s">
        <v>22</v>
      </c>
      <c r="M253" s="55">
        <v>46180</v>
      </c>
      <c r="N253" s="106" t="s">
        <v>353</v>
      </c>
      <c r="O253" s="34"/>
      <c r="P253" s="33"/>
      <c r="Q253" s="6"/>
      <c r="R253" s="60"/>
    </row>
    <row r="254" spans="1:18" ht="15.75">
      <c r="A254" s="86" t="s">
        <v>766</v>
      </c>
      <c r="B254" s="86" t="s">
        <v>767</v>
      </c>
      <c r="C254" s="13">
        <v>46177</v>
      </c>
      <c r="D254" s="12" t="s">
        <v>760</v>
      </c>
      <c r="E254" s="94" t="s">
        <v>768</v>
      </c>
      <c r="F254" s="94" t="s">
        <v>765</v>
      </c>
      <c r="G254" s="95" t="s">
        <v>468</v>
      </c>
      <c r="H254" s="97">
        <v>21618.84</v>
      </c>
      <c r="I254" s="35" t="s">
        <v>769</v>
      </c>
      <c r="J254" s="35" t="e">
        <f>CobrosPendientes3[[#This Row],[Importe]]-CobrosPendientes3[[#This Row],[Imp cobrado]]</f>
        <v>#VALUE!</v>
      </c>
      <c r="K254" s="40">
        <v>46188</v>
      </c>
      <c r="L254" s="69" t="s">
        <v>22</v>
      </c>
      <c r="M254" s="55">
        <v>46180</v>
      </c>
      <c r="N254" s="106" t="s">
        <v>353</v>
      </c>
      <c r="O254" s="34"/>
      <c r="P254" s="33"/>
      <c r="Q254" s="6"/>
      <c r="R254" s="60"/>
    </row>
    <row r="255" spans="1:18" ht="15.75">
      <c r="A255" s="25" t="s">
        <v>770</v>
      </c>
      <c r="B255" s="25" t="s">
        <v>771</v>
      </c>
      <c r="C255" s="20">
        <v>46177</v>
      </c>
      <c r="D255" s="102" t="s">
        <v>97</v>
      </c>
      <c r="E255" s="102" t="s">
        <v>695</v>
      </c>
      <c r="F255" s="102" t="s">
        <v>54</v>
      </c>
      <c r="G255" s="103">
        <v>5</v>
      </c>
      <c r="H255" s="96">
        <v>25050.5095</v>
      </c>
      <c r="I255" s="7"/>
      <c r="J255" s="7">
        <f>CobrosPendientes3[[#This Row],[Importe]]-CobrosPendientes3[[#This Row],[Imp cobrado]]</f>
        <v>25050.5095</v>
      </c>
      <c r="K255" s="3"/>
      <c r="L255" s="3"/>
      <c r="M255" s="55">
        <v>46237</v>
      </c>
      <c r="N255" s="106" t="s">
        <v>353</v>
      </c>
      <c r="O255" s="34"/>
      <c r="P255" s="33"/>
      <c r="Q255" s="6"/>
      <c r="R255" s="60"/>
    </row>
    <row r="256" spans="1:18" ht="15.75">
      <c r="A256" s="25" t="s">
        <v>772</v>
      </c>
      <c r="B256" s="25" t="s">
        <v>773</v>
      </c>
      <c r="C256" s="20">
        <v>46177</v>
      </c>
      <c r="D256" s="102" t="s">
        <v>97</v>
      </c>
      <c r="E256" s="102" t="s">
        <v>700</v>
      </c>
      <c r="F256" s="102" t="s">
        <v>54</v>
      </c>
      <c r="G256" s="103">
        <v>5</v>
      </c>
      <c r="H256" s="96">
        <v>51867.661</v>
      </c>
      <c r="I256" s="7"/>
      <c r="J256" s="7">
        <f>CobrosPendientes3[[#This Row],[Importe]]-CobrosPendientes3[[#This Row],[Imp cobrado]]</f>
        <v>51867.661</v>
      </c>
      <c r="K256" s="3"/>
      <c r="L256" s="3"/>
      <c r="M256" s="55">
        <v>46237</v>
      </c>
      <c r="N256" s="106" t="s">
        <v>353</v>
      </c>
      <c r="O256" s="34"/>
      <c r="P256" s="33"/>
      <c r="Q256" s="6"/>
      <c r="R256" s="60"/>
    </row>
    <row r="257" spans="1:18" ht="15.75">
      <c r="A257" s="25" t="s">
        <v>774</v>
      </c>
      <c r="B257" s="25" t="s">
        <v>775</v>
      </c>
      <c r="C257" s="20">
        <v>46177</v>
      </c>
      <c r="D257" s="21" t="s">
        <v>319</v>
      </c>
      <c r="E257" s="102" t="s">
        <v>776</v>
      </c>
      <c r="F257" s="102" t="s">
        <v>54</v>
      </c>
      <c r="G257" s="103">
        <v>2</v>
      </c>
      <c r="H257" s="97">
        <v>2042</v>
      </c>
      <c r="I257" s="35">
        <v>2042</v>
      </c>
      <c r="J257" s="35">
        <f>CobrosPendientes3[[#This Row],[Importe]]-CobrosPendientes3[[#This Row],[Imp cobrado]]</f>
        <v>0</v>
      </c>
      <c r="K257" s="40">
        <v>46191</v>
      </c>
      <c r="L257" s="69" t="s">
        <v>22</v>
      </c>
      <c r="M257" s="55">
        <v>46182</v>
      </c>
      <c r="N257" s="106" t="s">
        <v>353</v>
      </c>
      <c r="O257" s="34"/>
      <c r="P257" s="33"/>
      <c r="Q257" s="6"/>
      <c r="R257" s="60"/>
    </row>
    <row r="258" spans="1:18" ht="15.75">
      <c r="A258" s="86" t="s">
        <v>777</v>
      </c>
      <c r="B258" s="86" t="s">
        <v>778</v>
      </c>
      <c r="C258" s="13">
        <v>46178</v>
      </c>
      <c r="D258" s="104" t="s">
        <v>779</v>
      </c>
      <c r="E258" s="104" t="s">
        <v>780</v>
      </c>
      <c r="F258" s="94" t="s">
        <v>765</v>
      </c>
      <c r="G258" s="105" t="s">
        <v>419</v>
      </c>
      <c r="H258" s="97">
        <v>53377.89</v>
      </c>
      <c r="I258" s="76">
        <v>53377.89</v>
      </c>
      <c r="J258" s="35">
        <f>CobrosPendientes3[[#This Row],[Importe]]-CobrosPendientes3[[#This Row],[Imp cobrado]]</f>
        <v>0</v>
      </c>
      <c r="K258" s="40">
        <v>46181</v>
      </c>
      <c r="L258" s="69" t="s">
        <v>22</v>
      </c>
      <c r="M258" s="55">
        <v>46181</v>
      </c>
      <c r="N258" s="30"/>
      <c r="O258" s="34"/>
      <c r="P258" s="33"/>
      <c r="Q258" s="6"/>
      <c r="R258" s="60"/>
    </row>
    <row r="259" spans="1:18" ht="15.75">
      <c r="A259" s="25" t="s">
        <v>781</v>
      </c>
      <c r="B259" s="25" t="s">
        <v>782</v>
      </c>
      <c r="C259" s="20">
        <v>46183</v>
      </c>
      <c r="D259" s="21" t="s">
        <v>783</v>
      </c>
      <c r="E259" s="98" t="s">
        <v>784</v>
      </c>
      <c r="F259" s="98" t="s">
        <v>785</v>
      </c>
      <c r="G259" s="103" t="s">
        <v>392</v>
      </c>
      <c r="H259" s="97">
        <v>2000</v>
      </c>
      <c r="I259" s="35">
        <v>2000</v>
      </c>
      <c r="J259" s="35">
        <f>CobrosPendientes3[[#This Row],[Importe]]-CobrosPendientes3[[#This Row],[Imp cobrado]]</f>
        <v>0</v>
      </c>
      <c r="K259" s="40">
        <v>46185</v>
      </c>
      <c r="L259" s="69" t="s">
        <v>22</v>
      </c>
      <c r="M259" s="55">
        <v>46183</v>
      </c>
      <c r="N259" s="30"/>
      <c r="O259" s="34"/>
      <c r="P259" s="33"/>
      <c r="Q259" s="6"/>
      <c r="R259" s="60"/>
    </row>
    <row r="260" spans="1:18" ht="15.75">
      <c r="A260" s="86" t="s">
        <v>786</v>
      </c>
      <c r="B260" s="86" t="s">
        <v>787</v>
      </c>
      <c r="C260" s="13">
        <v>46183</v>
      </c>
      <c r="D260" s="12" t="s">
        <v>755</v>
      </c>
      <c r="E260" s="94" t="s">
        <v>467</v>
      </c>
      <c r="F260" s="94" t="s">
        <v>24</v>
      </c>
      <c r="G260" s="105">
        <v>35</v>
      </c>
      <c r="H260" s="97">
        <v>40947.160000000003</v>
      </c>
      <c r="I260" s="35">
        <v>40947.160000000003</v>
      </c>
      <c r="J260" s="35">
        <f>CobrosPendientes3[[#This Row],[Importe]]-CobrosPendientes3[[#This Row],[Imp cobrado]]</f>
        <v>0</v>
      </c>
      <c r="K260" s="40">
        <v>46190</v>
      </c>
      <c r="L260" s="69" t="s">
        <v>22</v>
      </c>
      <c r="M260" s="55">
        <v>46188</v>
      </c>
      <c r="N260" s="30"/>
      <c r="O260" s="34"/>
      <c r="P260" s="33"/>
      <c r="Q260" s="6"/>
      <c r="R260" s="60"/>
    </row>
    <row r="261" spans="1:18" ht="15.75">
      <c r="A261" s="25" t="s">
        <v>788</v>
      </c>
      <c r="B261" s="25" t="s">
        <v>789</v>
      </c>
      <c r="C261" s="20">
        <v>46184</v>
      </c>
      <c r="D261" s="21" t="s">
        <v>723</v>
      </c>
      <c r="E261" s="98" t="s">
        <v>224</v>
      </c>
      <c r="F261" s="98" t="s">
        <v>54</v>
      </c>
      <c r="G261" s="103">
        <v>5</v>
      </c>
      <c r="H261" s="96">
        <f>712304.43*5%</f>
        <v>35615.221500000007</v>
      </c>
      <c r="I261" s="7"/>
      <c r="J261" s="7">
        <f>CobrosPendientes3[[#This Row],[Importe]]-CobrosPendientes3[[#This Row],[Imp cobrado]]</f>
        <v>35615.221500000007</v>
      </c>
      <c r="K261" s="3"/>
      <c r="L261" s="3"/>
      <c r="M261" s="55">
        <v>46214</v>
      </c>
      <c r="N261" s="106" t="s">
        <v>353</v>
      </c>
      <c r="O261" s="34"/>
      <c r="P261" s="33"/>
      <c r="Q261" s="6"/>
      <c r="R261" s="60"/>
    </row>
    <row r="262" spans="1:18" ht="15.75">
      <c r="A262" s="25" t="s">
        <v>790</v>
      </c>
      <c r="B262" s="25" t="s">
        <v>791</v>
      </c>
      <c r="C262" s="20">
        <v>46184</v>
      </c>
      <c r="D262" s="21" t="s">
        <v>723</v>
      </c>
      <c r="E262" s="98" t="s">
        <v>222</v>
      </c>
      <c r="F262" s="98" t="s">
        <v>54</v>
      </c>
      <c r="G262" s="103">
        <v>5</v>
      </c>
      <c r="H262" s="96">
        <v>50420.95</v>
      </c>
      <c r="I262" s="7"/>
      <c r="J262" s="7">
        <f>CobrosPendientes3[[#This Row],[Importe]]-CobrosPendientes3[[#This Row],[Imp cobrado]]</f>
        <v>50420.95</v>
      </c>
      <c r="K262" s="3"/>
      <c r="L262" s="3"/>
      <c r="M262" s="55">
        <v>46214</v>
      </c>
      <c r="N262" s="106" t="s">
        <v>353</v>
      </c>
      <c r="O262" s="34"/>
      <c r="P262" s="33"/>
      <c r="Q262" s="6"/>
      <c r="R262" s="60"/>
    </row>
    <row r="263" spans="1:18" ht="15.75">
      <c r="A263" s="25" t="s">
        <v>792</v>
      </c>
      <c r="B263" s="25" t="s">
        <v>793</v>
      </c>
      <c r="C263" s="20">
        <v>46184</v>
      </c>
      <c r="D263" s="21" t="s">
        <v>723</v>
      </c>
      <c r="E263" s="98" t="s">
        <v>218</v>
      </c>
      <c r="F263" s="98" t="s">
        <v>54</v>
      </c>
      <c r="G263" s="103">
        <v>5</v>
      </c>
      <c r="H263" s="96">
        <f>131236.42*5%</f>
        <v>6561.8210000000008</v>
      </c>
      <c r="I263" s="7"/>
      <c r="J263" s="7">
        <f>CobrosPendientes3[[#This Row],[Importe]]-CobrosPendientes3[[#This Row],[Imp cobrado]]</f>
        <v>6561.8210000000008</v>
      </c>
      <c r="K263" s="3"/>
      <c r="L263" s="3"/>
      <c r="M263" s="55">
        <v>46214</v>
      </c>
      <c r="N263" s="106" t="s">
        <v>353</v>
      </c>
      <c r="O263" s="34"/>
      <c r="P263" s="33"/>
      <c r="Q263" s="6"/>
      <c r="R263" s="60"/>
    </row>
    <row r="264" spans="1:18" ht="15.75">
      <c r="A264" s="86" t="s">
        <v>794</v>
      </c>
      <c r="B264" s="86" t="s">
        <v>795</v>
      </c>
      <c r="C264" s="13">
        <v>46184</v>
      </c>
      <c r="D264" s="12" t="s">
        <v>723</v>
      </c>
      <c r="E264" s="94" t="s">
        <v>796</v>
      </c>
      <c r="F264" s="94" t="s">
        <v>54</v>
      </c>
      <c r="G264" s="105">
        <v>5</v>
      </c>
      <c r="H264" s="96">
        <f>142929.37*5%</f>
        <v>7146.4684999999999</v>
      </c>
      <c r="I264" s="7"/>
      <c r="J264" s="7">
        <f>CobrosPendientes3[[#This Row],[Importe]]-CobrosPendientes3[[#This Row],[Imp cobrado]]</f>
        <v>7146.4684999999999</v>
      </c>
      <c r="K264" s="3"/>
      <c r="L264" s="3"/>
      <c r="M264" s="55">
        <v>46214</v>
      </c>
      <c r="N264" s="106" t="s">
        <v>353</v>
      </c>
      <c r="O264" s="34"/>
      <c r="P264" s="33"/>
      <c r="Q264" s="6"/>
      <c r="R264" s="60"/>
    </row>
    <row r="265" spans="1:18" ht="15.75">
      <c r="A265" s="25" t="s">
        <v>797</v>
      </c>
      <c r="B265" s="25" t="s">
        <v>798</v>
      </c>
      <c r="C265" s="20">
        <v>46184</v>
      </c>
      <c r="D265" s="21" t="s">
        <v>167</v>
      </c>
      <c r="E265" s="98" t="s">
        <v>287</v>
      </c>
      <c r="F265" s="98" t="s">
        <v>54</v>
      </c>
      <c r="G265" s="103">
        <v>10</v>
      </c>
      <c r="H265" s="96">
        <v>39700</v>
      </c>
      <c r="I265" s="7"/>
      <c r="J265" s="7">
        <f>CobrosPendientes3[[#This Row],[Importe]]-CobrosPendientes3[[#This Row],[Imp cobrado]]</f>
        <v>39700</v>
      </c>
      <c r="K265" s="3"/>
      <c r="L265" s="3"/>
      <c r="M265" s="55">
        <v>46199</v>
      </c>
      <c r="N265" s="106" t="s">
        <v>353</v>
      </c>
      <c r="O265" s="34"/>
      <c r="P265" s="33"/>
      <c r="Q265" s="6"/>
      <c r="R265" s="60"/>
    </row>
    <row r="266" spans="1:18" ht="15.75">
      <c r="A266" s="25" t="s">
        <v>799</v>
      </c>
      <c r="B266" s="25" t="s">
        <v>800</v>
      </c>
      <c r="C266" s="20">
        <v>46184</v>
      </c>
      <c r="D266" s="21" t="s">
        <v>545</v>
      </c>
      <c r="E266" s="98" t="s">
        <v>550</v>
      </c>
      <c r="F266" s="98" t="s">
        <v>591</v>
      </c>
      <c r="G266" s="103">
        <v>25</v>
      </c>
      <c r="H266" s="97">
        <v>31915.19</v>
      </c>
      <c r="I266" s="76">
        <v>31915.19</v>
      </c>
      <c r="J266" s="76">
        <f>CobrosPendientes3[[#This Row],[Importe]]-CobrosPendientes3[[#This Row],[Imp cobrado]]</f>
        <v>0</v>
      </c>
      <c r="K266" s="40">
        <v>46188</v>
      </c>
      <c r="L266" s="69" t="s">
        <v>22</v>
      </c>
      <c r="M266" s="55">
        <v>46187</v>
      </c>
      <c r="N266" s="106" t="s">
        <v>353</v>
      </c>
      <c r="O266" s="34"/>
      <c r="P266" s="33"/>
      <c r="Q266" s="6"/>
      <c r="R266" s="109"/>
    </row>
    <row r="267" spans="1:18" ht="15.75">
      <c r="A267" s="25" t="s">
        <v>801</v>
      </c>
      <c r="B267" s="25" t="s">
        <v>802</v>
      </c>
      <c r="C267" s="20">
        <v>46184</v>
      </c>
      <c r="D267" s="21" t="s">
        <v>167</v>
      </c>
      <c r="E267" s="98" t="s">
        <v>679</v>
      </c>
      <c r="F267" s="98" t="s">
        <v>803</v>
      </c>
      <c r="G267" s="103">
        <v>10</v>
      </c>
      <c r="H267" s="97">
        <v>163045.98000000001</v>
      </c>
      <c r="I267" s="76">
        <v>163045.98000000001</v>
      </c>
      <c r="J267" s="76">
        <f>CobrosPendientes3[[#This Row],[Importe]]-CobrosPendientes3[[#This Row],[Imp cobrado]]</f>
        <v>0</v>
      </c>
      <c r="K267" s="40">
        <v>46202</v>
      </c>
      <c r="L267" s="69" t="s">
        <v>22</v>
      </c>
      <c r="M267" s="55">
        <v>46187</v>
      </c>
      <c r="N267" s="106" t="s">
        <v>353</v>
      </c>
      <c r="O267" s="34"/>
      <c r="P267" s="33"/>
      <c r="Q267" s="6"/>
      <c r="R267" s="107"/>
    </row>
    <row r="268" spans="1:18" ht="15" customHeight="1">
      <c r="A268" s="25" t="s">
        <v>804</v>
      </c>
      <c r="B268" s="25" t="s">
        <v>805</v>
      </c>
      <c r="C268" s="20">
        <v>46184</v>
      </c>
      <c r="D268" s="21" t="s">
        <v>167</v>
      </c>
      <c r="E268" s="98" t="s">
        <v>209</v>
      </c>
      <c r="F268" s="98" t="s">
        <v>806</v>
      </c>
      <c r="G268" s="103">
        <v>10</v>
      </c>
      <c r="H268" s="108">
        <v>6290</v>
      </c>
      <c r="I268" s="92"/>
      <c r="J268" s="92">
        <f>CobrosPendientes3[[#This Row],[Importe]]-CobrosPendientes3[[#This Row],[Imp cobrado]]</f>
        <v>6290</v>
      </c>
      <c r="K268" s="3"/>
      <c r="L268" s="3"/>
      <c r="M268" s="55">
        <v>46199</v>
      </c>
      <c r="N268" s="106" t="s">
        <v>353</v>
      </c>
      <c r="O268" s="34"/>
      <c r="P268" s="33"/>
      <c r="Q268" s="6"/>
      <c r="R268" s="107"/>
    </row>
    <row r="269" spans="1:18" ht="15" customHeight="1">
      <c r="A269" s="86" t="s">
        <v>807</v>
      </c>
      <c r="B269" s="86" t="s">
        <v>808</v>
      </c>
      <c r="C269" s="13">
        <v>46185</v>
      </c>
      <c r="D269" s="12" t="s">
        <v>809</v>
      </c>
      <c r="E269" s="94" t="s">
        <v>810</v>
      </c>
      <c r="F269" s="94" t="s">
        <v>811</v>
      </c>
      <c r="G269" s="105" t="s">
        <v>382</v>
      </c>
      <c r="H269" s="97">
        <v>20835.12</v>
      </c>
      <c r="I269" s="76">
        <v>20835.12</v>
      </c>
      <c r="J269" s="76">
        <f>CobrosPendientes3[[#This Row],[Importe]]-CobrosPendientes3[[#This Row],[Imp cobrado]]</f>
        <v>0</v>
      </c>
      <c r="K269" s="40">
        <v>46198</v>
      </c>
      <c r="L269" s="69" t="s">
        <v>22</v>
      </c>
      <c r="M269" s="55">
        <v>46188</v>
      </c>
      <c r="N269" s="106" t="s">
        <v>353</v>
      </c>
      <c r="O269" s="34"/>
      <c r="P269" s="33"/>
      <c r="Q269" s="6"/>
      <c r="R269" s="110"/>
    </row>
    <row r="270" spans="1:18" ht="15" customHeight="1">
      <c r="A270" s="86" t="s">
        <v>812</v>
      </c>
      <c r="B270" s="86" t="s">
        <v>813</v>
      </c>
      <c r="C270" s="13">
        <v>46185</v>
      </c>
      <c r="D270" s="12" t="s">
        <v>167</v>
      </c>
      <c r="E270" s="94" t="s">
        <v>602</v>
      </c>
      <c r="F270" s="94" t="s">
        <v>814</v>
      </c>
      <c r="G270" s="105">
        <v>60</v>
      </c>
      <c r="H270" s="97">
        <v>20280</v>
      </c>
      <c r="I270" s="76">
        <v>20280</v>
      </c>
      <c r="J270" s="76">
        <f>CobrosPendientes3[[#This Row],[Importe]]-CobrosPendientes3[[#This Row],[Imp cobrado]]</f>
        <v>0</v>
      </c>
      <c r="K270" s="40">
        <v>46189</v>
      </c>
      <c r="L270" s="69" t="s">
        <v>22</v>
      </c>
      <c r="M270" s="55">
        <v>46188</v>
      </c>
      <c r="N270" s="106" t="s">
        <v>353</v>
      </c>
      <c r="O270" s="34"/>
      <c r="P270" s="33"/>
      <c r="Q270" s="6"/>
      <c r="R270" s="110"/>
    </row>
    <row r="271" spans="1:18" ht="15" customHeight="1">
      <c r="A271" s="86" t="s">
        <v>815</v>
      </c>
      <c r="B271" s="86" t="s">
        <v>816</v>
      </c>
      <c r="C271" s="13">
        <v>46185</v>
      </c>
      <c r="D271" s="12" t="s">
        <v>817</v>
      </c>
      <c r="E271" s="94" t="s">
        <v>818</v>
      </c>
      <c r="F271" s="94" t="s">
        <v>765</v>
      </c>
      <c r="G271" s="105" t="s">
        <v>819</v>
      </c>
      <c r="H271" s="108">
        <v>74313.31</v>
      </c>
      <c r="I271" s="92"/>
      <c r="J271" s="92">
        <f>CobrosPendientes3[[#This Row],[Importe]]-CobrosPendientes3[[#This Row],[Imp cobrado]]</f>
        <v>74313.31</v>
      </c>
      <c r="K271" s="3"/>
      <c r="L271" s="3"/>
      <c r="M271" s="55">
        <v>46188</v>
      </c>
      <c r="N271" s="106" t="s">
        <v>353</v>
      </c>
      <c r="O271" s="34"/>
      <c r="P271" s="33"/>
      <c r="Q271" s="6"/>
      <c r="R271" s="110"/>
    </row>
    <row r="272" spans="1:18" ht="15" customHeight="1">
      <c r="A272" s="25" t="s">
        <v>820</v>
      </c>
      <c r="B272" s="25" t="s">
        <v>821</v>
      </c>
      <c r="C272" s="20">
        <v>46185</v>
      </c>
      <c r="D272" s="21" t="s">
        <v>641</v>
      </c>
      <c r="E272" s="98" t="s">
        <v>571</v>
      </c>
      <c r="F272" s="98" t="s">
        <v>822</v>
      </c>
      <c r="G272" s="103" t="s">
        <v>392</v>
      </c>
      <c r="H272" s="108">
        <v>3500</v>
      </c>
      <c r="I272" s="92"/>
      <c r="J272" s="92">
        <f>CobrosPendientes3[[#This Row],[Importe]]-CobrosPendientes3[[#This Row],[Imp cobrado]]</f>
        <v>3500</v>
      </c>
      <c r="K272" s="3"/>
      <c r="L272" s="3"/>
      <c r="M272" s="55">
        <v>46185</v>
      </c>
      <c r="N272" s="106" t="s">
        <v>353</v>
      </c>
      <c r="O272" s="34"/>
      <c r="P272" s="33"/>
      <c r="Q272" s="6"/>
      <c r="R272" s="110"/>
    </row>
    <row r="273" spans="1:18" ht="15" customHeight="1">
      <c r="A273" s="86" t="s">
        <v>823</v>
      </c>
      <c r="B273" s="86" t="s">
        <v>824</v>
      </c>
      <c r="C273" s="13">
        <v>46185</v>
      </c>
      <c r="D273" s="12" t="s">
        <v>723</v>
      </c>
      <c r="E273" s="94" t="s">
        <v>825</v>
      </c>
      <c r="F273" s="94" t="s">
        <v>653</v>
      </c>
      <c r="G273" s="105" t="s">
        <v>419</v>
      </c>
      <c r="H273" s="97">
        <v>41085.370000000003</v>
      </c>
      <c r="I273" s="76">
        <v>41085.370000000003</v>
      </c>
      <c r="J273" s="76">
        <f>CobrosPendientes3[[#This Row],[Importe]]-CobrosPendientes3[[#This Row],[Imp cobrado]]</f>
        <v>0</v>
      </c>
      <c r="K273" s="40">
        <v>46206</v>
      </c>
      <c r="L273" s="69" t="s">
        <v>22</v>
      </c>
      <c r="M273" s="55">
        <v>46192</v>
      </c>
      <c r="N273" s="106" t="s">
        <v>353</v>
      </c>
      <c r="O273" s="34"/>
      <c r="P273" s="33"/>
      <c r="Q273" s="6"/>
      <c r="R273" s="110"/>
    </row>
    <row r="274" spans="1:18" ht="15" customHeight="1">
      <c r="A274" s="86" t="s">
        <v>826</v>
      </c>
      <c r="B274" s="86" t="s">
        <v>827</v>
      </c>
      <c r="C274" s="13">
        <v>46188</v>
      </c>
      <c r="D274" s="12" t="s">
        <v>723</v>
      </c>
      <c r="E274" s="94" t="s">
        <v>828</v>
      </c>
      <c r="F274" s="94" t="s">
        <v>653</v>
      </c>
      <c r="G274" s="105" t="s">
        <v>419</v>
      </c>
      <c r="H274" s="97">
        <v>41469.879999999997</v>
      </c>
      <c r="I274" s="76">
        <v>41469.879999999997</v>
      </c>
      <c r="J274" s="76">
        <f>CobrosPendientes3[[#This Row],[Importe]]-CobrosPendientes3[[#This Row],[Imp cobrado]]</f>
        <v>0</v>
      </c>
      <c r="K274" s="40">
        <v>46206</v>
      </c>
      <c r="L274" s="69" t="s">
        <v>22</v>
      </c>
      <c r="M274" s="55">
        <v>46195</v>
      </c>
      <c r="N274" s="106" t="s">
        <v>353</v>
      </c>
      <c r="O274" s="34"/>
      <c r="P274" s="33"/>
      <c r="Q274" s="6"/>
      <c r="R274" s="110"/>
    </row>
    <row r="275" spans="1:18" ht="15" customHeight="1">
      <c r="A275" s="86" t="s">
        <v>829</v>
      </c>
      <c r="B275" s="86" t="s">
        <v>830</v>
      </c>
      <c r="C275" s="13">
        <v>46188</v>
      </c>
      <c r="D275" s="12" t="s">
        <v>723</v>
      </c>
      <c r="E275" s="94" t="s">
        <v>831</v>
      </c>
      <c r="F275" s="94" t="s">
        <v>653</v>
      </c>
      <c r="G275" s="105" t="s">
        <v>419</v>
      </c>
      <c r="H275" s="97">
        <v>43650.53</v>
      </c>
      <c r="I275" s="76">
        <v>43650.53</v>
      </c>
      <c r="J275" s="76">
        <f>CobrosPendientes3[[#This Row],[Importe]]-CobrosPendientes3[[#This Row],[Imp cobrado]]</f>
        <v>0</v>
      </c>
      <c r="K275" s="40">
        <v>46206</v>
      </c>
      <c r="L275" s="69" t="s">
        <v>22</v>
      </c>
      <c r="M275" s="55">
        <v>46195</v>
      </c>
      <c r="N275" s="106" t="s">
        <v>353</v>
      </c>
      <c r="O275" s="34"/>
      <c r="P275" s="33"/>
      <c r="Q275" s="6"/>
      <c r="R275" s="60"/>
    </row>
    <row r="276" spans="1:18" ht="15" customHeight="1">
      <c r="A276" s="86" t="s">
        <v>832</v>
      </c>
      <c r="B276" s="86" t="s">
        <v>833</v>
      </c>
      <c r="C276" s="13">
        <v>46188</v>
      </c>
      <c r="D276" s="111" t="s">
        <v>834</v>
      </c>
      <c r="E276" s="94" t="s">
        <v>835</v>
      </c>
      <c r="F276" s="94" t="s">
        <v>487</v>
      </c>
      <c r="G276" s="112" t="s">
        <v>377</v>
      </c>
      <c r="H276" s="97">
        <v>20000</v>
      </c>
      <c r="I276" s="35">
        <v>20000</v>
      </c>
      <c r="J276" s="76">
        <f>CobrosPendientes3[[#This Row],[Importe]]-CobrosPendientes3[[#This Row],[Imp cobrado]]</f>
        <v>0</v>
      </c>
      <c r="K276" s="40">
        <v>46198</v>
      </c>
      <c r="L276" s="69" t="s">
        <v>22</v>
      </c>
      <c r="M276" s="55">
        <v>46191</v>
      </c>
      <c r="N276" s="106" t="s">
        <v>353</v>
      </c>
      <c r="O276" s="34"/>
      <c r="P276" s="33"/>
      <c r="Q276" s="6"/>
      <c r="R276" s="60"/>
    </row>
    <row r="277" spans="1:18" ht="15" customHeight="1">
      <c r="A277" s="86" t="s">
        <v>836</v>
      </c>
      <c r="B277" s="86" t="s">
        <v>837</v>
      </c>
      <c r="C277" s="13">
        <v>46188</v>
      </c>
      <c r="D277" s="111" t="s">
        <v>723</v>
      </c>
      <c r="E277" s="94" t="s">
        <v>838</v>
      </c>
      <c r="F277" s="94" t="s">
        <v>653</v>
      </c>
      <c r="G277" s="112" t="s">
        <v>419</v>
      </c>
      <c r="H277" s="97">
        <v>24622.73</v>
      </c>
      <c r="I277" s="35">
        <v>24622.73</v>
      </c>
      <c r="J277" s="76">
        <f>CobrosPendientes3[[#This Row],[Importe]]-CobrosPendientes3[[#This Row],[Imp cobrado]]</f>
        <v>0</v>
      </c>
      <c r="K277" s="40">
        <v>46206</v>
      </c>
      <c r="L277" s="69" t="s">
        <v>22</v>
      </c>
      <c r="M277" s="55">
        <v>46195</v>
      </c>
      <c r="N277" s="106" t="s">
        <v>353</v>
      </c>
      <c r="O277" s="34"/>
      <c r="P277" s="33"/>
      <c r="Q277" s="6"/>
      <c r="R277" s="110"/>
    </row>
    <row r="278" spans="1:18" ht="15" customHeight="1">
      <c r="A278" s="86" t="s">
        <v>839</v>
      </c>
      <c r="B278" s="86" t="s">
        <v>840</v>
      </c>
      <c r="C278" s="13">
        <v>46188</v>
      </c>
      <c r="D278" s="111" t="s">
        <v>723</v>
      </c>
      <c r="E278" s="94" t="s">
        <v>841</v>
      </c>
      <c r="F278" s="94" t="s">
        <v>653</v>
      </c>
      <c r="G278" s="112" t="s">
        <v>419</v>
      </c>
      <c r="H278" s="97">
        <v>50858.74</v>
      </c>
      <c r="I278" s="35">
        <v>50858.74</v>
      </c>
      <c r="J278" s="76">
        <f>CobrosPendientes3[[#This Row],[Importe]]-CobrosPendientes3[[#This Row],[Imp cobrado]]</f>
        <v>0</v>
      </c>
      <c r="K278" s="40">
        <v>46206</v>
      </c>
      <c r="L278" s="69" t="s">
        <v>22</v>
      </c>
      <c r="M278" s="55">
        <v>46195</v>
      </c>
      <c r="N278" s="106" t="s">
        <v>353</v>
      </c>
      <c r="O278" s="34"/>
      <c r="P278" s="33"/>
      <c r="Q278" s="6"/>
      <c r="R278" s="110"/>
    </row>
    <row r="279" spans="1:18" ht="15" customHeight="1">
      <c r="A279" s="86" t="s">
        <v>842</v>
      </c>
      <c r="B279" s="86" t="s">
        <v>843</v>
      </c>
      <c r="C279" s="13">
        <v>46188</v>
      </c>
      <c r="D279" s="111" t="s">
        <v>723</v>
      </c>
      <c r="E279" s="94" t="s">
        <v>844</v>
      </c>
      <c r="F279" s="94" t="s">
        <v>653</v>
      </c>
      <c r="G279" s="112" t="s">
        <v>419</v>
      </c>
      <c r="H279" s="97">
        <v>68102.64</v>
      </c>
      <c r="I279" s="35">
        <v>68102.64</v>
      </c>
      <c r="J279" s="76">
        <f>CobrosPendientes3[[#This Row],[Importe]]-CobrosPendientes3[[#This Row],[Imp cobrado]]</f>
        <v>0</v>
      </c>
      <c r="K279" s="40">
        <v>46206</v>
      </c>
      <c r="L279" s="69" t="s">
        <v>22</v>
      </c>
      <c r="M279" s="55">
        <v>46195</v>
      </c>
      <c r="N279" s="106" t="s">
        <v>353</v>
      </c>
      <c r="O279" s="34"/>
      <c r="P279" s="33"/>
      <c r="Q279" s="6"/>
      <c r="R279" s="60"/>
    </row>
    <row r="280" spans="1:18" ht="15" customHeight="1">
      <c r="A280" s="86" t="s">
        <v>845</v>
      </c>
      <c r="B280" s="86" t="s">
        <v>846</v>
      </c>
      <c r="C280" s="13">
        <v>46188</v>
      </c>
      <c r="D280" s="111" t="s">
        <v>723</v>
      </c>
      <c r="E280" s="94" t="s">
        <v>847</v>
      </c>
      <c r="F280" s="94" t="s">
        <v>653</v>
      </c>
      <c r="G280" s="112" t="s">
        <v>419</v>
      </c>
      <c r="H280" s="97">
        <v>43624.49</v>
      </c>
      <c r="I280" s="35">
        <v>43624.49</v>
      </c>
      <c r="J280" s="76">
        <f>CobrosPendientes3[[#This Row],[Importe]]-CobrosPendientes3[[#This Row],[Imp cobrado]]</f>
        <v>0</v>
      </c>
      <c r="K280" s="40">
        <v>46206</v>
      </c>
      <c r="L280" s="69" t="s">
        <v>22</v>
      </c>
      <c r="M280" s="55">
        <v>46195</v>
      </c>
      <c r="N280" s="106" t="s">
        <v>353</v>
      </c>
      <c r="O280" s="34"/>
      <c r="P280" s="33"/>
      <c r="Q280" s="6"/>
      <c r="R280" s="60"/>
    </row>
    <row r="281" spans="1:18" ht="15" customHeight="1">
      <c r="A281" s="86" t="s">
        <v>848</v>
      </c>
      <c r="B281" s="86" t="s">
        <v>849</v>
      </c>
      <c r="C281" s="13">
        <v>46188</v>
      </c>
      <c r="D281" s="111" t="s">
        <v>723</v>
      </c>
      <c r="E281" s="94" t="s">
        <v>850</v>
      </c>
      <c r="F281" s="94" t="s">
        <v>653</v>
      </c>
      <c r="G281" s="112" t="s">
        <v>419</v>
      </c>
      <c r="H281" s="97">
        <v>40614.379999999997</v>
      </c>
      <c r="I281" s="35">
        <v>40614.379999999997</v>
      </c>
      <c r="J281" s="76">
        <f>CobrosPendientes3[[#This Row],[Importe]]-CobrosPendientes3[[#This Row],[Imp cobrado]]</f>
        <v>0</v>
      </c>
      <c r="K281" s="40">
        <v>46206</v>
      </c>
      <c r="L281" s="69" t="s">
        <v>22</v>
      </c>
      <c r="M281" s="55">
        <v>46195</v>
      </c>
      <c r="N281" s="106" t="s">
        <v>353</v>
      </c>
      <c r="O281" s="34"/>
      <c r="P281" s="33"/>
      <c r="Q281" s="6"/>
      <c r="R281" s="60"/>
    </row>
    <row r="282" spans="1:18" ht="15" customHeight="1">
      <c r="A282" s="25" t="s">
        <v>851</v>
      </c>
      <c r="B282" s="25" t="s">
        <v>852</v>
      </c>
      <c r="C282" s="20">
        <v>46189</v>
      </c>
      <c r="D282" s="123" t="s">
        <v>585</v>
      </c>
      <c r="E282" s="98" t="s">
        <v>853</v>
      </c>
      <c r="F282" s="98" t="s">
        <v>402</v>
      </c>
      <c r="G282" s="124" t="s">
        <v>392</v>
      </c>
      <c r="H282" s="108">
        <v>800</v>
      </c>
      <c r="I282" s="7"/>
      <c r="J282" s="7">
        <f>CobrosPendientes3[[#This Row],[Importe]]-CobrosPendientes3[[#This Row],[Imp cobrado]]</f>
        <v>800</v>
      </c>
      <c r="K282" s="3"/>
      <c r="L282" s="3"/>
      <c r="M282" s="55">
        <v>46189</v>
      </c>
      <c r="N282" s="106" t="s">
        <v>353</v>
      </c>
      <c r="O282" s="34"/>
      <c r="P282" s="33"/>
      <c r="Q282" s="6"/>
      <c r="R282" s="60"/>
    </row>
    <row r="283" spans="1:18" ht="15" customHeight="1">
      <c r="A283" s="25" t="s">
        <v>854</v>
      </c>
      <c r="B283" s="25" t="s">
        <v>855</v>
      </c>
      <c r="C283" s="20">
        <v>46189</v>
      </c>
      <c r="D283" s="123" t="s">
        <v>585</v>
      </c>
      <c r="E283" s="98" t="s">
        <v>856</v>
      </c>
      <c r="F283" s="98" t="s">
        <v>402</v>
      </c>
      <c r="G283" s="124" t="s">
        <v>392</v>
      </c>
      <c r="H283" s="108">
        <v>1300</v>
      </c>
      <c r="I283" s="7"/>
      <c r="J283" s="7">
        <f>CobrosPendientes3[[#This Row],[Importe]]-CobrosPendientes3[[#This Row],[Imp cobrado]]</f>
        <v>1300</v>
      </c>
      <c r="K283" s="3"/>
      <c r="L283" s="3"/>
      <c r="M283" s="55">
        <v>46189</v>
      </c>
      <c r="N283" s="106" t="s">
        <v>353</v>
      </c>
      <c r="O283" s="34"/>
      <c r="P283" s="33"/>
      <c r="Q283" s="6"/>
      <c r="R283" s="60"/>
    </row>
    <row r="284" spans="1:18" ht="15" customHeight="1">
      <c r="A284" s="25" t="s">
        <v>857</v>
      </c>
      <c r="B284" s="25" t="s">
        <v>858</v>
      </c>
      <c r="C284" s="20">
        <v>46189</v>
      </c>
      <c r="D284" s="123" t="s">
        <v>585</v>
      </c>
      <c r="E284" s="98" t="s">
        <v>859</v>
      </c>
      <c r="F284" s="98" t="s">
        <v>402</v>
      </c>
      <c r="G284" s="124" t="s">
        <v>392</v>
      </c>
      <c r="H284" s="108">
        <v>800</v>
      </c>
      <c r="I284" s="7"/>
      <c r="J284" s="7">
        <f>CobrosPendientes3[[#This Row],[Importe]]-CobrosPendientes3[[#This Row],[Imp cobrado]]</f>
        <v>800</v>
      </c>
      <c r="K284" s="3"/>
      <c r="L284" s="3"/>
      <c r="M284" s="55">
        <v>46189</v>
      </c>
      <c r="N284" s="106" t="s">
        <v>353</v>
      </c>
      <c r="O284" s="34"/>
      <c r="P284" s="33"/>
      <c r="Q284" s="6"/>
      <c r="R284" s="60"/>
    </row>
    <row r="285" spans="1:18" ht="15" customHeight="1">
      <c r="A285" s="25" t="s">
        <v>860</v>
      </c>
      <c r="B285" s="25" t="s">
        <v>861</v>
      </c>
      <c r="C285" s="20">
        <v>46189</v>
      </c>
      <c r="D285" s="123" t="s">
        <v>585</v>
      </c>
      <c r="E285" s="98" t="s">
        <v>862</v>
      </c>
      <c r="F285" s="98" t="s">
        <v>402</v>
      </c>
      <c r="G285" s="124" t="s">
        <v>392</v>
      </c>
      <c r="H285" s="108">
        <v>800</v>
      </c>
      <c r="I285" s="7"/>
      <c r="J285" s="7">
        <f>CobrosPendientes3[[#This Row],[Importe]]-CobrosPendientes3[[#This Row],[Imp cobrado]]</f>
        <v>800</v>
      </c>
      <c r="K285" s="3"/>
      <c r="L285" s="3"/>
      <c r="M285" s="55">
        <v>46189</v>
      </c>
      <c r="N285" s="106" t="s">
        <v>353</v>
      </c>
      <c r="O285" s="34"/>
      <c r="P285" s="33"/>
      <c r="Q285" s="6"/>
      <c r="R285" s="60"/>
    </row>
    <row r="286" spans="1:18" ht="15" customHeight="1">
      <c r="A286" s="86" t="s">
        <v>863</v>
      </c>
      <c r="B286" s="86" t="s">
        <v>864</v>
      </c>
      <c r="C286" s="13">
        <v>46189</v>
      </c>
      <c r="D286" s="111" t="s">
        <v>723</v>
      </c>
      <c r="E286" s="94" t="s">
        <v>865</v>
      </c>
      <c r="F286" s="94" t="s">
        <v>653</v>
      </c>
      <c r="G286" s="112" t="s">
        <v>419</v>
      </c>
      <c r="H286" s="97">
        <v>31190.75</v>
      </c>
      <c r="I286" s="35">
        <v>31190.75</v>
      </c>
      <c r="J286" s="35">
        <f>CobrosPendientes3[[#This Row],[Importe]]-CobrosPendientes3[[#This Row],[Imp cobrado]]</f>
        <v>0</v>
      </c>
      <c r="K286" s="40">
        <v>46206</v>
      </c>
      <c r="L286" s="69" t="s">
        <v>22</v>
      </c>
      <c r="M286" s="55">
        <v>46196</v>
      </c>
      <c r="N286" s="106" t="s">
        <v>353</v>
      </c>
      <c r="O286" s="34"/>
      <c r="P286" s="33"/>
      <c r="Q286" s="6"/>
      <c r="R286" s="60"/>
    </row>
    <row r="287" spans="1:18" ht="15" customHeight="1">
      <c r="A287" s="25" t="s">
        <v>866</v>
      </c>
      <c r="B287" s="25" t="s">
        <v>867</v>
      </c>
      <c r="C287" s="20">
        <v>46190</v>
      </c>
      <c r="D287" s="123" t="s">
        <v>868</v>
      </c>
      <c r="E287" s="98" t="s">
        <v>869</v>
      </c>
      <c r="F287" s="98" t="s">
        <v>750</v>
      </c>
      <c r="G287" s="124" t="s">
        <v>392</v>
      </c>
      <c r="H287" s="108">
        <v>15513.52</v>
      </c>
      <c r="I287" s="7"/>
      <c r="J287" s="7">
        <f>CobrosPendientes3[[#This Row],[Importe]]-CobrosPendientes3[[#This Row],[Imp cobrado]]</f>
        <v>15513.52</v>
      </c>
      <c r="K287" s="3"/>
      <c r="L287" s="3"/>
      <c r="M287" s="55">
        <v>46190</v>
      </c>
      <c r="N287" s="30" t="s">
        <v>353</v>
      </c>
      <c r="O287" s="34"/>
      <c r="P287" s="33"/>
      <c r="Q287" s="6"/>
      <c r="R287" s="60"/>
    </row>
    <row r="288" spans="1:18" ht="15" customHeight="1">
      <c r="A288" s="25" t="s">
        <v>870</v>
      </c>
      <c r="B288" s="25" t="s">
        <v>871</v>
      </c>
      <c r="C288" s="20">
        <v>46190</v>
      </c>
      <c r="D288" s="123" t="s">
        <v>585</v>
      </c>
      <c r="E288" s="98" t="s">
        <v>872</v>
      </c>
      <c r="F288" s="98" t="s">
        <v>873</v>
      </c>
      <c r="G288" s="124" t="s">
        <v>392</v>
      </c>
      <c r="H288" s="97">
        <v>1200</v>
      </c>
      <c r="I288" s="35">
        <v>1200</v>
      </c>
      <c r="J288" s="35">
        <f>CobrosPendientes3[[#This Row],[Importe]]-CobrosPendientes3[[#This Row],[Imp cobrado]]</f>
        <v>0</v>
      </c>
      <c r="K288" s="40">
        <v>46195</v>
      </c>
      <c r="L288" s="69" t="s">
        <v>22</v>
      </c>
      <c r="M288" s="55">
        <v>46190</v>
      </c>
      <c r="N288" s="30"/>
      <c r="O288" s="34"/>
      <c r="P288" s="33"/>
      <c r="Q288" s="6"/>
      <c r="R288" s="60"/>
    </row>
    <row r="289" spans="1:18" ht="15" customHeight="1">
      <c r="A289" s="25" t="s">
        <v>874</v>
      </c>
      <c r="B289" s="25" t="s">
        <v>875</v>
      </c>
      <c r="C289" s="20">
        <v>46190</v>
      </c>
      <c r="D289" s="123" t="s">
        <v>585</v>
      </c>
      <c r="E289" s="98" t="s">
        <v>876</v>
      </c>
      <c r="F289" s="98" t="s">
        <v>873</v>
      </c>
      <c r="G289" s="124" t="s">
        <v>392</v>
      </c>
      <c r="H289" s="97">
        <v>1400</v>
      </c>
      <c r="I289" s="35">
        <v>1400</v>
      </c>
      <c r="J289" s="35">
        <f>CobrosPendientes3[[#This Row],[Importe]]-CobrosPendientes3[[#This Row],[Imp cobrado]]</f>
        <v>0</v>
      </c>
      <c r="K289" s="40">
        <v>46195</v>
      </c>
      <c r="L289" s="69" t="s">
        <v>22</v>
      </c>
      <c r="M289" s="55">
        <v>46190</v>
      </c>
      <c r="N289" s="30"/>
      <c r="O289" s="34"/>
      <c r="P289" s="33"/>
      <c r="Q289" s="6"/>
      <c r="R289" s="60"/>
    </row>
    <row r="290" spans="1:18" ht="15" customHeight="1">
      <c r="A290" s="86" t="s">
        <v>877</v>
      </c>
      <c r="B290" s="86" t="s">
        <v>878</v>
      </c>
      <c r="C290" s="13">
        <v>46191</v>
      </c>
      <c r="D290" s="111" t="s">
        <v>738</v>
      </c>
      <c r="E290" s="94" t="s">
        <v>546</v>
      </c>
      <c r="F290" s="94" t="s">
        <v>575</v>
      </c>
      <c r="G290" s="112">
        <v>25</v>
      </c>
      <c r="H290" s="97">
        <v>89066.91</v>
      </c>
      <c r="I290" s="35">
        <v>89066.91</v>
      </c>
      <c r="J290" s="35">
        <f>CobrosPendientes3[[#This Row],[Importe]]-CobrosPendientes3[[#This Row],[Imp cobrado]]</f>
        <v>0</v>
      </c>
      <c r="K290" s="40">
        <v>46195</v>
      </c>
      <c r="L290" s="69" t="s">
        <v>22</v>
      </c>
      <c r="M290" s="55" t="s">
        <v>879</v>
      </c>
      <c r="N290" s="30"/>
      <c r="O290" s="34"/>
      <c r="P290" s="33"/>
      <c r="Q290" s="6"/>
      <c r="R290" s="60"/>
    </row>
    <row r="291" spans="1:18" ht="15" customHeight="1">
      <c r="A291" s="12" t="s">
        <v>371</v>
      </c>
      <c r="B291" s="12" t="s">
        <v>880</v>
      </c>
      <c r="C291" s="13">
        <v>46078</v>
      </c>
      <c r="D291" s="12" t="s">
        <v>881</v>
      </c>
      <c r="E291" s="12" t="s">
        <v>176</v>
      </c>
      <c r="F291" s="12" t="s">
        <v>21</v>
      </c>
      <c r="G291" s="14">
        <v>50</v>
      </c>
      <c r="H291" s="35">
        <v>63671.07</v>
      </c>
      <c r="I291" s="35">
        <v>63671.07</v>
      </c>
      <c r="J291" s="35">
        <f>CobrosPendientes3[[#This Row],[Importe]]-CobrosPendientes3[[#This Row],[Imp cobrado]]</f>
        <v>0</v>
      </c>
      <c r="K291" s="40">
        <v>46101</v>
      </c>
      <c r="L291" s="69" t="s">
        <v>22</v>
      </c>
      <c r="M291" s="55">
        <v>46083</v>
      </c>
      <c r="N291" s="30"/>
      <c r="O291" s="34"/>
      <c r="P291" s="118"/>
      <c r="Q291" s="119"/>
      <c r="R291" s="117"/>
    </row>
    <row r="292" spans="1:18" ht="15" customHeight="1">
      <c r="A292" s="12" t="s">
        <v>882</v>
      </c>
      <c r="B292" s="12" t="s">
        <v>883</v>
      </c>
      <c r="C292" s="13">
        <v>46192</v>
      </c>
      <c r="D292" s="12" t="s">
        <v>373</v>
      </c>
      <c r="E292" s="12" t="s">
        <v>176</v>
      </c>
      <c r="F292" s="12" t="s">
        <v>225</v>
      </c>
      <c r="G292" s="12">
        <v>100</v>
      </c>
      <c r="H292" s="35">
        <v>4080.38</v>
      </c>
      <c r="I292" s="35"/>
      <c r="J292" s="35">
        <f>CobrosPendientes3[[#This Row],[Importe]]-CobrosPendientes3[[#This Row],[Imp cobrado]]</f>
        <v>4080.38</v>
      </c>
      <c r="K292" s="40">
        <v>46086</v>
      </c>
      <c r="L292" s="69" t="s">
        <v>22</v>
      </c>
      <c r="M292" s="55"/>
      <c r="N292" s="30" t="s">
        <v>884</v>
      </c>
      <c r="O292" s="34"/>
      <c r="P292" s="33"/>
      <c r="Q292" s="6"/>
      <c r="R292" s="60"/>
    </row>
    <row r="293" spans="1:18" ht="15" customHeight="1">
      <c r="A293" s="12" t="s">
        <v>885</v>
      </c>
      <c r="B293" s="12" t="s">
        <v>883</v>
      </c>
      <c r="C293" s="13">
        <v>46192</v>
      </c>
      <c r="D293" s="12" t="s">
        <v>373</v>
      </c>
      <c r="E293" s="12" t="s">
        <v>176</v>
      </c>
      <c r="F293" s="12" t="s">
        <v>67</v>
      </c>
      <c r="G293" s="14" t="s">
        <v>385</v>
      </c>
      <c r="H293" s="35">
        <v>31835.54</v>
      </c>
      <c r="I293" s="35"/>
      <c r="J293" s="35">
        <f>CobrosPendientes3[[#This Row],[Importe]]-CobrosPendientes3[[#This Row],[Imp cobrado]]</f>
        <v>31835.54</v>
      </c>
      <c r="K293" s="40">
        <v>46044</v>
      </c>
      <c r="L293" s="69" t="s">
        <v>22</v>
      </c>
      <c r="M293" s="55"/>
      <c r="N293" s="30" t="s">
        <v>884</v>
      </c>
      <c r="O293" s="34"/>
      <c r="P293" s="33"/>
      <c r="Q293" s="6"/>
      <c r="R293" s="60"/>
    </row>
    <row r="294" spans="1:18" ht="15" customHeight="1">
      <c r="A294" s="21" t="s">
        <v>886</v>
      </c>
      <c r="B294" s="21" t="s">
        <v>887</v>
      </c>
      <c r="C294" s="20">
        <v>46196</v>
      </c>
      <c r="D294" s="21" t="s">
        <v>526</v>
      </c>
      <c r="E294" s="21" t="s">
        <v>397</v>
      </c>
      <c r="F294" s="21" t="s">
        <v>706</v>
      </c>
      <c r="G294" s="22" t="s">
        <v>468</v>
      </c>
      <c r="H294" s="35">
        <v>31075.74</v>
      </c>
      <c r="I294" s="35">
        <v>31075.74</v>
      </c>
      <c r="J294" s="35">
        <f>CobrosPendientes3[[#This Row],[Importe]]-CobrosPendientes3[[#This Row],[Imp cobrado]]</f>
        <v>0</v>
      </c>
      <c r="K294" s="40">
        <v>46197</v>
      </c>
      <c r="L294" s="69" t="s">
        <v>22</v>
      </c>
      <c r="M294" s="55">
        <v>46199</v>
      </c>
      <c r="N294" s="30"/>
      <c r="O294" s="34"/>
      <c r="P294" s="33"/>
      <c r="Q294" s="6"/>
      <c r="R294" s="60"/>
    </row>
    <row r="295" spans="1:18" ht="15" customHeight="1">
      <c r="A295" s="21" t="s">
        <v>888</v>
      </c>
      <c r="B295" s="21" t="s">
        <v>889</v>
      </c>
      <c r="C295" s="20">
        <v>46196</v>
      </c>
      <c r="D295" s="21" t="s">
        <v>30</v>
      </c>
      <c r="E295" s="21" t="s">
        <v>890</v>
      </c>
      <c r="F295" s="93" t="s">
        <v>891</v>
      </c>
      <c r="G295" s="22" t="s">
        <v>392</v>
      </c>
      <c r="H295" s="35">
        <v>3077.63</v>
      </c>
      <c r="I295" s="35">
        <v>3077.63</v>
      </c>
      <c r="J295" s="35">
        <f>CobrosPendientes3[[#This Row],[Importe]]-CobrosPendientes3[[#This Row],[Imp cobrado]]</f>
        <v>0</v>
      </c>
      <c r="K295" s="40">
        <v>46198</v>
      </c>
      <c r="L295" s="69" t="s">
        <v>22</v>
      </c>
      <c r="M295" s="55">
        <v>46196</v>
      </c>
      <c r="N295" s="30"/>
      <c r="O295" s="34"/>
      <c r="P295" s="33"/>
      <c r="Q295" s="6"/>
      <c r="R295" s="60"/>
    </row>
    <row r="296" spans="1:18" ht="14.25" customHeight="1">
      <c r="A296" s="21" t="s">
        <v>892</v>
      </c>
      <c r="B296" s="21" t="s">
        <v>893</v>
      </c>
      <c r="C296" s="20">
        <v>46197</v>
      </c>
      <c r="D296" s="21" t="s">
        <v>167</v>
      </c>
      <c r="E296" s="21" t="s">
        <v>168</v>
      </c>
      <c r="F296" s="21" t="s">
        <v>575</v>
      </c>
      <c r="G296" s="22" t="s">
        <v>382</v>
      </c>
      <c r="H296" s="7">
        <v>13800</v>
      </c>
      <c r="I296" s="7"/>
      <c r="J296" s="7">
        <f>CobrosPendientes3[[#This Row],[Importe]]-CobrosPendientes3[[#This Row],[Imp cobrado]]</f>
        <v>13800</v>
      </c>
      <c r="K296" s="55"/>
      <c r="L296" s="3"/>
      <c r="M296" s="55">
        <v>46212</v>
      </c>
      <c r="N296" s="30"/>
      <c r="O296" s="34"/>
      <c r="P296" s="33"/>
      <c r="Q296" s="6"/>
      <c r="R296" s="60"/>
    </row>
    <row r="297" spans="1:18" ht="15" customHeight="1">
      <c r="A297" s="21" t="s">
        <v>894</v>
      </c>
      <c r="B297" s="21" t="s">
        <v>895</v>
      </c>
      <c r="C297" s="20">
        <v>46197</v>
      </c>
      <c r="D297" s="21" t="s">
        <v>307</v>
      </c>
      <c r="E297" s="21" t="s">
        <v>308</v>
      </c>
      <c r="F297" s="21" t="s">
        <v>896</v>
      </c>
      <c r="G297" s="22" t="s">
        <v>377</v>
      </c>
      <c r="H297" s="7">
        <v>7064.93</v>
      </c>
      <c r="I297" s="7"/>
      <c r="J297" s="7">
        <f>CobrosPendientes3[[#This Row],[Importe]]-CobrosPendientes3[[#This Row],[Imp cobrado]]</f>
        <v>7064.93</v>
      </c>
      <c r="K297" s="55"/>
      <c r="L297" s="3"/>
      <c r="M297" s="55">
        <v>46200</v>
      </c>
      <c r="N297" s="30"/>
      <c r="O297" s="34"/>
      <c r="P297" s="33"/>
      <c r="Q297" s="6"/>
      <c r="R297" s="60"/>
    </row>
    <row r="298" spans="1:18" ht="15" customHeight="1">
      <c r="A298" s="12" t="s">
        <v>897</v>
      </c>
      <c r="B298" s="12" t="s">
        <v>898</v>
      </c>
      <c r="C298" s="13">
        <v>46203</v>
      </c>
      <c r="D298" s="12" t="s">
        <v>400</v>
      </c>
      <c r="E298" s="12" t="s">
        <v>899</v>
      </c>
      <c r="F298" s="12" t="s">
        <v>225</v>
      </c>
      <c r="G298" s="14" t="s">
        <v>392</v>
      </c>
      <c r="H298" s="7">
        <v>16579.68</v>
      </c>
      <c r="I298" s="7"/>
      <c r="J298" s="7">
        <f>CobrosPendientes3[[#This Row],[Importe]]-CobrosPendientes3[[#This Row],[Imp cobrado]]</f>
        <v>16579.68</v>
      </c>
      <c r="L298" s="3"/>
      <c r="M298" s="55">
        <v>46203</v>
      </c>
      <c r="N298" s="30"/>
      <c r="O298" s="34"/>
      <c r="P298" s="33"/>
      <c r="Q298" s="6"/>
      <c r="R298" s="60"/>
    </row>
    <row r="299" spans="1:18" ht="15" customHeight="1">
      <c r="A299" s="12" t="s">
        <v>900</v>
      </c>
      <c r="B299" s="12" t="s">
        <v>901</v>
      </c>
      <c r="C299" s="13">
        <v>46203</v>
      </c>
      <c r="D299" s="12" t="s">
        <v>902</v>
      </c>
      <c r="E299" s="12" t="s">
        <v>903</v>
      </c>
      <c r="F299" s="12" t="s">
        <v>904</v>
      </c>
      <c r="G299" s="14" t="s">
        <v>392</v>
      </c>
      <c r="H299" s="7">
        <v>789</v>
      </c>
      <c r="I299" s="7"/>
      <c r="J299" s="7">
        <f>CobrosPendientes3[[#This Row],[Importe]]-CobrosPendientes3[[#This Row],[Imp cobrado]]</f>
        <v>789</v>
      </c>
      <c r="K299" s="55"/>
      <c r="L299" s="3"/>
      <c r="M299" s="55">
        <v>46203</v>
      </c>
      <c r="N299" s="30"/>
      <c r="O299" s="34"/>
      <c r="P299" s="33"/>
      <c r="Q299" s="6"/>
      <c r="R299" s="60"/>
    </row>
    <row r="300" spans="1:18" ht="15" customHeight="1">
      <c r="A300" s="21" t="s">
        <v>905</v>
      </c>
      <c r="B300" s="21" t="s">
        <v>906</v>
      </c>
      <c r="C300" s="20">
        <v>46203</v>
      </c>
      <c r="D300" s="21" t="s">
        <v>907</v>
      </c>
      <c r="E300" s="21" t="s">
        <v>91</v>
      </c>
      <c r="F300" s="21" t="s">
        <v>127</v>
      </c>
      <c r="G300" s="22">
        <v>5</v>
      </c>
      <c r="H300" s="7">
        <v>16955.05</v>
      </c>
      <c r="I300" s="7"/>
      <c r="J300" s="7">
        <f>CobrosPendientes3[[#This Row],[Importe]]-CobrosPendientes3[[#This Row],[Imp cobrado]]</f>
        <v>16955.05</v>
      </c>
      <c r="K300" s="3"/>
      <c r="L300" s="3"/>
      <c r="M300" s="55">
        <v>46233</v>
      </c>
      <c r="N300" s="30"/>
      <c r="O300" s="34"/>
      <c r="P300" s="33"/>
      <c r="Q300" s="6"/>
      <c r="R300" s="60"/>
    </row>
    <row r="301" spans="1:18" ht="15" customHeight="1">
      <c r="A301" s="21" t="s">
        <v>908</v>
      </c>
      <c r="B301" s="21" t="s">
        <v>909</v>
      </c>
      <c r="C301" s="20">
        <v>46203</v>
      </c>
      <c r="D301" s="21" t="s">
        <v>167</v>
      </c>
      <c r="E301" s="21" t="s">
        <v>638</v>
      </c>
      <c r="F301" s="21" t="s">
        <v>24</v>
      </c>
      <c r="G301" s="22">
        <v>10</v>
      </c>
      <c r="H301" s="7">
        <v>2399</v>
      </c>
      <c r="I301" s="7"/>
      <c r="J301" s="7">
        <f>CobrosPendientes3[[#This Row],[Importe]]-CobrosPendientes3[[#This Row],[Imp cobrado]]</f>
        <v>2399</v>
      </c>
      <c r="K301" s="3"/>
      <c r="L301" s="3"/>
      <c r="M301" s="55">
        <v>46218</v>
      </c>
      <c r="N301" s="30"/>
      <c r="O301" s="34"/>
      <c r="P301" s="33"/>
      <c r="Q301" s="6"/>
      <c r="R301" s="60"/>
    </row>
    <row r="302" spans="1:18" ht="15" customHeight="1">
      <c r="A302" s="21" t="s">
        <v>910</v>
      </c>
      <c r="B302" s="21" t="s">
        <v>911</v>
      </c>
      <c r="C302" s="20">
        <v>46203</v>
      </c>
      <c r="D302" s="21" t="s">
        <v>167</v>
      </c>
      <c r="E302" s="21" t="s">
        <v>511</v>
      </c>
      <c r="F302" s="21" t="s">
        <v>912</v>
      </c>
      <c r="G302" s="22">
        <v>10</v>
      </c>
      <c r="H302" s="7">
        <v>22200</v>
      </c>
      <c r="I302" s="7"/>
      <c r="J302" s="7">
        <f>CobrosPendientes3[[#This Row],[Importe]]-CobrosPendientes3[[#This Row],[Imp cobrado]]</f>
        <v>22200</v>
      </c>
      <c r="K302" s="55"/>
      <c r="L302" s="3"/>
      <c r="M302" s="55">
        <v>46218</v>
      </c>
      <c r="N302" s="30"/>
      <c r="O302" s="34"/>
      <c r="P302" s="33"/>
      <c r="Q302" s="6"/>
      <c r="R302" s="60"/>
    </row>
    <row r="303" spans="1:18" ht="15" customHeight="1">
      <c r="A303" s="21" t="s">
        <v>913</v>
      </c>
      <c r="B303" s="21" t="s">
        <v>914</v>
      </c>
      <c r="C303" s="20">
        <v>46203</v>
      </c>
      <c r="D303" s="21" t="s">
        <v>545</v>
      </c>
      <c r="E303" s="21" t="s">
        <v>550</v>
      </c>
      <c r="F303" s="21" t="s">
        <v>575</v>
      </c>
      <c r="G303" s="22">
        <v>5</v>
      </c>
      <c r="H303" s="35">
        <v>6383.04</v>
      </c>
      <c r="I303" s="35">
        <v>6383.04</v>
      </c>
      <c r="J303" s="35">
        <f>CobrosPendientes3[[#This Row],[Importe]]-CobrosPendientes3[[#This Row],[Imp cobrado]]</f>
        <v>0</v>
      </c>
      <c r="K303" s="40">
        <v>46205</v>
      </c>
      <c r="L303" s="69" t="s">
        <v>22</v>
      </c>
      <c r="M303" s="55">
        <v>46233</v>
      </c>
      <c r="N303" s="106" t="s">
        <v>353</v>
      </c>
      <c r="O303" s="34"/>
      <c r="P303" s="33"/>
      <c r="Q303" s="6"/>
      <c r="R303" s="60"/>
    </row>
    <row r="304" spans="1:18" ht="15.75">
      <c r="A304" s="12" t="s">
        <v>915</v>
      </c>
      <c r="B304" s="12" t="s">
        <v>916</v>
      </c>
      <c r="C304" s="13">
        <v>46205</v>
      </c>
      <c r="D304" s="12" t="s">
        <v>779</v>
      </c>
      <c r="E304" s="12" t="s">
        <v>780</v>
      </c>
      <c r="F304" s="12" t="s">
        <v>917</v>
      </c>
      <c r="G304" s="14" t="s">
        <v>385</v>
      </c>
      <c r="H304" s="35">
        <v>88963.16</v>
      </c>
      <c r="I304" s="35">
        <v>88963.16</v>
      </c>
      <c r="J304" s="35">
        <f>CobrosPendientes3[[#This Row],[Importe]]-CobrosPendientes3[[#This Row],[Imp cobrado]]</f>
        <v>0</v>
      </c>
      <c r="K304" s="40">
        <v>46210</v>
      </c>
      <c r="L304" s="69" t="s">
        <v>22</v>
      </c>
      <c r="M304" s="55">
        <v>46208</v>
      </c>
      <c r="N304" s="30" t="s">
        <v>918</v>
      </c>
      <c r="O304" s="34"/>
      <c r="P304" s="33"/>
      <c r="Q304" s="6"/>
      <c r="R304" s="60"/>
    </row>
    <row r="305" spans="1:18" ht="15" customHeight="1">
      <c r="A305" s="12" t="s">
        <v>919</v>
      </c>
      <c r="B305" s="12" t="s">
        <v>920</v>
      </c>
      <c r="C305" s="13">
        <v>46205</v>
      </c>
      <c r="D305" s="12" t="s">
        <v>921</v>
      </c>
      <c r="E305" s="12" t="s">
        <v>922</v>
      </c>
      <c r="F305" s="12" t="s">
        <v>662</v>
      </c>
      <c r="G305" s="14" t="s">
        <v>419</v>
      </c>
      <c r="H305" s="7">
        <v>43242.73</v>
      </c>
      <c r="I305" s="7"/>
      <c r="J305" s="7">
        <f>CobrosPendientes3[[#This Row],[Importe]]-CobrosPendientes3[[#This Row],[Imp cobrado]]</f>
        <v>43242.73</v>
      </c>
      <c r="K305" s="55"/>
      <c r="L305" s="3"/>
      <c r="M305" s="55">
        <v>46208</v>
      </c>
      <c r="N305" s="30" t="s">
        <v>923</v>
      </c>
      <c r="O305" s="34"/>
      <c r="P305" s="33"/>
      <c r="Q305" s="6"/>
      <c r="R305" s="60"/>
    </row>
    <row r="306" spans="1:18" ht="15" customHeight="1">
      <c r="A306" s="12" t="s">
        <v>924</v>
      </c>
      <c r="B306" s="12" t="s">
        <v>925</v>
      </c>
      <c r="C306" s="13">
        <v>46205</v>
      </c>
      <c r="D306" s="12" t="s">
        <v>545</v>
      </c>
      <c r="E306" s="12" t="s">
        <v>550</v>
      </c>
      <c r="F306" s="12" t="s">
        <v>926</v>
      </c>
      <c r="G306" s="14" t="s">
        <v>392</v>
      </c>
      <c r="H306" s="35">
        <v>23000</v>
      </c>
      <c r="I306" s="35">
        <v>23000</v>
      </c>
      <c r="J306" s="35">
        <f>CobrosPendientes3[[#This Row],[Importe]]-CobrosPendientes3[[#This Row],[Imp cobrado]]</f>
        <v>0</v>
      </c>
      <c r="K306" s="40">
        <v>46210</v>
      </c>
      <c r="L306" s="69" t="s">
        <v>22</v>
      </c>
      <c r="M306" s="55">
        <v>46208</v>
      </c>
      <c r="N306" s="30"/>
      <c r="O306" s="34"/>
      <c r="P306" s="33"/>
      <c r="Q306" s="6"/>
      <c r="R306" s="60"/>
    </row>
    <row r="307" spans="1:18" ht="15" customHeight="1">
      <c r="A307" s="12" t="s">
        <v>927</v>
      </c>
      <c r="B307" s="12" t="s">
        <v>928</v>
      </c>
      <c r="C307" s="13">
        <v>46210</v>
      </c>
      <c r="D307" s="12" t="s">
        <v>167</v>
      </c>
      <c r="E307" s="12" t="s">
        <v>206</v>
      </c>
      <c r="F307" s="12" t="s">
        <v>706</v>
      </c>
      <c r="G307" s="14">
        <v>10</v>
      </c>
      <c r="H307" s="7">
        <v>6290</v>
      </c>
      <c r="I307" s="7"/>
      <c r="J307" s="7">
        <f>CobrosPendientes3[[#This Row],[Importe]]-CobrosPendientes3[[#This Row],[Imp cobrado]]</f>
        <v>6290</v>
      </c>
      <c r="K307" s="55"/>
      <c r="L307" s="3"/>
      <c r="M307" s="55">
        <v>46225</v>
      </c>
      <c r="N307" s="30"/>
      <c r="O307" s="34"/>
      <c r="P307" s="33"/>
      <c r="Q307" s="6"/>
      <c r="R307" s="60"/>
    </row>
    <row r="308" spans="1:18" ht="15" customHeight="1">
      <c r="A308" s="12" t="s">
        <v>929</v>
      </c>
      <c r="B308" s="12" t="s">
        <v>930</v>
      </c>
      <c r="C308" s="13">
        <v>46212</v>
      </c>
      <c r="D308" s="12" t="s">
        <v>931</v>
      </c>
      <c r="E308" s="12" t="s">
        <v>932</v>
      </c>
      <c r="F308" s="12" t="s">
        <v>933</v>
      </c>
      <c r="G308" s="14">
        <v>10</v>
      </c>
      <c r="H308" s="7">
        <v>106198.57</v>
      </c>
      <c r="I308" s="7"/>
      <c r="J308" s="7">
        <f>CobrosPendientes3[[#This Row],[Importe]]-CobrosPendientes3[[#This Row],[Imp cobrado]]</f>
        <v>106198.57</v>
      </c>
      <c r="K308" s="55"/>
      <c r="L308" s="3"/>
      <c r="M308" s="55">
        <v>46222</v>
      </c>
      <c r="N308" s="30"/>
      <c r="O308" s="34"/>
      <c r="P308" s="33"/>
      <c r="Q308" s="6"/>
      <c r="R308" s="60"/>
    </row>
    <row r="309" spans="1:18" ht="15" customHeight="1">
      <c r="A309" s="12" t="s">
        <v>934</v>
      </c>
      <c r="B309" s="12" t="s">
        <v>935</v>
      </c>
      <c r="C309" s="13">
        <v>46212</v>
      </c>
      <c r="D309" s="12" t="s">
        <v>931</v>
      </c>
      <c r="E309" s="12" t="s">
        <v>936</v>
      </c>
      <c r="F309" s="12" t="s">
        <v>653</v>
      </c>
      <c r="G309" s="14">
        <v>10</v>
      </c>
      <c r="H309" s="7">
        <v>113362.64</v>
      </c>
      <c r="I309" s="92"/>
      <c r="J309" s="7">
        <f>CobrosPendientes3[[#This Row],[Importe]]-CobrosPendientes3[[#This Row],[Imp cobrado]]</f>
        <v>113362.64</v>
      </c>
      <c r="K309" s="55"/>
      <c r="L309" s="3"/>
      <c r="M309" s="55">
        <v>46222</v>
      </c>
      <c r="N309" s="30"/>
      <c r="O309" s="34"/>
      <c r="P309" s="33"/>
      <c r="Q309" s="6"/>
      <c r="R309" s="60"/>
    </row>
    <row r="310" spans="1:18" ht="15" customHeight="1">
      <c r="A310" s="12" t="s">
        <v>937</v>
      </c>
      <c r="B310" s="12" t="s">
        <v>938</v>
      </c>
      <c r="C310" s="13">
        <v>46213</v>
      </c>
      <c r="D310" s="12" t="s">
        <v>665</v>
      </c>
      <c r="E310" s="12" t="s">
        <v>666</v>
      </c>
      <c r="F310" s="12" t="s">
        <v>939</v>
      </c>
      <c r="G310" s="14">
        <v>50</v>
      </c>
      <c r="H310" s="92">
        <v>33916.9</v>
      </c>
      <c r="I310" s="92"/>
      <c r="J310" s="92">
        <f>CobrosPendientes3[[#This Row],[Importe]]-CobrosPendientes3[[#This Row],[Imp cobrado]]</f>
        <v>33916.9</v>
      </c>
      <c r="K310" s="127"/>
      <c r="M310" s="55">
        <v>46216</v>
      </c>
      <c r="N310" s="30"/>
      <c r="O310" s="34"/>
      <c r="P310" s="33"/>
      <c r="Q310" s="6"/>
      <c r="R310" s="60"/>
    </row>
    <row r="311" spans="1:18" ht="15" customHeight="1">
      <c r="A311" s="12" t="s">
        <v>940</v>
      </c>
      <c r="B311" s="12" t="s">
        <v>941</v>
      </c>
      <c r="C311" s="13">
        <v>46213</v>
      </c>
      <c r="D311" s="12" t="s">
        <v>665</v>
      </c>
      <c r="E311" s="12" t="s">
        <v>669</v>
      </c>
      <c r="F311" s="12" t="s">
        <v>939</v>
      </c>
      <c r="G311" s="14">
        <v>50</v>
      </c>
      <c r="H311" s="92">
        <v>16550.91</v>
      </c>
      <c r="I311" s="92"/>
      <c r="J311" s="92">
        <f>CobrosPendientes3[[#This Row],[Importe]]-CobrosPendientes3[[#This Row],[Imp cobrado]]</f>
        <v>16550.91</v>
      </c>
      <c r="K311" s="127"/>
      <c r="M311" s="55">
        <v>46216</v>
      </c>
      <c r="N311" s="30"/>
      <c r="O311" s="34"/>
      <c r="P311" s="33"/>
      <c r="Q311" s="6"/>
      <c r="R311" s="60"/>
    </row>
    <row r="313" spans="1:18" ht="15" customHeight="1">
      <c r="A313" s="12"/>
      <c r="B313" s="12"/>
      <c r="C313" s="13"/>
      <c r="D313" s="12"/>
      <c r="E313" s="12"/>
      <c r="F313" s="14"/>
      <c r="G313" s="14"/>
      <c r="H313" s="7"/>
      <c r="I313" s="7"/>
      <c r="J313" s="7">
        <f>CobrosPendientes3[[#This Row],[Importe]]-CobrosPendientes3[[#This Row],[Imp cobrado]]</f>
        <v>0</v>
      </c>
      <c r="K313" s="55"/>
      <c r="L313" s="3"/>
      <c r="M313" s="55"/>
      <c r="N313" s="30"/>
      <c r="O313" s="34"/>
      <c r="P313" s="33"/>
      <c r="Q313" s="6"/>
      <c r="R313" s="60"/>
    </row>
    <row r="314" spans="1:18" ht="15" customHeight="1">
      <c r="J314">
        <f>CobrosPendientes3[[#This Row],[Importe]]-CobrosPendientes3[[#This Row],[Imp cobrado]]</f>
        <v>0</v>
      </c>
    </row>
    <row r="316" spans="1:18" ht="15" customHeight="1">
      <c r="J316">
        <f>CobrosPendientes3[[#This Row],[Importe]]-CobrosPendientes3[[#This Row],[Imp cobrado]]</f>
        <v>0</v>
      </c>
    </row>
    <row r="317" spans="1:18" ht="15" customHeight="1">
      <c r="J317">
        <f>CobrosPendientes3[[#This Row],[Importe]]-CobrosPendientes3[[#This Row],[Imp cobrado]]</f>
        <v>0</v>
      </c>
    </row>
    <row r="318" spans="1:18" ht="15" customHeight="1">
      <c r="A318" s="12"/>
      <c r="B318" s="12"/>
      <c r="C318" s="13"/>
      <c r="D318" s="12"/>
      <c r="E318" s="12"/>
      <c r="F318" s="12"/>
      <c r="G318" s="14"/>
      <c r="H318" s="7"/>
      <c r="I318" s="7"/>
      <c r="J318" s="7">
        <f>CobrosPendientes3[[#This Row],[Importe]]-CobrosPendientes3[[#This Row],[Imp cobrado]]</f>
        <v>0</v>
      </c>
      <c r="K318" s="55"/>
      <c r="L318" s="3"/>
      <c r="M318" s="55"/>
      <c r="N318" s="30"/>
      <c r="O318" s="34"/>
      <c r="P318" s="33"/>
      <c r="Q318" s="6"/>
      <c r="R318" s="60"/>
    </row>
    <row r="319" spans="1:18" ht="15" customHeight="1">
      <c r="A319" s="12"/>
      <c r="B319" s="12"/>
      <c r="C319" s="13"/>
      <c r="D319" s="12"/>
      <c r="E319" s="12"/>
      <c r="F319" s="12"/>
      <c r="G319" s="14"/>
      <c r="H319" s="7"/>
      <c r="I319" s="7"/>
      <c r="J319" s="7"/>
      <c r="K319" s="13"/>
      <c r="L319" s="12"/>
      <c r="M319" s="13"/>
      <c r="N319" s="12"/>
      <c r="O319" s="12"/>
      <c r="P319" s="6"/>
      <c r="Q319" s="6"/>
      <c r="R319" s="60"/>
    </row>
    <row r="320" spans="1:18" ht="15" customHeight="1">
      <c r="A320" s="12"/>
      <c r="B320" s="12"/>
      <c r="C320" s="13"/>
      <c r="D320" s="12"/>
      <c r="E320" s="12"/>
      <c r="F320" s="12"/>
      <c r="G320" s="14"/>
      <c r="H320" s="7"/>
      <c r="I320" s="7"/>
      <c r="J320" s="7"/>
      <c r="K320" s="13"/>
      <c r="L320" s="12"/>
      <c r="M320" s="13"/>
      <c r="N320" s="12"/>
      <c r="O320" s="12"/>
      <c r="P320" s="6"/>
      <c r="Q320" s="6"/>
      <c r="R320" s="60"/>
    </row>
    <row r="321" spans="1:18" ht="15.75">
      <c r="A321" s="12"/>
      <c r="B321" s="12"/>
      <c r="C321" s="13"/>
      <c r="D321" s="111"/>
      <c r="G321" s="112"/>
      <c r="H321" s="5"/>
      <c r="I321" s="7"/>
      <c r="J321" s="7"/>
      <c r="K321" s="12"/>
      <c r="L321" s="12"/>
      <c r="M321" s="13"/>
      <c r="N321" s="12"/>
      <c r="O321" s="12"/>
      <c r="P321" s="6"/>
      <c r="Q321" s="6"/>
      <c r="R321" s="60"/>
    </row>
    <row r="322" spans="1:18" ht="15" customHeight="1">
      <c r="D322" s="111"/>
      <c r="G322" s="8" t="s">
        <v>942</v>
      </c>
      <c r="H322" s="125">
        <f>SUM(H2:H318)</f>
        <v>21467150.845000003</v>
      </c>
      <c r="I322" s="9"/>
      <c r="J322" s="9"/>
      <c r="Q322" s="8"/>
      <c r="R322" s="120"/>
    </row>
    <row r="323" spans="1:18" ht="15" customHeight="1">
      <c r="D323" s="111"/>
      <c r="G323" s="8" t="s">
        <v>943</v>
      </c>
      <c r="H323" s="120">
        <f>SUM(R3:R321)</f>
        <v>2849681.0799999996</v>
      </c>
    </row>
    <row r="324" spans="1:18" ht="15" customHeight="1">
      <c r="D324" s="111"/>
    </row>
    <row r="325" spans="1:18" ht="15" customHeight="1">
      <c r="D325" s="111"/>
      <c r="G325" s="121" t="s">
        <v>944</v>
      </c>
      <c r="H325" s="122">
        <f>H322-H323</f>
        <v>18617469.765000004</v>
      </c>
    </row>
    <row r="327" spans="1:18" ht="15" customHeight="1">
      <c r="H327" s="113"/>
    </row>
  </sheetData>
  <phoneticPr fontId="6" type="noConversion"/>
  <pageMargins left="0.23622047244094491" right="0.23622047244094491" top="0.74803149606299213" bottom="0.74803149606299213" header="0.31496062992125984" footer="0.31496062992125984"/>
  <pageSetup paperSize="9" scale="63" fitToHeight="4" orientation="landscape" blackAndWhite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5205-B714-483D-9A68-5B2CBDABBCB8}">
  <sheetPr codeName="Hoja1">
    <pageSetUpPr fitToPage="1"/>
  </sheetPr>
  <dimension ref="A1:R329"/>
  <sheetViews>
    <sheetView tabSelected="1" zoomScale="104" zoomScaleNormal="104" workbookViewId="0">
      <pane ySplit="1" topLeftCell="A54" activePane="bottomLeft" state="frozen"/>
      <selection pane="bottomLeft" activeCell="N326" sqref="N326"/>
    </sheetView>
  </sheetViews>
  <sheetFormatPr defaultColWidth="10" defaultRowHeight="15" customHeight="1"/>
  <cols>
    <col min="1" max="1" width="15.42578125" customWidth="1"/>
    <col min="2" max="2" width="16" customWidth="1"/>
    <col min="3" max="3" width="19.140625" customWidth="1"/>
    <col min="4" max="4" width="53.85546875" customWidth="1"/>
    <col min="5" max="5" width="39.140625" bestFit="1" customWidth="1"/>
    <col min="6" max="6" width="41.5703125" bestFit="1" customWidth="1"/>
    <col min="7" max="7" width="33.7109375" customWidth="1"/>
    <col min="8" max="8" width="23.7109375" customWidth="1"/>
    <col min="9" max="10" width="23.140625" customWidth="1"/>
    <col min="11" max="11" width="23.42578125" bestFit="1" customWidth="1"/>
    <col min="12" max="12" width="11.28515625" customWidth="1"/>
    <col min="13" max="13" width="23.42578125" customWidth="1"/>
    <col min="14" max="14" width="69" customWidth="1"/>
    <col min="15" max="15" width="11.28515625" customWidth="1"/>
    <col min="16" max="16" width="25.85546875" customWidth="1"/>
    <col min="17" max="17" width="35.7109375" customWidth="1"/>
    <col min="18" max="18" width="23.7109375" bestFit="1" customWidth="1"/>
  </cols>
  <sheetData>
    <row r="1" spans="1:18" ht="63.95" customHeight="1" thickBot="1">
      <c r="A1" s="42" t="s">
        <v>0</v>
      </c>
      <c r="B1" s="42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28" t="s">
        <v>7</v>
      </c>
      <c r="I1" s="129" t="s">
        <v>8</v>
      </c>
      <c r="J1" s="129" t="s">
        <v>9</v>
      </c>
      <c r="K1" s="57" t="s">
        <v>10</v>
      </c>
      <c r="L1" s="63" t="s">
        <v>11</v>
      </c>
      <c r="M1" s="58" t="s">
        <v>12</v>
      </c>
      <c r="N1" s="26" t="s">
        <v>13</v>
      </c>
      <c r="O1" s="70" t="s">
        <v>14</v>
      </c>
      <c r="P1" s="1" t="s">
        <v>15</v>
      </c>
      <c r="Q1" s="2" t="s">
        <v>16</v>
      </c>
      <c r="R1" s="130" t="s">
        <v>17</v>
      </c>
    </row>
    <row r="2" spans="1:18" ht="15.75">
      <c r="A2" s="12" t="s">
        <v>18</v>
      </c>
      <c r="B2" s="12"/>
      <c r="C2" s="13">
        <v>45616</v>
      </c>
      <c r="D2" s="12" t="s">
        <v>19</v>
      </c>
      <c r="E2" s="12" t="s">
        <v>20</v>
      </c>
      <c r="F2" s="12" t="s">
        <v>21</v>
      </c>
      <c r="G2" s="12">
        <v>40</v>
      </c>
      <c r="H2" s="35">
        <v>92400.65</v>
      </c>
      <c r="I2" s="35">
        <v>92400.65</v>
      </c>
      <c r="J2" s="35">
        <f>CobrosPendientes[[#This Row],[Importe]]-CobrosPendientes[[#This Row],[Imp cobrado]]</f>
        <v>0</v>
      </c>
      <c r="K2" s="36">
        <v>46209</v>
      </c>
      <c r="L2" s="67" t="s">
        <v>22</v>
      </c>
      <c r="M2" s="12"/>
      <c r="N2" s="3"/>
      <c r="O2" s="12"/>
      <c r="P2" s="6"/>
      <c r="Q2" s="6"/>
      <c r="R2" s="15"/>
    </row>
    <row r="3" spans="1:18" ht="15.75">
      <c r="A3" s="12" t="s">
        <v>23</v>
      </c>
      <c r="B3" s="12"/>
      <c r="C3" s="13">
        <v>45622</v>
      </c>
      <c r="D3" s="12" t="s">
        <v>19</v>
      </c>
      <c r="E3" s="12" t="s">
        <v>20</v>
      </c>
      <c r="F3" s="12" t="s">
        <v>24</v>
      </c>
      <c r="G3" s="12">
        <v>40</v>
      </c>
      <c r="H3" s="5">
        <v>92400.65</v>
      </c>
      <c r="I3" s="5"/>
      <c r="J3" s="5">
        <f>CobrosPendientes[[#This Row],[Importe]]-CobrosPendientes[[#This Row],[Imp cobrado]]</f>
        <v>92400.65</v>
      </c>
      <c r="K3" s="19"/>
      <c r="L3" s="12"/>
      <c r="M3" s="12"/>
      <c r="N3" s="3"/>
      <c r="O3" s="12"/>
      <c r="P3" s="6"/>
      <c r="Q3" s="6"/>
      <c r="R3" s="15"/>
    </row>
    <row r="4" spans="1:18" ht="15.75">
      <c r="A4" s="12" t="s">
        <v>25</v>
      </c>
      <c r="B4" s="12"/>
      <c r="C4" s="13">
        <v>45652</v>
      </c>
      <c r="D4" s="12" t="s">
        <v>26</v>
      </c>
      <c r="E4" s="12" t="s">
        <v>27</v>
      </c>
      <c r="F4" s="12" t="s">
        <v>28</v>
      </c>
      <c r="G4" s="12">
        <v>30</v>
      </c>
      <c r="H4" s="5">
        <v>258408.21</v>
      </c>
      <c r="I4" s="5"/>
      <c r="J4" s="5">
        <f>CobrosPendientes[[#This Row],[Importe]]-CobrosPendientes[[#This Row],[Imp cobrado]]</f>
        <v>258408.21</v>
      </c>
      <c r="K4" s="19"/>
      <c r="L4" s="12"/>
      <c r="M4" s="12"/>
      <c r="N4" s="3"/>
      <c r="O4" s="12"/>
      <c r="P4" s="6"/>
      <c r="Q4" s="6"/>
      <c r="R4" s="15"/>
    </row>
    <row r="5" spans="1:18" ht="15.75">
      <c r="A5" s="21" t="s">
        <v>29</v>
      </c>
      <c r="B5" s="21"/>
      <c r="C5" s="20">
        <v>45845</v>
      </c>
      <c r="D5" s="21" t="s">
        <v>30</v>
      </c>
      <c r="E5" s="21" t="s">
        <v>31</v>
      </c>
      <c r="F5" s="21" t="s">
        <v>32</v>
      </c>
      <c r="G5" s="21">
        <v>100</v>
      </c>
      <c r="H5" s="35">
        <v>758.01</v>
      </c>
      <c r="I5" s="35">
        <v>758.01</v>
      </c>
      <c r="J5" s="35">
        <f>CobrosPendientes[[#This Row],[Importe]]-CobrosPendientes[[#This Row],[Imp cobrado]]</f>
        <v>0</v>
      </c>
      <c r="K5" s="36">
        <v>46099</v>
      </c>
      <c r="L5" s="64" t="s">
        <v>22</v>
      </c>
      <c r="M5" s="13"/>
      <c r="N5" s="3"/>
      <c r="O5" s="12"/>
      <c r="P5" s="6"/>
      <c r="Q5" s="6"/>
      <c r="R5" s="15"/>
    </row>
    <row r="6" spans="1:18" ht="15.75">
      <c r="A6" s="21" t="s">
        <v>33</v>
      </c>
      <c r="B6" s="21"/>
      <c r="C6" s="20">
        <v>45848</v>
      </c>
      <c r="D6" s="21" t="s">
        <v>34</v>
      </c>
      <c r="E6" s="21" t="s">
        <v>35</v>
      </c>
      <c r="F6" s="21" t="s">
        <v>36</v>
      </c>
      <c r="G6" s="21">
        <v>100</v>
      </c>
      <c r="H6" s="7">
        <v>3894.16</v>
      </c>
      <c r="I6" s="7"/>
      <c r="J6" s="7">
        <f>CobrosPendientes[[#This Row],[Importe]]-CobrosPendientes[[#This Row],[Imp cobrado]]</f>
        <v>3894.16</v>
      </c>
      <c r="K6" s="23"/>
      <c r="L6" s="13"/>
      <c r="M6" s="13"/>
      <c r="N6" s="3" t="s">
        <v>37</v>
      </c>
      <c r="O6" s="12"/>
      <c r="P6" s="6"/>
      <c r="Q6" s="6"/>
      <c r="R6" s="15"/>
    </row>
    <row r="7" spans="1:18" ht="15.75">
      <c r="A7" s="21" t="s">
        <v>38</v>
      </c>
      <c r="B7" s="21"/>
      <c r="C7" s="20">
        <v>45867</v>
      </c>
      <c r="D7" s="21" t="s">
        <v>30</v>
      </c>
      <c r="E7" s="21" t="s">
        <v>39</v>
      </c>
      <c r="F7" s="21" t="s">
        <v>21</v>
      </c>
      <c r="G7" s="21">
        <v>25</v>
      </c>
      <c r="H7" s="35">
        <v>36271.26</v>
      </c>
      <c r="I7" s="35">
        <v>36271.26</v>
      </c>
      <c r="J7" s="35">
        <f>CobrosPendientes[[#This Row],[Importe]]-CobrosPendientes[[#This Row],[Imp cobrado]]</f>
        <v>0</v>
      </c>
      <c r="K7" s="36">
        <v>46034</v>
      </c>
      <c r="L7" s="64" t="s">
        <v>22</v>
      </c>
      <c r="M7" s="13"/>
      <c r="N7" s="3"/>
      <c r="O7" s="12"/>
      <c r="P7" s="6"/>
      <c r="Q7" s="6"/>
      <c r="R7" s="15"/>
    </row>
    <row r="8" spans="1:18" ht="15.75">
      <c r="A8" s="21" t="s">
        <v>40</v>
      </c>
      <c r="B8" s="21"/>
      <c r="C8" s="20">
        <v>45867</v>
      </c>
      <c r="D8" s="21" t="s">
        <v>30</v>
      </c>
      <c r="E8" s="21" t="s">
        <v>41</v>
      </c>
      <c r="F8" s="21" t="s">
        <v>21</v>
      </c>
      <c r="G8" s="21">
        <v>25</v>
      </c>
      <c r="H8" s="35">
        <v>36271.26</v>
      </c>
      <c r="I8" s="35">
        <v>36271.26</v>
      </c>
      <c r="J8" s="35">
        <f>CobrosPendientes[[#This Row],[Importe]]-CobrosPendientes[[#This Row],[Imp cobrado]]</f>
        <v>0</v>
      </c>
      <c r="K8" s="36">
        <v>46099</v>
      </c>
      <c r="L8" s="64" t="s">
        <v>22</v>
      </c>
      <c r="M8" s="13"/>
      <c r="N8" s="3"/>
      <c r="O8" s="12"/>
      <c r="P8" s="6"/>
      <c r="Q8" s="6"/>
      <c r="R8" s="15"/>
    </row>
    <row r="9" spans="1:18" ht="15.75">
      <c r="A9" s="21" t="s">
        <v>42</v>
      </c>
      <c r="B9" s="21"/>
      <c r="C9" s="20">
        <v>45887</v>
      </c>
      <c r="D9" s="21" t="s">
        <v>43</v>
      </c>
      <c r="E9" s="21" t="s">
        <v>44</v>
      </c>
      <c r="F9" s="21" t="s">
        <v>45</v>
      </c>
      <c r="G9" s="21">
        <v>70</v>
      </c>
      <c r="H9" s="7">
        <v>52327.72</v>
      </c>
      <c r="I9" s="7"/>
      <c r="J9" s="7">
        <f>CobrosPendientes[[#This Row],[Importe]]-CobrosPendientes[[#This Row],[Imp cobrado]]</f>
        <v>52327.72</v>
      </c>
      <c r="K9" s="23"/>
      <c r="L9" s="13"/>
      <c r="M9" s="13"/>
      <c r="N9" s="3"/>
      <c r="O9" s="12"/>
      <c r="P9" s="6"/>
      <c r="Q9" s="6"/>
      <c r="R9" s="15"/>
    </row>
    <row r="10" spans="1:18" ht="15.75">
      <c r="A10" s="21" t="s">
        <v>46</v>
      </c>
      <c r="B10" s="21"/>
      <c r="C10" s="20">
        <v>45887</v>
      </c>
      <c r="D10" s="21" t="s">
        <v>43</v>
      </c>
      <c r="E10" s="21" t="s">
        <v>47</v>
      </c>
      <c r="F10" s="21" t="s">
        <v>45</v>
      </c>
      <c r="G10" s="21">
        <v>70</v>
      </c>
      <c r="H10" s="7">
        <v>45925.54</v>
      </c>
      <c r="I10" s="7"/>
      <c r="J10" s="7">
        <f>CobrosPendientes[[#This Row],[Importe]]-CobrosPendientes[[#This Row],[Imp cobrado]]</f>
        <v>45925.54</v>
      </c>
      <c r="K10" s="23"/>
      <c r="L10" s="13"/>
      <c r="M10" s="13"/>
      <c r="N10" s="3"/>
      <c r="O10" s="12"/>
      <c r="P10" s="6"/>
      <c r="Q10" s="6"/>
      <c r="R10" s="15"/>
    </row>
    <row r="11" spans="1:18" ht="15.75">
      <c r="A11" s="21" t="s">
        <v>48</v>
      </c>
      <c r="B11" s="21"/>
      <c r="C11" s="24">
        <v>45897</v>
      </c>
      <c r="D11" s="21" t="s">
        <v>30</v>
      </c>
      <c r="E11" s="21" t="s">
        <v>49</v>
      </c>
      <c r="F11" s="21" t="s">
        <v>50</v>
      </c>
      <c r="G11" s="25">
        <v>25</v>
      </c>
      <c r="H11" s="35">
        <v>37185.410000000003</v>
      </c>
      <c r="I11" s="35">
        <v>37185.410000000003</v>
      </c>
      <c r="J11" s="35">
        <f>CobrosPendientes[[#This Row],[Importe]]-CobrosPendientes[[#This Row],[Imp cobrado]]</f>
        <v>0</v>
      </c>
      <c r="K11" s="36">
        <v>46099</v>
      </c>
      <c r="L11" s="64" t="s">
        <v>22</v>
      </c>
      <c r="M11" s="13"/>
      <c r="N11" s="3"/>
      <c r="O11" s="12"/>
      <c r="P11" s="6"/>
      <c r="Q11" s="6"/>
      <c r="R11" s="15"/>
    </row>
    <row r="12" spans="1:18" ht="15.75">
      <c r="A12" s="21" t="s">
        <v>51</v>
      </c>
      <c r="B12" s="21"/>
      <c r="C12" s="20">
        <v>45936</v>
      </c>
      <c r="D12" s="21" t="s">
        <v>30</v>
      </c>
      <c r="E12" s="21" t="s">
        <v>52</v>
      </c>
      <c r="F12" s="21" t="s">
        <v>24</v>
      </c>
      <c r="G12" s="21">
        <v>30</v>
      </c>
      <c r="H12" s="35">
        <v>43525.51</v>
      </c>
      <c r="I12" s="35">
        <v>43525.51</v>
      </c>
      <c r="J12" s="35">
        <f>CobrosPendientes[[#This Row],[Importe]]-CobrosPendientes[[#This Row],[Imp cobrado]]</f>
        <v>0</v>
      </c>
      <c r="K12" s="36">
        <v>46034</v>
      </c>
      <c r="L12" s="64" t="s">
        <v>22</v>
      </c>
      <c r="M12" s="13"/>
      <c r="N12" s="3"/>
      <c r="O12" s="12"/>
      <c r="P12" s="6"/>
      <c r="Q12" s="6"/>
      <c r="R12" s="15"/>
    </row>
    <row r="13" spans="1:18" ht="15.75">
      <c r="A13" s="21" t="s">
        <v>53</v>
      </c>
      <c r="B13" s="21"/>
      <c r="C13" s="20">
        <v>45936</v>
      </c>
      <c r="D13" s="21" t="s">
        <v>30</v>
      </c>
      <c r="E13" s="21" t="s">
        <v>52</v>
      </c>
      <c r="F13" s="21" t="s">
        <v>54</v>
      </c>
      <c r="G13" s="21">
        <v>35</v>
      </c>
      <c r="H13" s="35">
        <v>50779.76</v>
      </c>
      <c r="I13" s="35">
        <v>50779.76</v>
      </c>
      <c r="J13" s="35">
        <f>CobrosPendientes[[#This Row],[Importe]]-CobrosPendientes[[#This Row],[Imp cobrado]]</f>
        <v>0</v>
      </c>
      <c r="K13" s="36">
        <v>46057</v>
      </c>
      <c r="L13" s="64" t="s">
        <v>22</v>
      </c>
      <c r="M13" s="13"/>
      <c r="N13" s="3"/>
      <c r="O13" s="12"/>
      <c r="P13" s="6"/>
      <c r="Q13" s="6"/>
      <c r="R13" s="15"/>
    </row>
    <row r="14" spans="1:18" ht="15.75">
      <c r="A14" s="21" t="s">
        <v>55</v>
      </c>
      <c r="B14" s="21"/>
      <c r="C14" s="20">
        <v>45936</v>
      </c>
      <c r="D14" s="21" t="s">
        <v>30</v>
      </c>
      <c r="E14" s="21" t="s">
        <v>41</v>
      </c>
      <c r="F14" s="21" t="s">
        <v>24</v>
      </c>
      <c r="G14" s="21">
        <v>30</v>
      </c>
      <c r="H14" s="35">
        <v>43525.51</v>
      </c>
      <c r="I14" s="35">
        <v>43525.51</v>
      </c>
      <c r="J14" s="35">
        <f>CobrosPendientes[[#This Row],[Importe]]-CobrosPendientes[[#This Row],[Imp cobrado]]</f>
        <v>0</v>
      </c>
      <c r="K14" s="36">
        <v>46099</v>
      </c>
      <c r="L14" s="67" t="s">
        <v>22</v>
      </c>
      <c r="M14" s="12"/>
      <c r="N14" s="3"/>
      <c r="O14" s="12"/>
      <c r="P14" s="6"/>
      <c r="Q14" s="6"/>
      <c r="R14" s="15"/>
    </row>
    <row r="15" spans="1:18" ht="15.75">
      <c r="A15" s="21" t="s">
        <v>56</v>
      </c>
      <c r="B15" s="21"/>
      <c r="C15" s="20">
        <v>45936</v>
      </c>
      <c r="D15" s="21" t="s">
        <v>30</v>
      </c>
      <c r="E15" s="21" t="s">
        <v>41</v>
      </c>
      <c r="F15" s="21" t="s">
        <v>54</v>
      </c>
      <c r="G15" s="21">
        <v>35</v>
      </c>
      <c r="H15" s="35">
        <v>50779.76</v>
      </c>
      <c r="I15" s="35">
        <v>50779.76</v>
      </c>
      <c r="J15" s="35">
        <f>CobrosPendientes[[#This Row],[Importe]]-CobrosPendientes[[#This Row],[Imp cobrado]]</f>
        <v>0</v>
      </c>
      <c r="K15" s="36">
        <v>46099</v>
      </c>
      <c r="L15" s="67" t="s">
        <v>22</v>
      </c>
      <c r="M15" s="12"/>
      <c r="N15" s="3"/>
      <c r="O15" s="12"/>
      <c r="P15" s="6"/>
      <c r="Q15" s="6"/>
      <c r="R15" s="15"/>
    </row>
    <row r="16" spans="1:18" ht="15.75">
      <c r="A16" s="21" t="s">
        <v>57</v>
      </c>
      <c r="B16" s="21"/>
      <c r="C16" s="20">
        <v>45936</v>
      </c>
      <c r="D16" s="21" t="s">
        <v>30</v>
      </c>
      <c r="E16" s="21" t="s">
        <v>49</v>
      </c>
      <c r="F16" s="21" t="s">
        <v>58</v>
      </c>
      <c r="G16" s="21">
        <v>30</v>
      </c>
      <c r="H16" s="35">
        <v>44227.82</v>
      </c>
      <c r="I16" s="35">
        <v>44227.82</v>
      </c>
      <c r="J16" s="35">
        <f>CobrosPendientes[[#This Row],[Importe]]-CobrosPendientes[[#This Row],[Imp cobrado]]</f>
        <v>0</v>
      </c>
      <c r="K16" s="36">
        <v>46099</v>
      </c>
      <c r="L16" s="67" t="s">
        <v>22</v>
      </c>
      <c r="M16" s="12"/>
      <c r="N16" s="3"/>
      <c r="O16" s="12"/>
      <c r="P16" s="6"/>
      <c r="Q16" s="6"/>
      <c r="R16" s="15"/>
    </row>
    <row r="17" spans="1:18" ht="15.75">
      <c r="A17" s="21" t="s">
        <v>59</v>
      </c>
      <c r="B17" s="21"/>
      <c r="C17" s="20">
        <v>45936</v>
      </c>
      <c r="D17" s="21" t="s">
        <v>30</v>
      </c>
      <c r="E17" s="21" t="s">
        <v>49</v>
      </c>
      <c r="F17" s="21" t="s">
        <v>60</v>
      </c>
      <c r="G17" s="21">
        <v>35</v>
      </c>
      <c r="H17" s="35">
        <v>51599.12</v>
      </c>
      <c r="I17" s="35">
        <v>51599.12</v>
      </c>
      <c r="J17" s="35">
        <f>CobrosPendientes[[#This Row],[Importe]]-CobrosPendientes[[#This Row],[Imp cobrado]]</f>
        <v>0</v>
      </c>
      <c r="K17" s="36">
        <v>46099</v>
      </c>
      <c r="L17" s="67" t="s">
        <v>22</v>
      </c>
      <c r="M17" s="12"/>
      <c r="N17" s="3"/>
      <c r="O17" s="12"/>
      <c r="P17" s="6"/>
      <c r="Q17" s="6"/>
      <c r="R17" s="15"/>
    </row>
    <row r="18" spans="1:18" ht="15.75">
      <c r="A18" s="21" t="s">
        <v>61</v>
      </c>
      <c r="B18" s="21"/>
      <c r="C18" s="20">
        <v>45939</v>
      </c>
      <c r="D18" s="21" t="s">
        <v>30</v>
      </c>
      <c r="E18" s="21" t="s">
        <v>62</v>
      </c>
      <c r="F18" s="21" t="s">
        <v>63</v>
      </c>
      <c r="G18" s="21">
        <v>30</v>
      </c>
      <c r="H18" s="35">
        <v>19084.84</v>
      </c>
      <c r="I18" s="35">
        <v>19084.84</v>
      </c>
      <c r="J18" s="35">
        <f>CobrosPendientes[[#This Row],[Importe]]-CobrosPendientes[[#This Row],[Imp cobrado]]</f>
        <v>0</v>
      </c>
      <c r="K18" s="36">
        <v>46073</v>
      </c>
      <c r="L18" s="64" t="s">
        <v>22</v>
      </c>
      <c r="M18" s="12"/>
      <c r="N18" s="3"/>
      <c r="O18" s="12"/>
      <c r="P18" s="6"/>
      <c r="Q18" s="6"/>
      <c r="R18" s="60"/>
    </row>
    <row r="19" spans="1:18" ht="30.75">
      <c r="A19" s="21" t="s">
        <v>64</v>
      </c>
      <c r="B19" s="21"/>
      <c r="C19" s="20">
        <v>45944</v>
      </c>
      <c r="D19" s="21" t="s">
        <v>65</v>
      </c>
      <c r="E19" s="21" t="s">
        <v>66</v>
      </c>
      <c r="F19" s="21" t="s">
        <v>67</v>
      </c>
      <c r="G19" s="21">
        <v>30</v>
      </c>
      <c r="H19" s="46">
        <v>51117.72</v>
      </c>
      <c r="I19" s="46">
        <v>51117.72</v>
      </c>
      <c r="J19" s="46">
        <f>CobrosPendientes[[#This Row],[Importe]]-CobrosPendientes[[#This Row],[Imp cobrado]]</f>
        <v>0</v>
      </c>
      <c r="K19" s="47">
        <v>45996</v>
      </c>
      <c r="L19" s="65" t="s">
        <v>22</v>
      </c>
      <c r="M19" s="56"/>
      <c r="N19" s="27" t="s">
        <v>68</v>
      </c>
      <c r="O19" s="71"/>
      <c r="P19" s="6"/>
      <c r="Q19" s="6"/>
      <c r="R19" s="60"/>
    </row>
    <row r="20" spans="1:18" ht="15.75">
      <c r="A20" s="21" t="s">
        <v>69</v>
      </c>
      <c r="B20" s="21"/>
      <c r="C20" s="20">
        <v>45951</v>
      </c>
      <c r="D20" s="21" t="s">
        <v>65</v>
      </c>
      <c r="E20" s="21" t="s">
        <v>66</v>
      </c>
      <c r="F20" s="21" t="s">
        <v>21</v>
      </c>
      <c r="G20" s="21">
        <v>50</v>
      </c>
      <c r="H20" s="35">
        <v>85196.21</v>
      </c>
      <c r="I20" s="35">
        <v>85196.21</v>
      </c>
      <c r="J20" s="35">
        <f>CobrosPendientes[[#This Row],[Importe]]-CobrosPendientes[[#This Row],[Imp cobrado]]</f>
        <v>0</v>
      </c>
      <c r="K20" s="36">
        <v>46072</v>
      </c>
      <c r="L20" s="64" t="s">
        <v>22</v>
      </c>
      <c r="M20" s="12"/>
      <c r="N20" s="3" t="s">
        <v>70</v>
      </c>
      <c r="O20" s="12"/>
      <c r="P20" s="6"/>
      <c r="Q20" s="6"/>
      <c r="R20" s="60"/>
    </row>
    <row r="21" spans="1:18" ht="15.75">
      <c r="A21" s="21" t="s">
        <v>71</v>
      </c>
      <c r="B21" s="21"/>
      <c r="C21" s="20">
        <v>45966</v>
      </c>
      <c r="D21" s="21" t="s">
        <v>43</v>
      </c>
      <c r="E21" s="21" t="s">
        <v>72</v>
      </c>
      <c r="F21" s="21" t="s">
        <v>45</v>
      </c>
      <c r="G21" s="21">
        <v>70</v>
      </c>
      <c r="H21" s="7">
        <v>54353.04</v>
      </c>
      <c r="I21" s="7"/>
      <c r="J21" s="7">
        <f>CobrosPendientes[[#This Row],[Importe]]-CobrosPendientes[[#This Row],[Imp cobrado]]</f>
        <v>54353.04</v>
      </c>
      <c r="K21" s="19"/>
      <c r="L21" s="12"/>
      <c r="M21" s="12"/>
      <c r="N21" s="3"/>
      <c r="O21" s="12"/>
      <c r="P21" s="6"/>
      <c r="Q21" s="6"/>
      <c r="R21" s="60"/>
    </row>
    <row r="22" spans="1:18" ht="15.75">
      <c r="A22" s="21" t="s">
        <v>73</v>
      </c>
      <c r="B22" s="21"/>
      <c r="C22" s="20">
        <v>45966</v>
      </c>
      <c r="D22" s="21" t="s">
        <v>43</v>
      </c>
      <c r="E22" s="21" t="s">
        <v>74</v>
      </c>
      <c r="F22" s="21" t="s">
        <v>45</v>
      </c>
      <c r="G22" s="21">
        <v>70</v>
      </c>
      <c r="H22" s="7">
        <v>46656.87</v>
      </c>
      <c r="I22" s="7"/>
      <c r="J22" s="7">
        <f>CobrosPendientes[[#This Row],[Importe]]-CobrosPendientes[[#This Row],[Imp cobrado]]</f>
        <v>46656.87</v>
      </c>
      <c r="K22" s="19"/>
      <c r="L22" s="12"/>
      <c r="M22" s="12"/>
      <c r="N22" s="3"/>
      <c r="O22" s="12"/>
      <c r="P22" s="6"/>
      <c r="Q22" s="6"/>
      <c r="R22" s="60"/>
    </row>
    <row r="23" spans="1:18" ht="15.75">
      <c r="A23" s="21" t="s">
        <v>75</v>
      </c>
      <c r="B23" s="21"/>
      <c r="C23" s="20">
        <v>45972</v>
      </c>
      <c r="D23" s="21" t="s">
        <v>34</v>
      </c>
      <c r="E23" s="21" t="s">
        <v>76</v>
      </c>
      <c r="F23" s="21" t="s">
        <v>77</v>
      </c>
      <c r="G23" s="21">
        <v>100</v>
      </c>
      <c r="H23" s="7">
        <v>100</v>
      </c>
      <c r="I23" s="7"/>
      <c r="J23" s="7">
        <f>CobrosPendientes[[#This Row],[Importe]]-CobrosPendientes[[#This Row],[Imp cobrado]]</f>
        <v>100</v>
      </c>
      <c r="K23" s="19"/>
      <c r="L23" s="12"/>
      <c r="M23" s="12"/>
      <c r="N23" s="3" t="s">
        <v>78</v>
      </c>
      <c r="O23" s="12"/>
      <c r="P23" s="6"/>
      <c r="Q23" s="6"/>
      <c r="R23" s="60"/>
    </row>
    <row r="24" spans="1:18" ht="15.75">
      <c r="A24" s="21" t="s">
        <v>79</v>
      </c>
      <c r="B24" s="21"/>
      <c r="C24" s="20">
        <v>45979</v>
      </c>
      <c r="D24" s="21" t="s">
        <v>80</v>
      </c>
      <c r="E24" s="21" t="s">
        <v>81</v>
      </c>
      <c r="F24" s="21" t="s">
        <v>82</v>
      </c>
      <c r="G24" s="21">
        <v>50</v>
      </c>
      <c r="H24" s="35">
        <v>197331.92</v>
      </c>
      <c r="I24" s="35">
        <v>197331.92</v>
      </c>
      <c r="J24" s="35">
        <f>CobrosPendientes[[#This Row],[Importe]]-CobrosPendientes[[#This Row],[Imp cobrado]]</f>
        <v>0</v>
      </c>
      <c r="K24" s="36">
        <v>46041</v>
      </c>
      <c r="L24" s="64" t="s">
        <v>22</v>
      </c>
      <c r="M24" s="13"/>
      <c r="N24" s="3"/>
      <c r="O24" s="12"/>
      <c r="P24" s="6"/>
      <c r="Q24" s="6"/>
      <c r="R24" s="60"/>
    </row>
    <row r="25" spans="1:18" ht="15.75">
      <c r="A25" s="21" t="s">
        <v>83</v>
      </c>
      <c r="B25" s="21"/>
      <c r="C25" s="20">
        <v>45980</v>
      </c>
      <c r="D25" s="21" t="s">
        <v>84</v>
      </c>
      <c r="E25" s="21" t="s">
        <v>85</v>
      </c>
      <c r="F25" s="21" t="s">
        <v>21</v>
      </c>
      <c r="G25" s="21">
        <v>50</v>
      </c>
      <c r="H25" s="35">
        <v>147481.20000000001</v>
      </c>
      <c r="I25" s="35">
        <v>147481.20000000001</v>
      </c>
      <c r="J25" s="35">
        <f>CobrosPendientes[[#This Row],[Importe]]-CobrosPendientes[[#This Row],[Imp cobrado]]</f>
        <v>0</v>
      </c>
      <c r="K25" s="36">
        <v>46056</v>
      </c>
      <c r="L25" s="64" t="s">
        <v>22</v>
      </c>
      <c r="M25" s="13"/>
      <c r="N25" s="3"/>
      <c r="O25" s="12"/>
      <c r="P25" s="6"/>
      <c r="Q25" s="6"/>
      <c r="R25" s="60"/>
    </row>
    <row r="26" spans="1:18" ht="15.75">
      <c r="A26" s="21" t="s">
        <v>86</v>
      </c>
      <c r="B26" s="21"/>
      <c r="C26" s="20">
        <v>45987</v>
      </c>
      <c r="D26" s="21" t="s">
        <v>87</v>
      </c>
      <c r="E26" s="21" t="s">
        <v>88</v>
      </c>
      <c r="F26" s="21" t="s">
        <v>24</v>
      </c>
      <c r="G26" s="21">
        <v>20</v>
      </c>
      <c r="H26" s="35">
        <v>90436.24</v>
      </c>
      <c r="I26" s="35">
        <v>90436.24</v>
      </c>
      <c r="J26" s="35">
        <f>CobrosPendientes[[#This Row],[Importe]]-CobrosPendientes[[#This Row],[Imp cobrado]]</f>
        <v>0</v>
      </c>
      <c r="K26" s="36">
        <v>46066</v>
      </c>
      <c r="L26" s="64" t="s">
        <v>22</v>
      </c>
      <c r="M26" s="12"/>
      <c r="N26" s="3"/>
      <c r="O26" s="12"/>
      <c r="P26" s="6"/>
      <c r="Q26" s="6"/>
      <c r="R26" s="60"/>
    </row>
    <row r="27" spans="1:18" ht="15.75">
      <c r="A27" s="21" t="s">
        <v>89</v>
      </c>
      <c r="B27" s="21"/>
      <c r="C27" s="20">
        <v>45989</v>
      </c>
      <c r="D27" s="21" t="s">
        <v>90</v>
      </c>
      <c r="E27" s="21" t="s">
        <v>91</v>
      </c>
      <c r="F27" s="21" t="s">
        <v>67</v>
      </c>
      <c r="G27" s="21">
        <v>20</v>
      </c>
      <c r="H27" s="35">
        <v>67820.2</v>
      </c>
      <c r="I27" s="35">
        <v>67820.2</v>
      </c>
      <c r="J27" s="35">
        <f>CobrosPendientes[[#This Row],[Importe]]-CobrosPendientes[[#This Row],[Imp cobrado]]</f>
        <v>0</v>
      </c>
      <c r="K27" s="36">
        <v>46043</v>
      </c>
      <c r="L27" s="64" t="s">
        <v>22</v>
      </c>
      <c r="M27" s="13"/>
      <c r="N27" s="3" t="s">
        <v>92</v>
      </c>
      <c r="O27" s="12"/>
      <c r="P27" s="6"/>
      <c r="Q27" s="6"/>
      <c r="R27" s="15"/>
    </row>
    <row r="28" spans="1:18" ht="15.75">
      <c r="A28" s="21" t="s">
        <v>93</v>
      </c>
      <c r="B28" s="21"/>
      <c r="C28" s="20">
        <v>45989</v>
      </c>
      <c r="D28" s="21" t="s">
        <v>65</v>
      </c>
      <c r="E28" s="21" t="s">
        <v>66</v>
      </c>
      <c r="F28" s="21" t="s">
        <v>24</v>
      </c>
      <c r="G28" s="21">
        <v>20</v>
      </c>
      <c r="H28" s="35">
        <v>34078.480000000003</v>
      </c>
      <c r="I28" s="35">
        <v>34078.480000000003</v>
      </c>
      <c r="J28" s="35">
        <f>CobrosPendientes[[#This Row],[Importe]]-CobrosPendientes[[#This Row],[Imp cobrado]]</f>
        <v>0</v>
      </c>
      <c r="K28" s="36">
        <v>46072</v>
      </c>
      <c r="L28" s="64" t="s">
        <v>22</v>
      </c>
      <c r="M28" s="12"/>
      <c r="N28" s="3"/>
      <c r="O28" s="12"/>
      <c r="P28" s="6"/>
      <c r="Q28" s="6"/>
      <c r="R28" s="15"/>
    </row>
    <row r="29" spans="1:18" ht="15.75">
      <c r="A29" s="21" t="s">
        <v>94</v>
      </c>
      <c r="B29" s="21"/>
      <c r="C29" s="20">
        <v>45989</v>
      </c>
      <c r="D29" s="21" t="s">
        <v>65</v>
      </c>
      <c r="E29" s="21" t="s">
        <v>66</v>
      </c>
      <c r="F29" s="21" t="s">
        <v>95</v>
      </c>
      <c r="G29" s="21">
        <v>100</v>
      </c>
      <c r="H29" s="35">
        <v>19664.63</v>
      </c>
      <c r="I29" s="35">
        <v>19664.63</v>
      </c>
      <c r="J29" s="35">
        <f>CobrosPendientes[[#This Row],[Importe]]-CobrosPendientes[[#This Row],[Imp cobrado]]</f>
        <v>0</v>
      </c>
      <c r="K29" s="36">
        <v>46080</v>
      </c>
      <c r="L29" s="67" t="s">
        <v>22</v>
      </c>
      <c r="M29" s="12"/>
      <c r="N29" s="3"/>
      <c r="O29" s="12"/>
      <c r="P29" s="6"/>
      <c r="Q29" s="6"/>
      <c r="R29" s="15"/>
    </row>
    <row r="30" spans="1:18" ht="15.75">
      <c r="A30" s="21" t="s">
        <v>96</v>
      </c>
      <c r="B30" s="21"/>
      <c r="C30" s="20">
        <v>45996</v>
      </c>
      <c r="D30" s="21" t="s">
        <v>97</v>
      </c>
      <c r="E30" s="21" t="s">
        <v>98</v>
      </c>
      <c r="F30" s="21" t="s">
        <v>21</v>
      </c>
      <c r="G30" s="21">
        <v>45</v>
      </c>
      <c r="H30" s="35">
        <v>225454.59</v>
      </c>
      <c r="I30" s="35">
        <v>225454.59</v>
      </c>
      <c r="J30" s="35">
        <f>CobrosPendientes[[#This Row],[Importe]]-CobrosPendientes[[#This Row],[Imp cobrado]]</f>
        <v>0</v>
      </c>
      <c r="K30" s="36">
        <v>46042</v>
      </c>
      <c r="L30" s="64" t="s">
        <v>22</v>
      </c>
      <c r="M30" s="13"/>
      <c r="N30" s="3"/>
      <c r="O30" s="12"/>
      <c r="P30" s="6"/>
      <c r="Q30" s="6"/>
      <c r="R30" s="15"/>
    </row>
    <row r="31" spans="1:18" ht="15.75">
      <c r="A31" s="21" t="s">
        <v>99</v>
      </c>
      <c r="B31" s="21"/>
      <c r="C31" s="20">
        <v>45996</v>
      </c>
      <c r="D31" s="21" t="s">
        <v>97</v>
      </c>
      <c r="E31" s="21" t="s">
        <v>100</v>
      </c>
      <c r="F31" s="21" t="s">
        <v>21</v>
      </c>
      <c r="G31" s="21">
        <v>45</v>
      </c>
      <c r="H31" s="35">
        <v>466808.95</v>
      </c>
      <c r="I31" s="35">
        <v>466808.95</v>
      </c>
      <c r="J31" s="35">
        <f>CobrosPendientes[[#This Row],[Importe]]-CobrosPendientes[[#This Row],[Imp cobrado]]</f>
        <v>0</v>
      </c>
      <c r="K31" s="36">
        <v>46049</v>
      </c>
      <c r="L31" s="64" t="s">
        <v>22</v>
      </c>
      <c r="M31" s="13"/>
      <c r="N31" s="3"/>
      <c r="O31" s="12"/>
      <c r="P31" s="6"/>
      <c r="Q31" s="6"/>
      <c r="R31" s="15"/>
    </row>
    <row r="32" spans="1:18" ht="15.75">
      <c r="A32" s="21" t="s">
        <v>101</v>
      </c>
      <c r="B32" s="21"/>
      <c r="C32" s="20">
        <v>46001</v>
      </c>
      <c r="D32" s="21" t="s">
        <v>34</v>
      </c>
      <c r="E32" s="21" t="s">
        <v>102</v>
      </c>
      <c r="F32" s="21" t="s">
        <v>103</v>
      </c>
      <c r="G32" s="21">
        <v>100</v>
      </c>
      <c r="H32" s="35">
        <v>436</v>
      </c>
      <c r="I32" s="35">
        <v>436</v>
      </c>
      <c r="J32" s="35">
        <f>CobrosPendientes[[#This Row],[Importe]]-CobrosPendientes[[#This Row],[Imp cobrado]]</f>
        <v>0</v>
      </c>
      <c r="K32" s="36">
        <v>46111</v>
      </c>
      <c r="L32" s="67" t="s">
        <v>22</v>
      </c>
      <c r="M32" s="12"/>
      <c r="N32" s="3" t="s">
        <v>104</v>
      </c>
      <c r="O32" s="12"/>
      <c r="P32" s="6"/>
      <c r="Q32" s="6"/>
      <c r="R32" s="15"/>
    </row>
    <row r="33" spans="1:18" ht="15.75">
      <c r="A33" s="21" t="s">
        <v>105</v>
      </c>
      <c r="B33" s="21"/>
      <c r="C33" s="20">
        <v>46003</v>
      </c>
      <c r="D33" s="21" t="s">
        <v>106</v>
      </c>
      <c r="E33" s="21" t="s">
        <v>107</v>
      </c>
      <c r="F33" s="21" t="s">
        <v>108</v>
      </c>
      <c r="G33" s="21">
        <v>5</v>
      </c>
      <c r="H33" s="7">
        <v>33601.06</v>
      </c>
      <c r="I33" s="7"/>
      <c r="J33" s="7">
        <f>CobrosPendientes[[#This Row],[Importe]]-CobrosPendientes[[#This Row],[Imp cobrado]]</f>
        <v>33601.06</v>
      </c>
      <c r="K33" s="23"/>
      <c r="L33" s="13"/>
      <c r="M33" s="13"/>
      <c r="N33" s="23" t="s">
        <v>109</v>
      </c>
      <c r="O33" s="13"/>
      <c r="P33" s="6"/>
      <c r="Q33" s="6"/>
      <c r="R33" s="15"/>
    </row>
    <row r="34" spans="1:18" ht="15.75">
      <c r="A34" s="21" t="s">
        <v>110</v>
      </c>
      <c r="B34" s="21"/>
      <c r="C34" s="20">
        <v>46003</v>
      </c>
      <c r="D34" s="21" t="s">
        <v>111</v>
      </c>
      <c r="E34" s="21" t="s">
        <v>112</v>
      </c>
      <c r="F34" s="21" t="s">
        <v>113</v>
      </c>
      <c r="G34" s="21">
        <v>50</v>
      </c>
      <c r="H34" s="35">
        <v>96842.17</v>
      </c>
      <c r="I34" s="35">
        <v>96842.17</v>
      </c>
      <c r="J34" s="35">
        <f>CobrosPendientes[[#This Row],[Importe]]-CobrosPendientes[[#This Row],[Imp cobrado]]</f>
        <v>0</v>
      </c>
      <c r="K34" s="36">
        <v>46080</v>
      </c>
      <c r="L34" s="67" t="s">
        <v>22</v>
      </c>
      <c r="M34" s="12"/>
      <c r="N34" s="19" t="s">
        <v>114</v>
      </c>
      <c r="O34" s="12"/>
      <c r="P34" s="6"/>
      <c r="Q34" s="6"/>
      <c r="R34" s="15"/>
    </row>
    <row r="35" spans="1:18" ht="15.75">
      <c r="A35" s="21" t="s">
        <v>115</v>
      </c>
      <c r="B35" s="21"/>
      <c r="C35" s="20">
        <v>46003</v>
      </c>
      <c r="D35" s="21" t="s">
        <v>111</v>
      </c>
      <c r="E35" s="21" t="s">
        <v>112</v>
      </c>
      <c r="F35" s="21" t="s">
        <v>116</v>
      </c>
      <c r="G35" s="21">
        <v>20</v>
      </c>
      <c r="H35" s="35">
        <v>38736.870000000003</v>
      </c>
      <c r="I35" s="35">
        <v>38736.870000000003</v>
      </c>
      <c r="J35" s="35">
        <f>CobrosPendientes[[#This Row],[Importe]]-CobrosPendientes[[#This Row],[Imp cobrado]]</f>
        <v>0</v>
      </c>
      <c r="K35" s="36">
        <v>46080</v>
      </c>
      <c r="L35" s="67" t="s">
        <v>22</v>
      </c>
      <c r="M35" s="12"/>
      <c r="N35" s="19" t="s">
        <v>114</v>
      </c>
      <c r="O35" s="12"/>
      <c r="P35" s="6"/>
      <c r="Q35" s="6"/>
      <c r="R35" s="15"/>
    </row>
    <row r="36" spans="1:18" ht="15.75">
      <c r="A36" s="21" t="s">
        <v>117</v>
      </c>
      <c r="B36" s="21"/>
      <c r="C36" s="20">
        <v>46003</v>
      </c>
      <c r="D36" s="21" t="s">
        <v>111</v>
      </c>
      <c r="E36" s="21" t="s">
        <v>118</v>
      </c>
      <c r="F36" s="21" t="s">
        <v>113</v>
      </c>
      <c r="G36" s="21">
        <v>50</v>
      </c>
      <c r="H36" s="35">
        <v>100063.52</v>
      </c>
      <c r="I36" s="35">
        <v>100063.52</v>
      </c>
      <c r="J36" s="35">
        <f>CobrosPendientes[[#This Row],[Importe]]-CobrosPendientes[[#This Row],[Imp cobrado]]</f>
        <v>0</v>
      </c>
      <c r="K36" s="36">
        <v>46133</v>
      </c>
      <c r="L36" s="67" t="s">
        <v>22</v>
      </c>
      <c r="M36" s="12"/>
      <c r="N36" s="3"/>
      <c r="O36" s="12"/>
      <c r="P36" s="6"/>
      <c r="Q36" s="6"/>
      <c r="R36" s="15"/>
    </row>
    <row r="37" spans="1:18" ht="15.75">
      <c r="A37" s="21" t="s">
        <v>119</v>
      </c>
      <c r="B37" s="21"/>
      <c r="C37" s="20">
        <v>46003</v>
      </c>
      <c r="D37" s="21" t="s">
        <v>111</v>
      </c>
      <c r="E37" s="21" t="s">
        <v>118</v>
      </c>
      <c r="F37" s="21" t="s">
        <v>116</v>
      </c>
      <c r="G37" s="21">
        <v>20</v>
      </c>
      <c r="H37" s="35">
        <v>40025.410000000003</v>
      </c>
      <c r="I37" s="35">
        <v>40025.410000000003</v>
      </c>
      <c r="J37" s="35">
        <f>CobrosPendientes[[#This Row],[Importe]]-CobrosPendientes[[#This Row],[Imp cobrado]]</f>
        <v>0</v>
      </c>
      <c r="K37" s="36">
        <v>46133</v>
      </c>
      <c r="L37" s="67" t="s">
        <v>22</v>
      </c>
      <c r="M37" s="12"/>
      <c r="N37" s="3"/>
      <c r="O37" s="12"/>
      <c r="P37" s="6"/>
      <c r="Q37" s="6"/>
      <c r="R37" s="15"/>
    </row>
    <row r="38" spans="1:18" ht="15.75">
      <c r="A38" s="21" t="s">
        <v>120</v>
      </c>
      <c r="B38" s="21"/>
      <c r="C38" s="20">
        <v>46003</v>
      </c>
      <c r="D38" s="21" t="s">
        <v>111</v>
      </c>
      <c r="E38" s="21" t="s">
        <v>121</v>
      </c>
      <c r="F38" s="21" t="s">
        <v>113</v>
      </c>
      <c r="G38" s="21">
        <v>50</v>
      </c>
      <c r="H38" s="35">
        <v>69968.160000000003</v>
      </c>
      <c r="I38" s="35">
        <v>69968.160000000003</v>
      </c>
      <c r="J38" s="35">
        <f>CobrosPendientes[[#This Row],[Importe]]-CobrosPendientes[[#This Row],[Imp cobrado]]</f>
        <v>0</v>
      </c>
      <c r="K38" s="36">
        <v>46080</v>
      </c>
      <c r="L38" s="67" t="s">
        <v>22</v>
      </c>
      <c r="M38" s="12"/>
      <c r="N38" s="3"/>
      <c r="O38" s="12"/>
      <c r="P38" s="6"/>
      <c r="Q38" s="6"/>
      <c r="R38" s="15"/>
    </row>
    <row r="39" spans="1:18" ht="15.75">
      <c r="A39" s="21" t="s">
        <v>122</v>
      </c>
      <c r="B39" s="21"/>
      <c r="C39" s="20">
        <v>46003</v>
      </c>
      <c r="D39" s="21" t="s">
        <v>111</v>
      </c>
      <c r="E39" s="21" t="s">
        <v>121</v>
      </c>
      <c r="F39" s="21" t="s">
        <v>116</v>
      </c>
      <c r="G39" s="21">
        <v>20</v>
      </c>
      <c r="H39" s="35">
        <v>27987.26</v>
      </c>
      <c r="I39" s="35">
        <v>27987.26</v>
      </c>
      <c r="J39" s="35">
        <f>CobrosPendientes[[#This Row],[Importe]]-CobrosPendientes[[#This Row],[Imp cobrado]]</f>
        <v>0</v>
      </c>
      <c r="K39" s="36">
        <v>46080</v>
      </c>
      <c r="L39" s="67" t="s">
        <v>22</v>
      </c>
      <c r="M39" s="12"/>
      <c r="N39" s="3"/>
      <c r="O39" s="12"/>
      <c r="P39" s="6"/>
      <c r="Q39" s="6"/>
      <c r="R39" s="15"/>
    </row>
    <row r="40" spans="1:18" ht="15.75">
      <c r="A40" s="21" t="s">
        <v>123</v>
      </c>
      <c r="B40" s="21"/>
      <c r="C40" s="20">
        <v>46003</v>
      </c>
      <c r="D40" s="21" t="s">
        <v>111</v>
      </c>
      <c r="E40" s="21" t="s">
        <v>124</v>
      </c>
      <c r="F40" s="21" t="s">
        <v>113</v>
      </c>
      <c r="G40" s="21">
        <v>50</v>
      </c>
      <c r="H40" s="35">
        <v>98565.21</v>
      </c>
      <c r="I40" s="35">
        <v>98565.21</v>
      </c>
      <c r="J40" s="35">
        <f>CobrosPendientes[[#This Row],[Importe]]-CobrosPendientes[[#This Row],[Imp cobrado]]</f>
        <v>0</v>
      </c>
      <c r="K40" s="36">
        <v>46133</v>
      </c>
      <c r="L40" s="67" t="s">
        <v>22</v>
      </c>
      <c r="M40" s="12"/>
      <c r="N40" s="3"/>
      <c r="O40" s="12"/>
      <c r="P40" s="6"/>
      <c r="Q40" s="6"/>
      <c r="R40" s="15"/>
    </row>
    <row r="41" spans="1:18" ht="15.75">
      <c r="A41" s="21" t="s">
        <v>125</v>
      </c>
      <c r="B41" s="21"/>
      <c r="C41" s="20">
        <v>46003</v>
      </c>
      <c r="D41" s="21" t="s">
        <v>111</v>
      </c>
      <c r="E41" s="21" t="s">
        <v>124</v>
      </c>
      <c r="F41" s="21" t="s">
        <v>116</v>
      </c>
      <c r="G41" s="21">
        <v>20</v>
      </c>
      <c r="H41" s="35">
        <v>39426.080000000002</v>
      </c>
      <c r="I41" s="35">
        <v>39426.080000000002</v>
      </c>
      <c r="J41" s="35">
        <f>CobrosPendientes[[#This Row],[Importe]]-CobrosPendientes[[#This Row],[Imp cobrado]]</f>
        <v>0</v>
      </c>
      <c r="K41" s="36">
        <v>46133</v>
      </c>
      <c r="L41" s="67" t="s">
        <v>22</v>
      </c>
      <c r="M41" s="12"/>
      <c r="N41" s="3"/>
      <c r="O41" s="12"/>
      <c r="P41" s="6"/>
      <c r="Q41" s="6"/>
      <c r="R41" s="15"/>
    </row>
    <row r="42" spans="1:18" ht="15.75">
      <c r="A42" s="21" t="s">
        <v>126</v>
      </c>
      <c r="B42" s="21"/>
      <c r="C42" s="20">
        <v>46003</v>
      </c>
      <c r="D42" s="21" t="s">
        <v>30</v>
      </c>
      <c r="E42" s="21" t="s">
        <v>39</v>
      </c>
      <c r="F42" s="21" t="s">
        <v>127</v>
      </c>
      <c r="G42" s="22">
        <v>5</v>
      </c>
      <c r="H42" s="35">
        <v>7254.25</v>
      </c>
      <c r="I42" s="35">
        <v>7254.25</v>
      </c>
      <c r="J42" s="35">
        <f>CobrosPendientes[[#This Row],[Importe]]-CobrosPendientes[[#This Row],[Imp cobrado]]</f>
        <v>0</v>
      </c>
      <c r="K42" s="36">
        <v>46057</v>
      </c>
      <c r="L42" s="64" t="s">
        <v>22</v>
      </c>
      <c r="M42" s="13"/>
      <c r="N42" s="3"/>
      <c r="O42" s="12"/>
      <c r="P42" s="6"/>
      <c r="Q42" s="6"/>
      <c r="R42" s="15"/>
    </row>
    <row r="43" spans="1:18" ht="15.75">
      <c r="A43" s="21" t="s">
        <v>128</v>
      </c>
      <c r="B43" s="21"/>
      <c r="C43" s="20">
        <v>46003</v>
      </c>
      <c r="D43" s="21" t="s">
        <v>30</v>
      </c>
      <c r="E43" s="21" t="s">
        <v>41</v>
      </c>
      <c r="F43" s="21" t="s">
        <v>127</v>
      </c>
      <c r="G43" s="22">
        <v>5</v>
      </c>
      <c r="H43" s="35">
        <v>7254.25</v>
      </c>
      <c r="I43" s="35">
        <v>7254.25</v>
      </c>
      <c r="J43" s="35">
        <f>CobrosPendientes[[#This Row],[Importe]]-CobrosPendientes[[#This Row],[Imp cobrado]]</f>
        <v>0</v>
      </c>
      <c r="K43" s="36">
        <v>46099</v>
      </c>
      <c r="L43" s="67" t="s">
        <v>22</v>
      </c>
      <c r="M43" s="12"/>
      <c r="N43" s="3"/>
      <c r="O43" s="12"/>
      <c r="P43" s="6"/>
      <c r="Q43" s="6"/>
      <c r="R43" s="15"/>
    </row>
    <row r="44" spans="1:18" ht="15.75">
      <c r="A44" s="21" t="s">
        <v>129</v>
      </c>
      <c r="B44" s="21"/>
      <c r="C44" s="20">
        <v>46003</v>
      </c>
      <c r="D44" s="21" t="s">
        <v>30</v>
      </c>
      <c r="E44" s="21" t="s">
        <v>49</v>
      </c>
      <c r="F44" s="21" t="s">
        <v>130</v>
      </c>
      <c r="G44" s="22">
        <v>5</v>
      </c>
      <c r="H44" s="35">
        <v>7371.31</v>
      </c>
      <c r="I44" s="35">
        <v>7371.31</v>
      </c>
      <c r="J44" s="35">
        <f>CobrosPendientes[[#This Row],[Importe]]-CobrosPendientes[[#This Row],[Imp cobrado]]</f>
        <v>0</v>
      </c>
      <c r="K44" s="36">
        <v>46099</v>
      </c>
      <c r="L44" s="67" t="s">
        <v>22</v>
      </c>
      <c r="M44" s="12"/>
      <c r="N44" s="3"/>
      <c r="O44" s="12"/>
      <c r="P44" s="6"/>
      <c r="Q44" s="6"/>
      <c r="R44" s="15"/>
    </row>
    <row r="45" spans="1:18" ht="15.75">
      <c r="A45" s="21" t="s">
        <v>131</v>
      </c>
      <c r="B45" s="21"/>
      <c r="C45" s="20">
        <v>46003</v>
      </c>
      <c r="D45" s="21" t="s">
        <v>30</v>
      </c>
      <c r="E45" s="21" t="s">
        <v>62</v>
      </c>
      <c r="F45" s="21" t="s">
        <v>45</v>
      </c>
      <c r="G45" s="21">
        <v>70</v>
      </c>
      <c r="H45" s="35">
        <v>44531.28</v>
      </c>
      <c r="I45" s="35">
        <v>44531.28</v>
      </c>
      <c r="J45" s="35">
        <f>CobrosPendientes[[#This Row],[Importe]]-CobrosPendientes[[#This Row],[Imp cobrado]]</f>
        <v>0</v>
      </c>
      <c r="K45" s="36">
        <v>46034</v>
      </c>
      <c r="L45" s="64" t="s">
        <v>22</v>
      </c>
      <c r="M45" s="13"/>
      <c r="N45" s="3"/>
      <c r="O45" s="12"/>
      <c r="P45" s="6"/>
      <c r="Q45" s="6"/>
      <c r="R45" s="15"/>
    </row>
    <row r="46" spans="1:18" ht="15.75">
      <c r="A46" s="21" t="s">
        <v>132</v>
      </c>
      <c r="B46" s="21"/>
      <c r="C46" s="20">
        <v>46003</v>
      </c>
      <c r="D46" s="21" t="s">
        <v>133</v>
      </c>
      <c r="E46" s="21" t="s">
        <v>134</v>
      </c>
      <c r="F46" s="21" t="s">
        <v>21</v>
      </c>
      <c r="G46" s="21">
        <v>35</v>
      </c>
      <c r="H46" s="35">
        <v>42401.1</v>
      </c>
      <c r="I46" s="35">
        <v>42401.1</v>
      </c>
      <c r="J46" s="35">
        <f>CobrosPendientes[[#This Row],[Importe]]-CobrosPendientes[[#This Row],[Imp cobrado]]</f>
        <v>0</v>
      </c>
      <c r="K46" s="36">
        <v>46034</v>
      </c>
      <c r="L46" s="64" t="s">
        <v>22</v>
      </c>
      <c r="M46" s="13"/>
      <c r="N46" s="3"/>
      <c r="O46" s="12"/>
      <c r="P46" s="6"/>
      <c r="Q46" s="6"/>
      <c r="R46" s="15"/>
    </row>
    <row r="47" spans="1:18" ht="15.75">
      <c r="A47" s="21" t="s">
        <v>135</v>
      </c>
      <c r="B47" s="21"/>
      <c r="C47" s="20">
        <v>46003</v>
      </c>
      <c r="D47" s="21" t="s">
        <v>133</v>
      </c>
      <c r="E47" s="21" t="s">
        <v>136</v>
      </c>
      <c r="F47" s="21" t="s">
        <v>21</v>
      </c>
      <c r="G47" s="21">
        <v>35</v>
      </c>
      <c r="H47" s="35">
        <v>42000.85</v>
      </c>
      <c r="I47" s="35">
        <v>42000.85</v>
      </c>
      <c r="J47" s="35">
        <f>CobrosPendientes[[#This Row],[Importe]]-CobrosPendientes[[#This Row],[Imp cobrado]]</f>
        <v>0</v>
      </c>
      <c r="K47" s="36">
        <v>46034</v>
      </c>
      <c r="L47" s="64" t="s">
        <v>22</v>
      </c>
      <c r="M47" s="13"/>
      <c r="N47" s="3"/>
      <c r="O47" s="12"/>
      <c r="P47" s="6"/>
      <c r="Q47" s="6"/>
      <c r="R47" s="15"/>
    </row>
    <row r="48" spans="1:18" ht="15.75">
      <c r="A48" s="21" t="s">
        <v>137</v>
      </c>
      <c r="B48" s="21"/>
      <c r="C48" s="20">
        <v>46003</v>
      </c>
      <c r="D48" s="21" t="s">
        <v>133</v>
      </c>
      <c r="E48" s="21" t="s">
        <v>138</v>
      </c>
      <c r="F48" s="21" t="s">
        <v>21</v>
      </c>
      <c r="G48" s="21">
        <v>35</v>
      </c>
      <c r="H48" s="35">
        <v>42333.71</v>
      </c>
      <c r="I48" s="35">
        <v>42333.71</v>
      </c>
      <c r="J48" s="35">
        <f>CobrosPendientes[[#This Row],[Importe]]-CobrosPendientes[[#This Row],[Imp cobrado]]</f>
        <v>0</v>
      </c>
      <c r="K48" s="36">
        <v>46034</v>
      </c>
      <c r="L48" s="64" t="s">
        <v>22</v>
      </c>
      <c r="M48" s="13"/>
      <c r="N48" s="3"/>
      <c r="O48" s="12"/>
      <c r="P48" s="11"/>
      <c r="Q48" s="6"/>
      <c r="R48" s="15"/>
    </row>
    <row r="49" spans="1:18" ht="15.75">
      <c r="A49" s="21" t="s">
        <v>139</v>
      </c>
      <c r="B49" s="21"/>
      <c r="C49" s="20">
        <v>46003</v>
      </c>
      <c r="D49" s="21" t="s">
        <v>133</v>
      </c>
      <c r="E49" s="21" t="s">
        <v>140</v>
      </c>
      <c r="F49" s="21" t="s">
        <v>21</v>
      </c>
      <c r="G49" s="21">
        <v>35</v>
      </c>
      <c r="H49" s="35">
        <v>42524.61</v>
      </c>
      <c r="I49" s="35">
        <v>42524.61</v>
      </c>
      <c r="J49" s="35">
        <f>CobrosPendientes[[#This Row],[Importe]]-CobrosPendientes[[#This Row],[Imp cobrado]]</f>
        <v>0</v>
      </c>
      <c r="K49" s="36">
        <v>46034</v>
      </c>
      <c r="L49" s="64" t="s">
        <v>22</v>
      </c>
      <c r="M49" s="13"/>
      <c r="N49" s="3"/>
      <c r="O49" s="12"/>
      <c r="P49" s="6"/>
      <c r="Q49" s="6"/>
      <c r="R49" s="15"/>
    </row>
    <row r="50" spans="1:18" ht="15.75">
      <c r="A50" s="21" t="s">
        <v>141</v>
      </c>
      <c r="B50" s="21"/>
      <c r="C50" s="20">
        <v>46003</v>
      </c>
      <c r="D50" s="21" t="s">
        <v>133</v>
      </c>
      <c r="E50" s="21" t="s">
        <v>142</v>
      </c>
      <c r="F50" s="21" t="s">
        <v>21</v>
      </c>
      <c r="G50" s="21">
        <v>35</v>
      </c>
      <c r="H50" s="35">
        <v>44825.02</v>
      </c>
      <c r="I50" s="35">
        <v>44825.02</v>
      </c>
      <c r="J50" s="35">
        <f>CobrosPendientes[[#This Row],[Importe]]-CobrosPendientes[[#This Row],[Imp cobrado]]</f>
        <v>0</v>
      </c>
      <c r="K50" s="36">
        <v>46034</v>
      </c>
      <c r="L50" s="64" t="s">
        <v>22</v>
      </c>
      <c r="M50" s="13"/>
      <c r="N50" s="3"/>
      <c r="O50" s="12"/>
      <c r="P50" s="11"/>
      <c r="Q50" s="6"/>
      <c r="R50" s="15"/>
    </row>
    <row r="51" spans="1:18" ht="15.75">
      <c r="A51" s="21" t="s">
        <v>143</v>
      </c>
      <c r="B51" s="21"/>
      <c r="C51" s="20">
        <v>46003</v>
      </c>
      <c r="D51" s="21" t="s">
        <v>34</v>
      </c>
      <c r="E51" s="21" t="s">
        <v>35</v>
      </c>
      <c r="F51" s="21" t="s">
        <v>54</v>
      </c>
      <c r="G51" s="21">
        <v>5</v>
      </c>
      <c r="H51" s="35">
        <v>23094.6</v>
      </c>
      <c r="I51" s="35">
        <v>23094.6</v>
      </c>
      <c r="J51" s="35">
        <f>CobrosPendientes[[#This Row],[Importe]]-CobrosPendientes[[#This Row],[Imp cobrado]]</f>
        <v>0</v>
      </c>
      <c r="K51" s="36">
        <v>46051</v>
      </c>
      <c r="L51" s="64" t="s">
        <v>22</v>
      </c>
      <c r="M51" s="13"/>
      <c r="N51" s="3"/>
      <c r="O51" s="12"/>
      <c r="P51" s="6"/>
      <c r="Q51" s="6"/>
      <c r="R51" s="15"/>
    </row>
    <row r="52" spans="1:18" ht="15.75">
      <c r="A52" s="21" t="s">
        <v>144</v>
      </c>
      <c r="B52" s="21"/>
      <c r="C52" s="20">
        <v>46006</v>
      </c>
      <c r="D52" s="21" t="s">
        <v>97</v>
      </c>
      <c r="E52" s="21" t="s">
        <v>98</v>
      </c>
      <c r="F52" s="21" t="s">
        <v>24</v>
      </c>
      <c r="G52" s="21">
        <v>20</v>
      </c>
      <c r="H52" s="35">
        <v>100202.04</v>
      </c>
      <c r="I52" s="35">
        <v>100202.04</v>
      </c>
      <c r="J52" s="35">
        <f>CobrosPendientes[[#This Row],[Importe]]-CobrosPendientes[[#This Row],[Imp cobrado]]</f>
        <v>0</v>
      </c>
      <c r="K52" s="36">
        <v>46042</v>
      </c>
      <c r="L52" s="64" t="s">
        <v>22</v>
      </c>
      <c r="M52" s="13"/>
      <c r="N52" s="3"/>
      <c r="O52" s="12"/>
      <c r="P52" s="6"/>
      <c r="Q52" s="6"/>
      <c r="R52" s="15"/>
    </row>
    <row r="53" spans="1:18" ht="15.75">
      <c r="A53" s="21" t="s">
        <v>145</v>
      </c>
      <c r="B53" s="21"/>
      <c r="C53" s="20">
        <v>46006</v>
      </c>
      <c r="D53" s="21" t="s">
        <v>97</v>
      </c>
      <c r="E53" s="21" t="s">
        <v>100</v>
      </c>
      <c r="F53" s="21" t="s">
        <v>24</v>
      </c>
      <c r="G53" s="21">
        <v>20</v>
      </c>
      <c r="H53" s="35">
        <v>207470.64</v>
      </c>
      <c r="I53" s="35">
        <v>207470.64</v>
      </c>
      <c r="J53" s="35">
        <f>CobrosPendientes[[#This Row],[Importe]]-CobrosPendientes[[#This Row],[Imp cobrado]]</f>
        <v>0</v>
      </c>
      <c r="K53" s="36">
        <v>46049</v>
      </c>
      <c r="L53" s="64" t="s">
        <v>22</v>
      </c>
      <c r="M53" s="13"/>
      <c r="N53" s="3"/>
      <c r="O53" s="12"/>
      <c r="P53" s="6"/>
      <c r="Q53" s="6"/>
      <c r="R53" s="15"/>
    </row>
    <row r="54" spans="1:18" ht="15.75">
      <c r="A54" s="21" t="s">
        <v>146</v>
      </c>
      <c r="B54" s="21"/>
      <c r="C54" s="20">
        <v>46006</v>
      </c>
      <c r="D54" s="21" t="s">
        <v>147</v>
      </c>
      <c r="E54" s="21" t="s">
        <v>148</v>
      </c>
      <c r="F54" s="21" t="s">
        <v>24</v>
      </c>
      <c r="G54" s="21">
        <v>25</v>
      </c>
      <c r="H54" s="35">
        <v>176235.57</v>
      </c>
      <c r="I54" s="35">
        <v>176235.57</v>
      </c>
      <c r="J54" s="35">
        <f>CobrosPendientes[[#This Row],[Importe]]-CobrosPendientes[[#This Row],[Imp cobrado]]</f>
        <v>0</v>
      </c>
      <c r="K54" s="36">
        <v>46057</v>
      </c>
      <c r="L54" s="64" t="s">
        <v>22</v>
      </c>
      <c r="M54" s="13"/>
      <c r="N54" s="3"/>
      <c r="O54" s="12"/>
      <c r="P54" s="6"/>
      <c r="Q54" s="6"/>
      <c r="R54" s="15"/>
    </row>
    <row r="55" spans="1:18" ht="15.75">
      <c r="A55" s="21" t="s">
        <v>149</v>
      </c>
      <c r="B55" s="21"/>
      <c r="C55" s="20">
        <v>46006</v>
      </c>
      <c r="D55" s="21" t="s">
        <v>147</v>
      </c>
      <c r="E55" s="21" t="s">
        <v>150</v>
      </c>
      <c r="F55" s="21" t="s">
        <v>24</v>
      </c>
      <c r="G55" s="21">
        <v>25</v>
      </c>
      <c r="H55" s="35">
        <v>328394.78999999998</v>
      </c>
      <c r="I55" s="35">
        <v>328394.78999999998</v>
      </c>
      <c r="J55" s="35">
        <f>CobrosPendientes[[#This Row],[Importe]]-CobrosPendientes[[#This Row],[Imp cobrado]]</f>
        <v>0</v>
      </c>
      <c r="K55" s="36">
        <v>46077</v>
      </c>
      <c r="L55" s="64" t="s">
        <v>22</v>
      </c>
      <c r="M55" s="12"/>
      <c r="N55" s="3"/>
      <c r="O55" s="12"/>
      <c r="P55" s="6"/>
      <c r="Q55" s="6"/>
      <c r="R55" s="60"/>
    </row>
    <row r="56" spans="1:18" ht="15.75">
      <c r="A56" s="21" t="s">
        <v>151</v>
      </c>
      <c r="B56" s="21"/>
      <c r="C56" s="20">
        <v>46006</v>
      </c>
      <c r="D56" s="21" t="s">
        <v>87</v>
      </c>
      <c r="E56" s="21" t="s">
        <v>152</v>
      </c>
      <c r="F56" s="21" t="s">
        <v>24</v>
      </c>
      <c r="G56" s="21">
        <v>20</v>
      </c>
      <c r="H56" s="35">
        <v>54671.23</v>
      </c>
      <c r="I56" s="35">
        <v>54671.23</v>
      </c>
      <c r="J56" s="35">
        <f>CobrosPendientes[[#This Row],[Importe]]-CobrosPendientes[[#This Row],[Imp cobrado]]</f>
        <v>0</v>
      </c>
      <c r="K56" s="36">
        <v>46066</v>
      </c>
      <c r="L56" s="64" t="s">
        <v>22</v>
      </c>
      <c r="M56" s="12"/>
      <c r="N56" s="3"/>
      <c r="O56" s="12"/>
      <c r="P56" s="6"/>
      <c r="Q56" s="6"/>
      <c r="R56" s="15"/>
    </row>
    <row r="57" spans="1:18" ht="15.75">
      <c r="A57" s="21" t="s">
        <v>153</v>
      </c>
      <c r="B57" s="21"/>
      <c r="C57" s="20">
        <v>46007</v>
      </c>
      <c r="D57" s="21" t="s">
        <v>34</v>
      </c>
      <c r="E57" s="21" t="s">
        <v>35</v>
      </c>
      <c r="F57" s="21" t="s">
        <v>154</v>
      </c>
      <c r="G57" s="21">
        <v>100</v>
      </c>
      <c r="H57" s="35">
        <v>2590</v>
      </c>
      <c r="I57" s="35">
        <v>2590</v>
      </c>
      <c r="J57" s="35">
        <f>CobrosPendientes[[#This Row],[Importe]]-CobrosPendientes[[#This Row],[Imp cobrado]]</f>
        <v>0</v>
      </c>
      <c r="K57" s="36">
        <v>46030</v>
      </c>
      <c r="L57" s="64" t="s">
        <v>22</v>
      </c>
      <c r="M57" s="13"/>
      <c r="N57" s="3"/>
      <c r="O57" s="12"/>
      <c r="P57" s="6"/>
      <c r="Q57" s="6"/>
      <c r="R57" s="15"/>
    </row>
    <row r="58" spans="1:18" ht="15.75">
      <c r="A58" s="21" t="s">
        <v>155</v>
      </c>
      <c r="B58" s="21"/>
      <c r="C58" s="20">
        <v>46009</v>
      </c>
      <c r="D58" s="21" t="s">
        <v>156</v>
      </c>
      <c r="E58" s="21" t="s">
        <v>157</v>
      </c>
      <c r="F58" s="21" t="s">
        <v>67</v>
      </c>
      <c r="G58" s="21">
        <v>30</v>
      </c>
      <c r="H58" s="35">
        <v>147538.47</v>
      </c>
      <c r="I58" s="35">
        <v>147538.47</v>
      </c>
      <c r="J58" s="35">
        <f>CobrosPendientes[[#This Row],[Importe]]-CobrosPendientes[[#This Row],[Imp cobrado]]</f>
        <v>0</v>
      </c>
      <c r="K58" s="36">
        <v>46065</v>
      </c>
      <c r="L58" s="64" t="s">
        <v>22</v>
      </c>
      <c r="M58" s="12"/>
      <c r="N58" s="3"/>
      <c r="O58" s="12"/>
      <c r="P58" s="6"/>
      <c r="Q58" s="6"/>
      <c r="R58" s="15"/>
    </row>
    <row r="59" spans="1:18" ht="15.75">
      <c r="A59" s="12" t="s">
        <v>158</v>
      </c>
      <c r="B59" s="12"/>
      <c r="C59" s="13">
        <v>46014</v>
      </c>
      <c r="D59" s="12" t="s">
        <v>159</v>
      </c>
      <c r="E59" s="12" t="s">
        <v>160</v>
      </c>
      <c r="F59" s="12" t="s">
        <v>160</v>
      </c>
      <c r="G59" s="12">
        <v>100</v>
      </c>
      <c r="H59" s="7">
        <v>244078.92</v>
      </c>
      <c r="I59" s="7"/>
      <c r="J59" s="7">
        <f>CobrosPendientes[[#This Row],[Importe]]-CobrosPendientes[[#This Row],[Imp cobrado]]</f>
        <v>244078.92</v>
      </c>
      <c r="K59" s="19"/>
      <c r="L59" s="12"/>
      <c r="M59" s="12"/>
      <c r="N59" s="3"/>
      <c r="O59" s="12"/>
      <c r="P59" s="6"/>
      <c r="Q59" s="6"/>
      <c r="R59" s="15"/>
    </row>
    <row r="60" spans="1:18" ht="15.75">
      <c r="A60" s="12" t="s">
        <v>161</v>
      </c>
      <c r="B60" s="12"/>
      <c r="C60" s="13">
        <v>46017</v>
      </c>
      <c r="D60" s="12" t="s">
        <v>162</v>
      </c>
      <c r="E60" s="12" t="s">
        <v>163</v>
      </c>
      <c r="F60" s="12" t="s">
        <v>67</v>
      </c>
      <c r="G60" s="12">
        <v>25</v>
      </c>
      <c r="H60" s="35">
        <v>33026.79</v>
      </c>
      <c r="I60" s="35">
        <v>33026.79</v>
      </c>
      <c r="J60" s="35">
        <f>CobrosPendientes[[#This Row],[Importe]]-CobrosPendientes[[#This Row],[Imp cobrado]]</f>
        <v>0</v>
      </c>
      <c r="K60" s="36">
        <v>46043</v>
      </c>
      <c r="L60" s="64" t="s">
        <v>22</v>
      </c>
      <c r="M60" s="13"/>
      <c r="N60" s="3"/>
      <c r="O60" s="12"/>
      <c r="P60" s="6"/>
      <c r="Q60" s="6"/>
      <c r="R60" s="15"/>
    </row>
    <row r="61" spans="1:18" ht="15.75">
      <c r="A61" s="21" t="s">
        <v>164</v>
      </c>
      <c r="B61" s="21"/>
      <c r="C61" s="20">
        <v>46017</v>
      </c>
      <c r="D61" s="21" t="s">
        <v>162</v>
      </c>
      <c r="E61" s="21" t="s">
        <v>165</v>
      </c>
      <c r="F61" s="21" t="s">
        <v>67</v>
      </c>
      <c r="G61" s="21">
        <v>25</v>
      </c>
      <c r="H61" s="35">
        <v>110501.36</v>
      </c>
      <c r="I61" s="35">
        <v>110501.36</v>
      </c>
      <c r="J61" s="35">
        <f>CobrosPendientes[[#This Row],[Importe]]-CobrosPendientes[[#This Row],[Imp cobrado]]</f>
        <v>0</v>
      </c>
      <c r="K61" s="36">
        <v>46043</v>
      </c>
      <c r="L61" s="64" t="s">
        <v>22</v>
      </c>
      <c r="M61" s="13"/>
      <c r="N61" s="3"/>
      <c r="O61" s="12"/>
      <c r="P61" s="6"/>
      <c r="Q61" s="6"/>
      <c r="R61" s="15"/>
    </row>
    <row r="62" spans="1:18" ht="30.75">
      <c r="A62" s="21" t="s">
        <v>166</v>
      </c>
      <c r="B62" s="21"/>
      <c r="C62" s="20">
        <v>46017</v>
      </c>
      <c r="D62" s="21" t="s">
        <v>167</v>
      </c>
      <c r="E62" s="21" t="s">
        <v>168</v>
      </c>
      <c r="F62" s="21" t="s">
        <v>67</v>
      </c>
      <c r="G62" s="21">
        <v>30</v>
      </c>
      <c r="H62" s="35">
        <v>36000</v>
      </c>
      <c r="I62" s="35">
        <v>36000</v>
      </c>
      <c r="J62" s="35">
        <f>CobrosPendientes[[#This Row],[Importe]]-CobrosPendientes[[#This Row],[Imp cobrado]]</f>
        <v>0</v>
      </c>
      <c r="K62" s="36">
        <v>46034</v>
      </c>
      <c r="L62" s="64" t="s">
        <v>22</v>
      </c>
      <c r="M62" s="13"/>
      <c r="N62" s="27" t="s">
        <v>169</v>
      </c>
      <c r="O62" s="71"/>
      <c r="P62" s="6"/>
      <c r="Q62" s="6"/>
      <c r="R62" s="15"/>
    </row>
    <row r="63" spans="1:18" ht="15.75">
      <c r="A63" s="21" t="s">
        <v>170</v>
      </c>
      <c r="B63" s="21"/>
      <c r="C63" s="20">
        <v>46017</v>
      </c>
      <c r="D63" s="21" t="s">
        <v>171</v>
      </c>
      <c r="E63" s="21" t="s">
        <v>172</v>
      </c>
      <c r="F63" s="21" t="s">
        <v>67</v>
      </c>
      <c r="G63" s="21">
        <v>30</v>
      </c>
      <c r="H63" s="35">
        <v>44100</v>
      </c>
      <c r="I63" s="35">
        <v>44100</v>
      </c>
      <c r="J63" s="35">
        <f>CobrosPendientes[[#This Row],[Importe]]-CobrosPendientes[[#This Row],[Imp cobrado]]</f>
        <v>0</v>
      </c>
      <c r="K63" s="36">
        <v>46035</v>
      </c>
      <c r="L63" s="64" t="s">
        <v>22</v>
      </c>
      <c r="M63" s="13"/>
      <c r="N63" s="10" t="s">
        <v>173</v>
      </c>
      <c r="O63" s="10"/>
      <c r="P63" s="6"/>
      <c r="Q63" s="6"/>
      <c r="R63" s="15"/>
    </row>
    <row r="64" spans="1:18" ht="39.75" customHeight="1">
      <c r="A64" s="39" t="s">
        <v>174</v>
      </c>
      <c r="B64" s="39"/>
      <c r="C64" s="38">
        <v>46017</v>
      </c>
      <c r="D64" s="39" t="s">
        <v>175</v>
      </c>
      <c r="E64" s="39" t="s">
        <v>176</v>
      </c>
      <c r="F64" s="39" t="s">
        <v>67</v>
      </c>
      <c r="G64" s="39">
        <v>25</v>
      </c>
      <c r="H64" s="43">
        <v>31835.54</v>
      </c>
      <c r="I64" s="43"/>
      <c r="J64" s="43"/>
      <c r="K64" s="19"/>
      <c r="L64" s="12"/>
      <c r="M64" s="12"/>
      <c r="N64" s="28" t="s">
        <v>177</v>
      </c>
      <c r="O64" s="72" t="s">
        <v>22</v>
      </c>
      <c r="P64" s="6" t="s">
        <v>178</v>
      </c>
      <c r="Q64" s="74">
        <v>46029</v>
      </c>
      <c r="R64" s="15">
        <v>31835.54</v>
      </c>
    </row>
    <row r="65" spans="1:18" ht="15.75">
      <c r="A65" s="21" t="s">
        <v>179</v>
      </c>
      <c r="B65" s="21"/>
      <c r="C65" s="20">
        <v>46017</v>
      </c>
      <c r="D65" s="21" t="s">
        <v>80</v>
      </c>
      <c r="E65" s="21" t="s">
        <v>81</v>
      </c>
      <c r="F65" s="21" t="s">
        <v>24</v>
      </c>
      <c r="G65" s="21">
        <v>20</v>
      </c>
      <c r="H65" s="35">
        <v>78932.77</v>
      </c>
      <c r="I65" s="35">
        <v>78932.77</v>
      </c>
      <c r="J65" s="35">
        <f>CobrosPendientes[[#This Row],[Importe]]-CobrosPendientes[[#This Row],[Imp cobrado]]</f>
        <v>0</v>
      </c>
      <c r="K65" s="36">
        <v>46041</v>
      </c>
      <c r="L65" s="64" t="s">
        <v>22</v>
      </c>
      <c r="M65" s="13"/>
      <c r="N65" s="3"/>
      <c r="O65" s="12"/>
      <c r="P65" s="6"/>
      <c r="Q65" s="6"/>
      <c r="R65" s="15"/>
    </row>
    <row r="66" spans="1:18" ht="15.75">
      <c r="A66" s="21" t="s">
        <v>180</v>
      </c>
      <c r="B66" s="21"/>
      <c r="C66" s="20">
        <v>46017</v>
      </c>
      <c r="D66" s="21" t="s">
        <v>181</v>
      </c>
      <c r="E66" s="21" t="s">
        <v>85</v>
      </c>
      <c r="F66" s="21" t="s">
        <v>24</v>
      </c>
      <c r="G66" s="21">
        <v>20</v>
      </c>
      <c r="H66" s="35">
        <v>58992.480000000003</v>
      </c>
      <c r="I66" s="35">
        <v>58992.480000000003</v>
      </c>
      <c r="J66" s="35">
        <f>CobrosPendientes[[#This Row],[Importe]]-CobrosPendientes[[#This Row],[Imp cobrado]]</f>
        <v>0</v>
      </c>
      <c r="K66" s="36">
        <v>46056</v>
      </c>
      <c r="L66" s="64" t="s">
        <v>22</v>
      </c>
      <c r="M66" s="13"/>
      <c r="N66" s="3"/>
      <c r="O66" s="12"/>
      <c r="P66" s="6"/>
      <c r="Q66" s="6"/>
      <c r="R66" s="15"/>
    </row>
    <row r="67" spans="1:18" ht="15.75">
      <c r="A67" s="21" t="s">
        <v>182</v>
      </c>
      <c r="B67" s="21"/>
      <c r="C67" s="20">
        <v>46017</v>
      </c>
      <c r="D67" s="21" t="s">
        <v>183</v>
      </c>
      <c r="E67" s="21" t="s">
        <v>184</v>
      </c>
      <c r="F67" s="21" t="s">
        <v>54</v>
      </c>
      <c r="G67" s="21">
        <v>5</v>
      </c>
      <c r="H67" s="35">
        <v>7639.26</v>
      </c>
      <c r="I67" s="35">
        <v>7639.26</v>
      </c>
      <c r="J67" s="35">
        <f>CobrosPendientes[[#This Row],[Importe]]-CobrosPendientes[[#This Row],[Imp cobrado]]</f>
        <v>0</v>
      </c>
      <c r="K67" s="36">
        <v>46030</v>
      </c>
      <c r="L67" s="64" t="s">
        <v>22</v>
      </c>
      <c r="M67" s="13"/>
      <c r="N67" s="3"/>
      <c r="O67" s="12"/>
      <c r="P67" s="6"/>
      <c r="Q67" s="6"/>
      <c r="R67" s="15"/>
    </row>
    <row r="68" spans="1:18" ht="15.75">
      <c r="A68" s="21" t="s">
        <v>185</v>
      </c>
      <c r="B68" s="21"/>
      <c r="C68" s="20">
        <v>46017</v>
      </c>
      <c r="D68" s="21" t="s">
        <v>186</v>
      </c>
      <c r="E68" s="21" t="s">
        <v>187</v>
      </c>
      <c r="F68" s="21" t="s">
        <v>24</v>
      </c>
      <c r="G68" s="22">
        <v>35</v>
      </c>
      <c r="H68" s="35">
        <v>36142.800000000003</v>
      </c>
      <c r="I68" s="35">
        <v>36142.800000000003</v>
      </c>
      <c r="J68" s="35">
        <f>CobrosPendientes[[#This Row],[Importe]]-CobrosPendientes[[#This Row],[Imp cobrado]]</f>
        <v>0</v>
      </c>
      <c r="K68" s="36">
        <v>46035</v>
      </c>
      <c r="L68" s="64" t="s">
        <v>22</v>
      </c>
      <c r="M68" s="13"/>
      <c r="N68" s="3"/>
      <c r="O68" s="12"/>
      <c r="P68" s="6"/>
      <c r="Q68" s="6"/>
      <c r="R68" s="15"/>
    </row>
    <row r="69" spans="1:18" ht="15.75">
      <c r="A69" s="21" t="s">
        <v>188</v>
      </c>
      <c r="B69" s="21"/>
      <c r="C69" s="20">
        <v>46017</v>
      </c>
      <c r="D69" s="21" t="s">
        <v>186</v>
      </c>
      <c r="E69" s="21" t="s">
        <v>189</v>
      </c>
      <c r="F69" s="21" t="s">
        <v>190</v>
      </c>
      <c r="G69" s="22">
        <v>35</v>
      </c>
      <c r="H69" s="35">
        <v>38736.94</v>
      </c>
      <c r="I69" s="35">
        <v>38736.94</v>
      </c>
      <c r="J69" s="35">
        <f>CobrosPendientes[[#This Row],[Importe]]-CobrosPendientes[[#This Row],[Imp cobrado]]</f>
        <v>0</v>
      </c>
      <c r="K69" s="36">
        <v>46035</v>
      </c>
      <c r="L69" s="64" t="s">
        <v>22</v>
      </c>
      <c r="M69" s="13"/>
      <c r="N69" s="3"/>
      <c r="O69" s="12"/>
      <c r="P69" s="6"/>
      <c r="Q69" s="6"/>
      <c r="R69" s="15"/>
    </row>
    <row r="70" spans="1:18" ht="15.75">
      <c r="A70" s="21" t="s">
        <v>191</v>
      </c>
      <c r="B70" s="21"/>
      <c r="C70" s="20">
        <v>46017</v>
      </c>
      <c r="D70" s="21" t="s">
        <v>186</v>
      </c>
      <c r="E70" s="21" t="s">
        <v>192</v>
      </c>
      <c r="F70" s="21" t="s">
        <v>190</v>
      </c>
      <c r="G70" s="22">
        <v>35</v>
      </c>
      <c r="H70" s="35">
        <v>35424.11</v>
      </c>
      <c r="I70" s="35">
        <v>35424.11</v>
      </c>
      <c r="J70" s="35">
        <f>CobrosPendientes[[#This Row],[Importe]]-CobrosPendientes[[#This Row],[Imp cobrado]]</f>
        <v>0</v>
      </c>
      <c r="K70" s="36">
        <v>46036</v>
      </c>
      <c r="L70" s="64" t="s">
        <v>22</v>
      </c>
      <c r="M70" s="13"/>
      <c r="N70" s="3"/>
      <c r="O70" s="12"/>
      <c r="P70" s="6"/>
      <c r="Q70" s="6"/>
      <c r="R70" s="15"/>
    </row>
    <row r="71" spans="1:18" ht="15.75">
      <c r="A71" s="21" t="s">
        <v>193</v>
      </c>
      <c r="B71" s="21"/>
      <c r="C71" s="20">
        <v>46017</v>
      </c>
      <c r="D71" s="21" t="s">
        <v>186</v>
      </c>
      <c r="E71" s="21" t="s">
        <v>194</v>
      </c>
      <c r="F71" s="21" t="s">
        <v>24</v>
      </c>
      <c r="G71" s="22">
        <v>35</v>
      </c>
      <c r="H71" s="35">
        <v>35810.33</v>
      </c>
      <c r="I71" s="35">
        <v>35810.33</v>
      </c>
      <c r="J71" s="35">
        <f>CobrosPendientes[[#This Row],[Importe]]-CobrosPendientes[[#This Row],[Imp cobrado]]</f>
        <v>0</v>
      </c>
      <c r="K71" s="36">
        <v>46035</v>
      </c>
      <c r="L71" s="64" t="s">
        <v>22</v>
      </c>
      <c r="M71" s="13"/>
      <c r="N71" s="3"/>
      <c r="O71" s="12"/>
      <c r="P71" s="6"/>
      <c r="Q71" s="6"/>
      <c r="R71" s="15"/>
    </row>
    <row r="72" spans="1:18" ht="15.75">
      <c r="A72" s="83" t="s">
        <v>195</v>
      </c>
      <c r="B72" s="83"/>
      <c r="C72" s="84">
        <v>46017</v>
      </c>
      <c r="D72" s="83" t="s">
        <v>167</v>
      </c>
      <c r="E72" s="83" t="s">
        <v>196</v>
      </c>
      <c r="F72" s="83" t="s">
        <v>197</v>
      </c>
      <c r="G72" s="85">
        <v>60</v>
      </c>
      <c r="H72" s="35">
        <v>37740</v>
      </c>
      <c r="I72" s="35">
        <v>37740</v>
      </c>
      <c r="J72" s="35">
        <f>CobrosPendientes[[#This Row],[Importe]]-CobrosPendientes[[#This Row],[Imp cobrado]]</f>
        <v>0</v>
      </c>
      <c r="K72" s="36">
        <v>46045</v>
      </c>
      <c r="L72" s="64" t="s">
        <v>22</v>
      </c>
      <c r="M72" s="13"/>
      <c r="N72" s="3"/>
      <c r="O72" s="12"/>
      <c r="P72" s="6"/>
      <c r="Q72" s="6"/>
      <c r="R72" s="15"/>
    </row>
    <row r="73" spans="1:18" ht="15.75">
      <c r="A73" s="12" t="s">
        <v>198</v>
      </c>
      <c r="B73" s="12"/>
      <c r="C73" s="13">
        <v>46017</v>
      </c>
      <c r="D73" s="12" t="s">
        <v>167</v>
      </c>
      <c r="E73" s="12" t="s">
        <v>199</v>
      </c>
      <c r="F73" s="12" t="s">
        <v>200</v>
      </c>
      <c r="G73" s="14">
        <v>60</v>
      </c>
      <c r="H73" s="7">
        <v>37740</v>
      </c>
      <c r="I73" s="7"/>
      <c r="J73" s="7">
        <f>CobrosPendientes[[#This Row],[Importe]]-CobrosPendientes[[#This Row],[Imp cobrado]]</f>
        <v>37740</v>
      </c>
      <c r="K73" s="19"/>
      <c r="L73" s="12"/>
      <c r="M73" s="12"/>
      <c r="N73" s="3"/>
      <c r="O73" s="12"/>
      <c r="P73" s="6"/>
      <c r="Q73" s="6"/>
      <c r="R73" s="15"/>
    </row>
    <row r="74" spans="1:18" ht="15.75">
      <c r="A74" s="21" t="s">
        <v>201</v>
      </c>
      <c r="B74" s="21"/>
      <c r="C74" s="20">
        <v>46017</v>
      </c>
      <c r="D74" s="21" t="s">
        <v>167</v>
      </c>
      <c r="E74" s="21" t="s">
        <v>202</v>
      </c>
      <c r="F74" s="21" t="s">
        <v>200</v>
      </c>
      <c r="G74" s="22">
        <v>60</v>
      </c>
      <c r="H74" s="35">
        <v>39300</v>
      </c>
      <c r="I74" s="35">
        <v>39300</v>
      </c>
      <c r="J74" s="35">
        <f>CobrosPendientes[[#This Row],[Importe]]-CobrosPendientes[[#This Row],[Imp cobrado]]</f>
        <v>0</v>
      </c>
      <c r="K74" s="36">
        <v>46056</v>
      </c>
      <c r="L74" s="64" t="s">
        <v>22</v>
      </c>
      <c r="M74" s="13"/>
      <c r="N74" s="3"/>
      <c r="O74" s="12"/>
      <c r="P74" s="6"/>
      <c r="Q74" s="6"/>
      <c r="R74" s="15"/>
    </row>
    <row r="75" spans="1:18" ht="15.75">
      <c r="A75" s="12" t="s">
        <v>203</v>
      </c>
      <c r="B75" s="12"/>
      <c r="C75" s="13">
        <v>46017</v>
      </c>
      <c r="D75" s="12" t="s">
        <v>167</v>
      </c>
      <c r="E75" s="12" t="s">
        <v>204</v>
      </c>
      <c r="F75" s="12" t="s">
        <v>200</v>
      </c>
      <c r="G75" s="14">
        <v>60</v>
      </c>
      <c r="H75" s="7">
        <v>37740</v>
      </c>
      <c r="I75" s="7"/>
      <c r="J75" s="7">
        <f>CobrosPendientes[[#This Row],[Importe]]-CobrosPendientes[[#This Row],[Imp cobrado]]</f>
        <v>37740</v>
      </c>
      <c r="K75" s="19"/>
      <c r="L75" s="12"/>
      <c r="M75" s="12"/>
      <c r="N75" s="3"/>
      <c r="O75" s="12"/>
      <c r="P75" s="6"/>
      <c r="Q75" s="6"/>
      <c r="R75" s="15"/>
    </row>
    <row r="76" spans="1:18" ht="15.75">
      <c r="A76" s="21" t="s">
        <v>205</v>
      </c>
      <c r="B76" s="21"/>
      <c r="C76" s="20">
        <v>46017</v>
      </c>
      <c r="D76" s="21" t="s">
        <v>167</v>
      </c>
      <c r="E76" s="21" t="s">
        <v>206</v>
      </c>
      <c r="F76" s="21" t="s">
        <v>207</v>
      </c>
      <c r="G76" s="22">
        <v>60</v>
      </c>
      <c r="H76" s="35">
        <v>37740</v>
      </c>
      <c r="I76" s="35">
        <v>37740</v>
      </c>
      <c r="J76" s="35">
        <f>CobrosPendientes[[#This Row],[Importe]]-CobrosPendientes[[#This Row],[Imp cobrado]]</f>
        <v>0</v>
      </c>
      <c r="K76" s="36">
        <v>46056</v>
      </c>
      <c r="L76" s="64" t="s">
        <v>22</v>
      </c>
      <c r="M76" s="13"/>
      <c r="N76" s="3"/>
      <c r="O76" s="12"/>
      <c r="P76" s="6"/>
      <c r="Q76" s="6"/>
      <c r="R76" s="15"/>
    </row>
    <row r="77" spans="1:18" ht="15.75">
      <c r="A77" s="21" t="s">
        <v>208</v>
      </c>
      <c r="B77" s="21"/>
      <c r="C77" s="20">
        <v>46017</v>
      </c>
      <c r="D77" s="21" t="s">
        <v>167</v>
      </c>
      <c r="E77" s="21" t="s">
        <v>209</v>
      </c>
      <c r="F77" s="21" t="s">
        <v>200</v>
      </c>
      <c r="G77" s="22">
        <v>60</v>
      </c>
      <c r="H77" s="35">
        <v>37740</v>
      </c>
      <c r="I77" s="35">
        <v>37740</v>
      </c>
      <c r="J77" s="35">
        <f>CobrosPendientes[[#This Row],[Importe]]-CobrosPendientes[[#This Row],[Imp cobrado]]</f>
        <v>0</v>
      </c>
      <c r="K77" s="36">
        <v>46163</v>
      </c>
      <c r="L77" s="67" t="s">
        <v>22</v>
      </c>
      <c r="M77" s="12"/>
      <c r="N77" s="3"/>
      <c r="O77" s="12"/>
      <c r="P77" s="6"/>
      <c r="Q77" s="6"/>
      <c r="R77" s="15"/>
    </row>
    <row r="78" spans="1:18" ht="15.75">
      <c r="A78" s="21" t="s">
        <v>210</v>
      </c>
      <c r="B78" s="21"/>
      <c r="C78" s="20">
        <v>46020</v>
      </c>
      <c r="D78" s="21" t="s">
        <v>133</v>
      </c>
      <c r="E78" s="21" t="s">
        <v>142</v>
      </c>
      <c r="F78" s="21" t="s">
        <v>24</v>
      </c>
      <c r="G78" s="21">
        <v>30</v>
      </c>
      <c r="H78" s="35">
        <v>39973.85</v>
      </c>
      <c r="I78" s="35">
        <v>39973.85</v>
      </c>
      <c r="J78" s="35">
        <f>CobrosPendientes[[#This Row],[Importe]]-CobrosPendientes[[#This Row],[Imp cobrado]]</f>
        <v>0</v>
      </c>
      <c r="K78" s="36">
        <v>46034</v>
      </c>
      <c r="L78" s="64" t="s">
        <v>22</v>
      </c>
      <c r="M78" s="13"/>
      <c r="N78" s="3" t="s">
        <v>92</v>
      </c>
      <c r="O78" s="12"/>
      <c r="P78" s="6"/>
      <c r="Q78" s="6"/>
      <c r="R78" s="15"/>
    </row>
    <row r="79" spans="1:18" ht="15.75">
      <c r="A79" s="21" t="s">
        <v>211</v>
      </c>
      <c r="B79" s="21"/>
      <c r="C79" s="20">
        <v>46020</v>
      </c>
      <c r="D79" s="21" t="s">
        <v>133</v>
      </c>
      <c r="E79" s="21" t="s">
        <v>138</v>
      </c>
      <c r="F79" s="21" t="s">
        <v>24</v>
      </c>
      <c r="G79" s="21">
        <v>30</v>
      </c>
      <c r="H79" s="35">
        <v>37838.42</v>
      </c>
      <c r="I79" s="35">
        <v>37838.42</v>
      </c>
      <c r="J79" s="35">
        <f>CobrosPendientes[[#This Row],[Importe]]-CobrosPendientes[[#This Row],[Imp cobrado]]</f>
        <v>0</v>
      </c>
      <c r="K79" s="36">
        <v>46034</v>
      </c>
      <c r="L79" s="64" t="s">
        <v>22</v>
      </c>
      <c r="M79" s="13"/>
      <c r="N79" s="3" t="s">
        <v>92</v>
      </c>
      <c r="O79" s="12"/>
      <c r="P79" s="6"/>
      <c r="Q79" s="6"/>
      <c r="R79" s="15"/>
    </row>
    <row r="80" spans="1:18" s="45" customFormat="1" ht="15.75">
      <c r="A80" s="39" t="s">
        <v>212</v>
      </c>
      <c r="B80" s="39"/>
      <c r="C80" s="38">
        <v>46020</v>
      </c>
      <c r="D80" s="39" t="s">
        <v>162</v>
      </c>
      <c r="E80" s="39" t="s">
        <v>163</v>
      </c>
      <c r="F80" s="39" t="s">
        <v>21</v>
      </c>
      <c r="G80" s="39">
        <v>35</v>
      </c>
      <c r="H80" s="43">
        <v>46237.5</v>
      </c>
      <c r="I80" s="43"/>
      <c r="J80" s="43">
        <f>CobrosPendientes[[#This Row],[Importe]]-CobrosPendientes[[#This Row],[Imp cobrado]]</f>
        <v>46237.5</v>
      </c>
      <c r="K80" s="48"/>
      <c r="L80" s="39"/>
      <c r="M80" s="39"/>
      <c r="N80" s="44" t="s">
        <v>213</v>
      </c>
      <c r="O80" s="39" t="s">
        <v>22</v>
      </c>
      <c r="P80" s="6" t="s">
        <v>214</v>
      </c>
      <c r="Q80" s="74">
        <v>46058</v>
      </c>
      <c r="R80" s="15">
        <v>46237.5</v>
      </c>
    </row>
    <row r="81" spans="1:18" s="45" customFormat="1" ht="15.75">
      <c r="A81" s="88" t="s">
        <v>215</v>
      </c>
      <c r="B81" s="88"/>
      <c r="C81" s="89">
        <v>46020</v>
      </c>
      <c r="D81" s="88" t="s">
        <v>162</v>
      </c>
      <c r="E81" s="88" t="s">
        <v>165</v>
      </c>
      <c r="F81" s="88" t="s">
        <v>21</v>
      </c>
      <c r="G81" s="88">
        <v>35</v>
      </c>
      <c r="H81" s="43">
        <v>154701.9</v>
      </c>
      <c r="I81" s="43"/>
      <c r="J81" s="43">
        <f>CobrosPendientes[[#This Row],[Importe]]-CobrosPendientes[[#This Row],[Imp cobrado]]</f>
        <v>154701.9</v>
      </c>
      <c r="K81" s="48"/>
      <c r="L81" s="39"/>
      <c r="M81" s="39"/>
      <c r="N81" s="44" t="s">
        <v>213</v>
      </c>
      <c r="O81" s="39" t="s">
        <v>22</v>
      </c>
      <c r="P81" s="6" t="s">
        <v>216</v>
      </c>
      <c r="Q81" s="74">
        <v>46058</v>
      </c>
      <c r="R81" s="15">
        <v>154701.9</v>
      </c>
    </row>
    <row r="82" spans="1:18" ht="15.75">
      <c r="A82" s="21" t="s">
        <v>217</v>
      </c>
      <c r="B82" s="21"/>
      <c r="C82" s="20">
        <v>46020</v>
      </c>
      <c r="D82" s="21" t="s">
        <v>133</v>
      </c>
      <c r="E82" s="21" t="s">
        <v>218</v>
      </c>
      <c r="F82" s="21" t="s">
        <v>67</v>
      </c>
      <c r="G82" s="21">
        <v>30</v>
      </c>
      <c r="H82" s="35">
        <v>39370.93</v>
      </c>
      <c r="I82" s="35">
        <v>39370.93</v>
      </c>
      <c r="J82" s="35">
        <f>CobrosPendientes[[#This Row],[Importe]]-CobrosPendientes[[#This Row],[Imp cobrado]]</f>
        <v>0</v>
      </c>
      <c r="K82" s="36">
        <v>46058</v>
      </c>
      <c r="L82" s="64" t="s">
        <v>22</v>
      </c>
      <c r="M82" s="13"/>
      <c r="N82" s="3"/>
      <c r="O82" s="12"/>
      <c r="P82" s="6"/>
      <c r="Q82" s="6"/>
      <c r="R82" s="15"/>
    </row>
    <row r="83" spans="1:18" ht="15.75">
      <c r="A83" s="12" t="s">
        <v>219</v>
      </c>
      <c r="B83" s="12"/>
      <c r="C83" s="13">
        <v>46020</v>
      </c>
      <c r="D83" s="12" t="s">
        <v>133</v>
      </c>
      <c r="E83" s="12" t="s">
        <v>220</v>
      </c>
      <c r="F83" s="12" t="s">
        <v>67</v>
      </c>
      <c r="G83" s="12">
        <v>30</v>
      </c>
      <c r="H83" s="35">
        <v>42878.81</v>
      </c>
      <c r="I83" s="35">
        <v>42878.81</v>
      </c>
      <c r="J83" s="35">
        <f>CobrosPendientes[[#This Row],[Importe]]-CobrosPendientes[[#This Row],[Imp cobrado]]</f>
        <v>0</v>
      </c>
      <c r="K83" s="36">
        <v>46058</v>
      </c>
      <c r="L83" s="64" t="s">
        <v>22</v>
      </c>
      <c r="M83" s="13"/>
      <c r="N83" s="3"/>
      <c r="O83" s="12"/>
      <c r="P83" s="6"/>
      <c r="Q83" s="6"/>
      <c r="R83" s="15"/>
    </row>
    <row r="84" spans="1:18" ht="15.75">
      <c r="A84" s="21" t="s">
        <v>221</v>
      </c>
      <c r="B84" s="21"/>
      <c r="C84" s="20">
        <v>46020</v>
      </c>
      <c r="D84" s="21" t="s">
        <v>133</v>
      </c>
      <c r="E84" s="21" t="s">
        <v>222</v>
      </c>
      <c r="F84" s="21" t="s">
        <v>67</v>
      </c>
      <c r="G84" s="21">
        <v>30</v>
      </c>
      <c r="H84" s="35">
        <v>275543.78999999998</v>
      </c>
      <c r="I84" s="35">
        <v>275543.78999999998</v>
      </c>
      <c r="J84" s="35">
        <f>CobrosPendientes[[#This Row],[Importe]]-CobrosPendientes[[#This Row],[Imp cobrado]]</f>
        <v>0</v>
      </c>
      <c r="K84" s="36">
        <v>46058</v>
      </c>
      <c r="L84" s="64" t="s">
        <v>22</v>
      </c>
      <c r="M84" s="13"/>
      <c r="N84" s="3"/>
      <c r="O84" s="12"/>
      <c r="P84" s="6"/>
      <c r="Q84" s="6"/>
      <c r="R84" s="15"/>
    </row>
    <row r="85" spans="1:18" ht="15.75">
      <c r="A85" s="21" t="s">
        <v>223</v>
      </c>
      <c r="B85" s="21"/>
      <c r="C85" s="20">
        <v>46020</v>
      </c>
      <c r="D85" s="21" t="s">
        <v>133</v>
      </c>
      <c r="E85" s="21" t="s">
        <v>224</v>
      </c>
      <c r="F85" s="37" t="s">
        <v>225</v>
      </c>
      <c r="G85" s="21">
        <v>100</v>
      </c>
      <c r="H85" s="35">
        <v>28172.01</v>
      </c>
      <c r="I85" s="35">
        <v>28172.01</v>
      </c>
      <c r="J85" s="35">
        <f>CobrosPendientes[[#This Row],[Importe]]-CobrosPendientes[[#This Row],[Imp cobrado]]</f>
        <v>0</v>
      </c>
      <c r="K85" s="36">
        <v>46066</v>
      </c>
      <c r="L85" s="64" t="s">
        <v>22</v>
      </c>
      <c r="M85" s="12"/>
      <c r="N85" s="3"/>
      <c r="O85" s="12"/>
      <c r="P85" s="6"/>
      <c r="Q85" s="6"/>
      <c r="R85" s="15"/>
    </row>
    <row r="86" spans="1:18" ht="15.75">
      <c r="A86" s="21" t="s">
        <v>226</v>
      </c>
      <c r="B86" s="21"/>
      <c r="C86" s="20">
        <v>46020</v>
      </c>
      <c r="D86" s="21" t="s">
        <v>133</v>
      </c>
      <c r="E86" s="21" t="s">
        <v>224</v>
      </c>
      <c r="F86" s="21" t="s">
        <v>67</v>
      </c>
      <c r="G86" s="21">
        <v>30</v>
      </c>
      <c r="H86" s="35">
        <v>213691.33</v>
      </c>
      <c r="I86" s="35">
        <v>213691.33</v>
      </c>
      <c r="J86" s="35">
        <f>CobrosPendientes[[#This Row],[Importe]]-CobrosPendientes[[#This Row],[Imp cobrado]]</f>
        <v>0</v>
      </c>
      <c r="K86" s="36">
        <v>46058</v>
      </c>
      <c r="L86" s="64" t="s">
        <v>22</v>
      </c>
      <c r="M86" s="13"/>
      <c r="N86" s="3"/>
      <c r="O86" s="12"/>
      <c r="P86" s="6"/>
      <c r="Q86" s="6"/>
      <c r="R86" s="15"/>
    </row>
    <row r="87" spans="1:18" ht="15.75">
      <c r="A87" s="39" t="s">
        <v>227</v>
      </c>
      <c r="B87" s="39"/>
      <c r="C87" s="38">
        <v>46020</v>
      </c>
      <c r="D87" s="39" t="s">
        <v>90</v>
      </c>
      <c r="E87" s="39" t="s">
        <v>91</v>
      </c>
      <c r="F87" s="39" t="s">
        <v>21</v>
      </c>
      <c r="G87" s="39">
        <v>35</v>
      </c>
      <c r="H87" s="43">
        <v>118685.34</v>
      </c>
      <c r="I87" s="43"/>
      <c r="J87" s="43">
        <f>CobrosPendientes[[#This Row],[Importe]]-CobrosPendientes[[#This Row],[Imp cobrado]]</f>
        <v>118685.34</v>
      </c>
      <c r="K87" s="48"/>
      <c r="L87" s="39"/>
      <c r="M87" s="39"/>
      <c r="N87" s="44"/>
      <c r="O87" s="39" t="s">
        <v>22</v>
      </c>
      <c r="P87" s="6" t="s">
        <v>228</v>
      </c>
      <c r="Q87" s="74">
        <v>46031</v>
      </c>
      <c r="R87" s="15">
        <v>118685.34</v>
      </c>
    </row>
    <row r="88" spans="1:18" ht="15.75">
      <c r="A88" s="39" t="s">
        <v>229</v>
      </c>
      <c r="B88" s="39"/>
      <c r="C88" s="38">
        <v>46020</v>
      </c>
      <c r="D88" s="39" t="s">
        <v>90</v>
      </c>
      <c r="E88" s="39" t="s">
        <v>91</v>
      </c>
      <c r="F88" s="39" t="s">
        <v>24</v>
      </c>
      <c r="G88" s="39">
        <v>30</v>
      </c>
      <c r="H88" s="43">
        <v>101730.29</v>
      </c>
      <c r="I88" s="43"/>
      <c r="J88" s="43">
        <f>CobrosPendientes[[#This Row],[Importe]]-CobrosPendientes[[#This Row],[Imp cobrado]]</f>
        <v>101730.29</v>
      </c>
      <c r="K88" s="48"/>
      <c r="L88" s="39"/>
      <c r="M88" s="39"/>
      <c r="N88" s="44"/>
      <c r="O88" s="39" t="s">
        <v>22</v>
      </c>
      <c r="P88" s="6" t="s">
        <v>230</v>
      </c>
      <c r="Q88" s="74">
        <v>46031</v>
      </c>
      <c r="R88" s="15">
        <v>101730.29</v>
      </c>
    </row>
    <row r="89" spans="1:18" s="45" customFormat="1" ht="15.75">
      <c r="A89" s="39" t="s">
        <v>231</v>
      </c>
      <c r="B89" s="39"/>
      <c r="C89" s="38">
        <v>46020</v>
      </c>
      <c r="D89" s="39" t="s">
        <v>30</v>
      </c>
      <c r="E89" s="39" t="s">
        <v>232</v>
      </c>
      <c r="F89" s="39" t="s">
        <v>67</v>
      </c>
      <c r="G89" s="39">
        <v>40</v>
      </c>
      <c r="H89" s="43">
        <v>391789.14</v>
      </c>
      <c r="I89" s="43"/>
      <c r="J89" s="43">
        <f>CobrosPendientes[[#This Row],[Importe]]-CobrosPendientes[[#This Row],[Imp cobrado]]</f>
        <v>391789.14</v>
      </c>
      <c r="K89" s="19"/>
      <c r="L89" s="12"/>
      <c r="M89" s="12"/>
      <c r="N89" s="44" t="s">
        <v>233</v>
      </c>
      <c r="O89" s="39" t="s">
        <v>22</v>
      </c>
      <c r="P89" s="6" t="s">
        <v>234</v>
      </c>
      <c r="Q89" s="74">
        <v>46048</v>
      </c>
      <c r="R89" s="60">
        <v>391789.14</v>
      </c>
    </row>
    <row r="90" spans="1:18" ht="15.75">
      <c r="A90" s="21" t="s">
        <v>235</v>
      </c>
      <c r="B90" s="21"/>
      <c r="C90" s="20">
        <v>46020</v>
      </c>
      <c r="D90" s="21" t="s">
        <v>133</v>
      </c>
      <c r="E90" s="21" t="s">
        <v>134</v>
      </c>
      <c r="F90" s="21" t="s">
        <v>24</v>
      </c>
      <c r="G90" s="21">
        <v>30</v>
      </c>
      <c r="H90" s="35">
        <v>36343.81</v>
      </c>
      <c r="I90" s="35">
        <v>36343.81</v>
      </c>
      <c r="J90" s="35">
        <f>CobrosPendientes[[#This Row],[Importe]]-CobrosPendientes[[#This Row],[Imp cobrado]]</f>
        <v>0</v>
      </c>
      <c r="K90" s="36">
        <v>46034</v>
      </c>
      <c r="L90" s="64" t="s">
        <v>22</v>
      </c>
      <c r="M90" s="13"/>
      <c r="N90" s="3" t="s">
        <v>92</v>
      </c>
      <c r="O90" s="12"/>
      <c r="P90" s="6"/>
      <c r="Q90" s="6"/>
      <c r="R90" s="15"/>
    </row>
    <row r="91" spans="1:18" ht="15.75">
      <c r="A91" s="21" t="s">
        <v>236</v>
      </c>
      <c r="B91" s="21"/>
      <c r="C91" s="20">
        <v>46020</v>
      </c>
      <c r="D91" s="21" t="s">
        <v>133</v>
      </c>
      <c r="E91" s="21" t="s">
        <v>136</v>
      </c>
      <c r="F91" s="21" t="s">
        <v>24</v>
      </c>
      <c r="G91" s="21">
        <v>30</v>
      </c>
      <c r="H91" s="35">
        <v>36000.730000000003</v>
      </c>
      <c r="I91" s="35">
        <v>36000.730000000003</v>
      </c>
      <c r="J91" s="35">
        <f>CobrosPendientes[[#This Row],[Importe]]-CobrosPendientes[[#This Row],[Imp cobrado]]</f>
        <v>0</v>
      </c>
      <c r="K91" s="36">
        <v>46034</v>
      </c>
      <c r="L91" s="64" t="s">
        <v>22</v>
      </c>
      <c r="M91" s="13"/>
      <c r="N91" s="3" t="s">
        <v>92</v>
      </c>
      <c r="O91" s="12"/>
      <c r="P91" s="6"/>
      <c r="Q91" s="6"/>
      <c r="R91" s="15"/>
    </row>
    <row r="92" spans="1:18" ht="15.75">
      <c r="A92" s="21" t="s">
        <v>237</v>
      </c>
      <c r="B92" s="21"/>
      <c r="C92" s="20">
        <v>46020</v>
      </c>
      <c r="D92" s="21" t="s">
        <v>133</v>
      </c>
      <c r="E92" s="21" t="s">
        <v>140</v>
      </c>
      <c r="F92" s="21" t="s">
        <v>24</v>
      </c>
      <c r="G92" s="21">
        <v>30</v>
      </c>
      <c r="H92" s="35">
        <v>36449.67</v>
      </c>
      <c r="I92" s="35">
        <v>36449.67</v>
      </c>
      <c r="J92" s="35">
        <f>CobrosPendientes[[#This Row],[Importe]]-CobrosPendientes[[#This Row],[Imp cobrado]]</f>
        <v>0</v>
      </c>
      <c r="K92" s="36">
        <v>46034</v>
      </c>
      <c r="L92" s="64" t="s">
        <v>22</v>
      </c>
      <c r="M92" s="13"/>
      <c r="N92" s="3" t="s">
        <v>92</v>
      </c>
      <c r="O92" s="12"/>
      <c r="P92" s="6"/>
      <c r="Q92" s="6"/>
      <c r="R92" s="15"/>
    </row>
    <row r="93" spans="1:18" s="45" customFormat="1" ht="15.75">
      <c r="A93" s="39" t="s">
        <v>238</v>
      </c>
      <c r="B93" s="39"/>
      <c r="C93" s="38">
        <v>46020</v>
      </c>
      <c r="D93" s="39" t="s">
        <v>30</v>
      </c>
      <c r="E93" s="39" t="s">
        <v>239</v>
      </c>
      <c r="F93" s="39" t="s">
        <v>67</v>
      </c>
      <c r="G93" s="39">
        <v>40</v>
      </c>
      <c r="H93" s="43">
        <v>294190.21000000002</v>
      </c>
      <c r="I93" s="43"/>
      <c r="J93" s="43">
        <f>CobrosPendientes[[#This Row],[Importe]]-CobrosPendientes[[#This Row],[Imp cobrado]]</f>
        <v>294190.21000000002</v>
      </c>
      <c r="K93" s="48"/>
      <c r="L93" s="39"/>
      <c r="M93" s="39"/>
      <c r="N93" s="44" t="s">
        <v>240</v>
      </c>
      <c r="O93" s="39" t="s">
        <v>22</v>
      </c>
      <c r="P93" s="6" t="s">
        <v>241</v>
      </c>
      <c r="Q93" s="74">
        <v>46062</v>
      </c>
      <c r="R93" s="60">
        <v>294190.21000000002</v>
      </c>
    </row>
    <row r="94" spans="1:18" s="45" customFormat="1" ht="15.75">
      <c r="A94" s="39" t="s">
        <v>242</v>
      </c>
      <c r="B94" s="39"/>
      <c r="C94" s="38">
        <v>46020</v>
      </c>
      <c r="D94" s="39" t="s">
        <v>30</v>
      </c>
      <c r="E94" s="39" t="s">
        <v>243</v>
      </c>
      <c r="F94" s="39" t="s">
        <v>67</v>
      </c>
      <c r="G94" s="39">
        <v>40</v>
      </c>
      <c r="H94" s="43">
        <v>365834.56</v>
      </c>
      <c r="I94" s="43"/>
      <c r="J94" s="43">
        <f>CobrosPendientes[[#This Row],[Importe]]-CobrosPendientes[[#This Row],[Imp cobrado]]</f>
        <v>365834.56</v>
      </c>
      <c r="K94" s="48"/>
      <c r="L94" s="39"/>
      <c r="M94" s="39"/>
      <c r="N94" s="44" t="s">
        <v>240</v>
      </c>
      <c r="O94" s="39" t="s">
        <v>22</v>
      </c>
      <c r="P94" s="6" t="s">
        <v>244</v>
      </c>
      <c r="Q94" s="74">
        <v>46062</v>
      </c>
      <c r="R94" s="60">
        <v>365834.56</v>
      </c>
    </row>
    <row r="95" spans="1:18" s="45" customFormat="1" ht="15.75">
      <c r="A95" s="39" t="s">
        <v>245</v>
      </c>
      <c r="B95" s="39"/>
      <c r="C95" s="38">
        <v>46020</v>
      </c>
      <c r="D95" s="39" t="s">
        <v>30</v>
      </c>
      <c r="E95" s="39" t="s">
        <v>246</v>
      </c>
      <c r="F95" s="39" t="s">
        <v>67</v>
      </c>
      <c r="G95" s="39">
        <v>40</v>
      </c>
      <c r="H95" s="43">
        <v>249344.16</v>
      </c>
      <c r="I95" s="43"/>
      <c r="J95" s="43">
        <f>CobrosPendientes[[#This Row],[Importe]]-CobrosPendientes[[#This Row],[Imp cobrado]]</f>
        <v>249344.16</v>
      </c>
      <c r="K95" s="48"/>
      <c r="L95" s="39"/>
      <c r="M95" s="39"/>
      <c r="N95" s="44" t="s">
        <v>240</v>
      </c>
      <c r="O95" s="39" t="s">
        <v>22</v>
      </c>
      <c r="P95" s="6" t="s">
        <v>247</v>
      </c>
      <c r="Q95" s="74">
        <v>46062</v>
      </c>
      <c r="R95" s="60">
        <v>249344.16</v>
      </c>
    </row>
    <row r="96" spans="1:18" s="45" customFormat="1" ht="15.75">
      <c r="A96" s="39" t="s">
        <v>248</v>
      </c>
      <c r="B96" s="39"/>
      <c r="C96" s="38">
        <v>46020</v>
      </c>
      <c r="D96" s="39" t="s">
        <v>30</v>
      </c>
      <c r="E96" s="39" t="s">
        <v>249</v>
      </c>
      <c r="F96" s="39" t="s">
        <v>67</v>
      </c>
      <c r="G96" s="39">
        <v>40</v>
      </c>
      <c r="H96" s="43">
        <v>95422.82</v>
      </c>
      <c r="I96" s="43"/>
      <c r="J96" s="43">
        <f>CobrosPendientes[[#This Row],[Importe]]-CobrosPendientes[[#This Row],[Imp cobrado]]</f>
        <v>95422.82</v>
      </c>
      <c r="K96" s="48"/>
      <c r="L96" s="39"/>
      <c r="M96" s="39"/>
      <c r="N96" s="44" t="s">
        <v>240</v>
      </c>
      <c r="O96" s="39" t="s">
        <v>22</v>
      </c>
      <c r="P96" s="6" t="s">
        <v>250</v>
      </c>
      <c r="Q96" s="74">
        <v>46062</v>
      </c>
      <c r="R96" s="60">
        <v>95422.82</v>
      </c>
    </row>
    <row r="97" spans="1:18" s="45" customFormat="1" ht="15.75">
      <c r="A97" s="39" t="s">
        <v>251</v>
      </c>
      <c r="B97" s="39"/>
      <c r="C97" s="38">
        <v>46020</v>
      </c>
      <c r="D97" s="39" t="s">
        <v>30</v>
      </c>
      <c r="E97" s="39" t="s">
        <v>252</v>
      </c>
      <c r="F97" s="39" t="s">
        <v>67</v>
      </c>
      <c r="G97" s="39">
        <v>40</v>
      </c>
      <c r="H97" s="43">
        <v>96161.97</v>
      </c>
      <c r="I97" s="43"/>
      <c r="J97" s="43">
        <f>CobrosPendientes[[#This Row],[Importe]]-CobrosPendientes[[#This Row],[Imp cobrado]]</f>
        <v>96161.97</v>
      </c>
      <c r="K97" s="48"/>
      <c r="L97" s="39"/>
      <c r="M97" s="39"/>
      <c r="N97" s="44" t="s">
        <v>240</v>
      </c>
      <c r="O97" s="39" t="s">
        <v>22</v>
      </c>
      <c r="P97" s="6" t="s">
        <v>253</v>
      </c>
      <c r="Q97" s="74">
        <v>46062</v>
      </c>
      <c r="R97" s="60">
        <v>96161.97</v>
      </c>
    </row>
    <row r="98" spans="1:18" s="45" customFormat="1" ht="15.75">
      <c r="A98" s="39" t="s">
        <v>254</v>
      </c>
      <c r="B98" s="39"/>
      <c r="C98" s="38">
        <v>46020</v>
      </c>
      <c r="D98" s="39" t="s">
        <v>30</v>
      </c>
      <c r="E98" s="39" t="s">
        <v>255</v>
      </c>
      <c r="F98" s="39" t="s">
        <v>67</v>
      </c>
      <c r="G98" s="39">
        <v>40</v>
      </c>
      <c r="H98" s="43">
        <v>256077</v>
      </c>
      <c r="I98" s="43"/>
      <c r="J98" s="43">
        <f>CobrosPendientes[[#This Row],[Importe]]-CobrosPendientes[[#This Row],[Imp cobrado]]</f>
        <v>256077</v>
      </c>
      <c r="K98" s="48"/>
      <c r="L98" s="39"/>
      <c r="M98" s="39"/>
      <c r="N98" s="44" t="s">
        <v>240</v>
      </c>
      <c r="O98" s="39" t="s">
        <v>22</v>
      </c>
      <c r="P98" s="6" t="s">
        <v>256</v>
      </c>
      <c r="Q98" s="74">
        <v>46062</v>
      </c>
      <c r="R98" s="60">
        <v>256077</v>
      </c>
    </row>
    <row r="99" spans="1:18" ht="15.75">
      <c r="A99" s="12" t="s">
        <v>257</v>
      </c>
      <c r="B99" s="12" t="s">
        <v>258</v>
      </c>
      <c r="C99" s="13">
        <v>46027</v>
      </c>
      <c r="D99" s="12" t="s">
        <v>167</v>
      </c>
      <c r="E99" s="12" t="s">
        <v>259</v>
      </c>
      <c r="F99" s="12" t="s">
        <v>260</v>
      </c>
      <c r="G99" s="12">
        <v>30</v>
      </c>
      <c r="H99" s="5">
        <v>18900</v>
      </c>
      <c r="I99" s="5"/>
      <c r="J99" s="5">
        <f>CobrosPendientes[[#This Row],[Importe]]-CobrosPendientes[[#This Row],[Imp cobrado]]</f>
        <v>18900</v>
      </c>
      <c r="K99" s="3"/>
      <c r="L99" s="3"/>
      <c r="M99" s="3"/>
      <c r="N99" s="29"/>
      <c r="O99" s="73"/>
      <c r="P99" s="31"/>
      <c r="Q99" s="32"/>
      <c r="R99" s="61"/>
    </row>
    <row r="100" spans="1:18" ht="15.75">
      <c r="A100" s="12" t="s">
        <v>261</v>
      </c>
      <c r="B100" s="12" t="s">
        <v>262</v>
      </c>
      <c r="C100" s="13">
        <v>46027</v>
      </c>
      <c r="D100" s="12" t="s">
        <v>167</v>
      </c>
      <c r="E100" s="12" t="s">
        <v>263</v>
      </c>
      <c r="F100" s="12" t="s">
        <v>260</v>
      </c>
      <c r="G100" s="12">
        <v>30</v>
      </c>
      <c r="H100" s="5">
        <v>18900</v>
      </c>
      <c r="I100" s="5"/>
      <c r="J100" s="5">
        <f>CobrosPendientes[[#This Row],[Importe]]-CobrosPendientes[[#This Row],[Imp cobrado]]</f>
        <v>18900</v>
      </c>
      <c r="K100" s="3"/>
      <c r="L100" s="3"/>
      <c r="M100" s="3"/>
      <c r="N100" s="30"/>
      <c r="O100" s="34"/>
      <c r="P100" s="33"/>
      <c r="Q100" s="6"/>
      <c r="R100" s="15"/>
    </row>
    <row r="101" spans="1:18" ht="15.75">
      <c r="A101" s="12" t="s">
        <v>228</v>
      </c>
      <c r="B101" s="12" t="s">
        <v>264</v>
      </c>
      <c r="C101" s="13">
        <v>46027</v>
      </c>
      <c r="D101" s="12" t="s">
        <v>167</v>
      </c>
      <c r="E101" s="12" t="s">
        <v>265</v>
      </c>
      <c r="F101" s="12" t="s">
        <v>260</v>
      </c>
      <c r="G101" s="12">
        <v>30</v>
      </c>
      <c r="H101" s="5">
        <v>18900</v>
      </c>
      <c r="I101" s="5"/>
      <c r="J101" s="5">
        <f>CobrosPendientes[[#This Row],[Importe]]-CobrosPendientes[[#This Row],[Imp cobrado]]</f>
        <v>18900</v>
      </c>
      <c r="K101" s="3"/>
      <c r="L101" s="3"/>
      <c r="M101" s="3"/>
      <c r="N101" s="30"/>
      <c r="O101" s="34"/>
      <c r="P101" s="33"/>
      <c r="Q101" s="6"/>
      <c r="R101" s="15"/>
    </row>
    <row r="102" spans="1:18" ht="15.75">
      <c r="A102" s="12" t="s">
        <v>266</v>
      </c>
      <c r="B102" s="12" t="s">
        <v>267</v>
      </c>
      <c r="C102" s="13">
        <v>46027</v>
      </c>
      <c r="D102" s="12" t="s">
        <v>167</v>
      </c>
      <c r="E102" s="12" t="s">
        <v>268</v>
      </c>
      <c r="F102" s="12" t="s">
        <v>260</v>
      </c>
      <c r="G102" s="12">
        <v>30</v>
      </c>
      <c r="H102" s="5">
        <v>18900</v>
      </c>
      <c r="I102" s="5"/>
      <c r="J102" s="5">
        <f>CobrosPendientes[[#This Row],[Importe]]-CobrosPendientes[[#This Row],[Imp cobrado]]</f>
        <v>18900</v>
      </c>
      <c r="K102" s="3"/>
      <c r="L102" s="3"/>
      <c r="M102" s="3"/>
      <c r="N102" s="30"/>
      <c r="O102" s="34"/>
      <c r="P102" s="33"/>
      <c r="Q102" s="6"/>
      <c r="R102" s="15"/>
    </row>
    <row r="103" spans="1:18" ht="15.75">
      <c r="A103" s="12" t="s">
        <v>269</v>
      </c>
      <c r="B103" s="12" t="s">
        <v>270</v>
      </c>
      <c r="C103" s="13">
        <v>46027</v>
      </c>
      <c r="D103" s="12" t="s">
        <v>167</v>
      </c>
      <c r="E103" s="12" t="s">
        <v>271</v>
      </c>
      <c r="F103" s="12" t="s">
        <v>260</v>
      </c>
      <c r="G103" s="12">
        <v>30</v>
      </c>
      <c r="H103" s="5">
        <v>18900</v>
      </c>
      <c r="I103" s="5"/>
      <c r="J103" s="5">
        <f>CobrosPendientes[[#This Row],[Importe]]-CobrosPendientes[[#This Row],[Imp cobrado]]</f>
        <v>18900</v>
      </c>
      <c r="K103" s="3"/>
      <c r="L103" s="3"/>
      <c r="M103" s="3"/>
      <c r="N103" s="30"/>
      <c r="O103" s="34"/>
      <c r="P103" s="33"/>
      <c r="Q103" s="6"/>
      <c r="R103" s="15"/>
    </row>
    <row r="104" spans="1:18" ht="15.75">
      <c r="A104" s="12" t="s">
        <v>272</v>
      </c>
      <c r="B104" s="12" t="s">
        <v>273</v>
      </c>
      <c r="C104" s="13">
        <v>46027</v>
      </c>
      <c r="D104" s="12" t="s">
        <v>167</v>
      </c>
      <c r="E104" s="12" t="s">
        <v>274</v>
      </c>
      <c r="F104" s="12" t="s">
        <v>260</v>
      </c>
      <c r="G104" s="12">
        <v>30</v>
      </c>
      <c r="H104" s="5">
        <v>18900</v>
      </c>
      <c r="I104" s="5"/>
      <c r="J104" s="5">
        <f>CobrosPendientes[[#This Row],[Importe]]-CobrosPendientes[[#This Row],[Imp cobrado]]</f>
        <v>18900</v>
      </c>
      <c r="K104" s="3"/>
      <c r="L104" s="3"/>
      <c r="M104" s="3"/>
      <c r="N104" s="30"/>
      <c r="O104" s="34"/>
      <c r="P104" s="33"/>
      <c r="Q104" s="6"/>
      <c r="R104" s="15"/>
    </row>
    <row r="105" spans="1:18" ht="15.75">
      <c r="A105" s="12" t="s">
        <v>216</v>
      </c>
      <c r="B105" s="12" t="s">
        <v>275</v>
      </c>
      <c r="C105" s="13">
        <v>46027</v>
      </c>
      <c r="D105" s="12" t="s">
        <v>167</v>
      </c>
      <c r="E105" s="12" t="s">
        <v>276</v>
      </c>
      <c r="F105" s="12" t="s">
        <v>260</v>
      </c>
      <c r="G105" s="12">
        <v>30</v>
      </c>
      <c r="H105" s="5">
        <v>18900</v>
      </c>
      <c r="I105" s="5"/>
      <c r="J105" s="5">
        <f>CobrosPendientes[[#This Row],[Importe]]-CobrosPendientes[[#This Row],[Imp cobrado]]</f>
        <v>18900</v>
      </c>
      <c r="K105" s="3"/>
      <c r="L105" s="3"/>
      <c r="M105" s="3"/>
      <c r="N105" s="30"/>
      <c r="O105" s="34"/>
      <c r="P105" s="33"/>
      <c r="Q105" s="6"/>
      <c r="R105" s="15"/>
    </row>
    <row r="106" spans="1:18" ht="30.75">
      <c r="A106" s="12" t="s">
        <v>277</v>
      </c>
      <c r="B106" s="12" t="s">
        <v>278</v>
      </c>
      <c r="C106" s="13">
        <v>46029</v>
      </c>
      <c r="D106" s="12" t="s">
        <v>279</v>
      </c>
      <c r="E106" s="12" t="s">
        <v>176</v>
      </c>
      <c r="F106" s="12" t="s">
        <v>67</v>
      </c>
      <c r="G106" s="12">
        <v>25</v>
      </c>
      <c r="H106" s="35">
        <v>31835.54</v>
      </c>
      <c r="I106" s="35">
        <v>31835.54</v>
      </c>
      <c r="J106" s="35">
        <f>CobrosPendientes[[#This Row],[Importe]]-CobrosPendientes[[#This Row],[Imp cobrado]]</f>
        <v>0</v>
      </c>
      <c r="K106" s="40">
        <v>46044</v>
      </c>
      <c r="L106" s="40" t="s">
        <v>22</v>
      </c>
      <c r="M106" s="55"/>
      <c r="N106" s="41" t="s">
        <v>280</v>
      </c>
      <c r="O106" s="75" t="s">
        <v>22</v>
      </c>
      <c r="P106" s="33" t="s">
        <v>281</v>
      </c>
      <c r="Q106" s="74">
        <v>46192</v>
      </c>
      <c r="R106" s="15"/>
    </row>
    <row r="107" spans="1:18" ht="15.75">
      <c r="A107" s="12" t="s">
        <v>282</v>
      </c>
      <c r="B107" s="12" t="s">
        <v>283</v>
      </c>
      <c r="C107" s="13">
        <v>46030</v>
      </c>
      <c r="D107" s="12" t="s">
        <v>279</v>
      </c>
      <c r="E107" s="12" t="s">
        <v>176</v>
      </c>
      <c r="F107" s="12" t="s">
        <v>225</v>
      </c>
      <c r="G107" s="12">
        <v>100</v>
      </c>
      <c r="H107" s="35">
        <v>4080.38</v>
      </c>
      <c r="I107" s="35">
        <v>4080.38</v>
      </c>
      <c r="J107" s="35">
        <f>CobrosPendientes[[#This Row],[Importe]]-CobrosPendientes[[#This Row],[Imp cobrado]]</f>
        <v>0</v>
      </c>
      <c r="K107" s="40">
        <v>45932</v>
      </c>
      <c r="L107" s="40" t="s">
        <v>22</v>
      </c>
      <c r="M107" s="55"/>
      <c r="N107" s="30" t="s">
        <v>284</v>
      </c>
      <c r="O107" s="49" t="s">
        <v>22</v>
      </c>
      <c r="P107" s="33" t="s">
        <v>285</v>
      </c>
      <c r="Q107" s="74">
        <v>46192</v>
      </c>
      <c r="R107" s="15"/>
    </row>
    <row r="108" spans="1:18" ht="15.75">
      <c r="A108" s="21" t="s">
        <v>241</v>
      </c>
      <c r="B108" s="21" t="s">
        <v>286</v>
      </c>
      <c r="C108" s="20">
        <v>46038</v>
      </c>
      <c r="D108" s="21" t="s">
        <v>167</v>
      </c>
      <c r="E108" s="21" t="s">
        <v>287</v>
      </c>
      <c r="F108" s="21" t="s">
        <v>67</v>
      </c>
      <c r="G108" s="21">
        <v>30</v>
      </c>
      <c r="H108" s="35">
        <v>102900</v>
      </c>
      <c r="I108" s="35">
        <v>102900</v>
      </c>
      <c r="J108" s="35">
        <f>CobrosPendientes[[#This Row],[Importe]]-CobrosPendientes[[#This Row],[Imp cobrado]]</f>
        <v>0</v>
      </c>
      <c r="K108" s="40">
        <v>46044</v>
      </c>
      <c r="L108" s="40" t="s">
        <v>22</v>
      </c>
      <c r="M108" s="55"/>
      <c r="N108" s="30"/>
      <c r="O108" s="34"/>
      <c r="P108" s="33"/>
      <c r="Q108" s="6"/>
      <c r="R108" s="15"/>
    </row>
    <row r="109" spans="1:18" s="16" customFormat="1" ht="15.75">
      <c r="A109" s="21" t="s">
        <v>244</v>
      </c>
      <c r="B109" s="21" t="s">
        <v>288</v>
      </c>
      <c r="C109" s="20">
        <v>46041</v>
      </c>
      <c r="D109" s="21" t="s">
        <v>80</v>
      </c>
      <c r="E109" s="21" t="s">
        <v>81</v>
      </c>
      <c r="F109" s="21" t="s">
        <v>289</v>
      </c>
      <c r="G109" s="21">
        <v>100</v>
      </c>
      <c r="H109" s="35">
        <v>16650</v>
      </c>
      <c r="I109" s="35">
        <v>16650</v>
      </c>
      <c r="J109" s="35">
        <f>CobrosPendientes[[#This Row],[Importe]]-CobrosPendientes[[#This Row],[Imp cobrado]]</f>
        <v>0</v>
      </c>
      <c r="K109" s="40">
        <v>46045</v>
      </c>
      <c r="L109" s="40" t="s">
        <v>22</v>
      </c>
      <c r="M109" s="55"/>
      <c r="N109" s="30"/>
      <c r="O109" s="34"/>
      <c r="P109" s="33"/>
      <c r="Q109" s="6"/>
      <c r="R109" s="15"/>
    </row>
    <row r="110" spans="1:18" ht="15.75">
      <c r="A110" s="21" t="s">
        <v>247</v>
      </c>
      <c r="B110" s="21" t="s">
        <v>290</v>
      </c>
      <c r="C110" s="20">
        <v>46044</v>
      </c>
      <c r="D110" s="21" t="s">
        <v>291</v>
      </c>
      <c r="E110" s="21" t="s">
        <v>292</v>
      </c>
      <c r="F110" s="21" t="s">
        <v>67</v>
      </c>
      <c r="G110" s="21">
        <v>30</v>
      </c>
      <c r="H110" s="35">
        <v>43866.31</v>
      </c>
      <c r="I110" s="35">
        <v>43866.31</v>
      </c>
      <c r="J110" s="35">
        <f>CobrosPendientes[[#This Row],[Importe]]-CobrosPendientes[[#This Row],[Imp cobrado]]</f>
        <v>0</v>
      </c>
      <c r="K110" s="40">
        <v>46048</v>
      </c>
      <c r="L110" s="40" t="s">
        <v>22</v>
      </c>
      <c r="M110" s="55"/>
      <c r="N110" s="30" t="s">
        <v>92</v>
      </c>
      <c r="O110" s="34"/>
      <c r="P110" s="33"/>
      <c r="Q110" s="6"/>
      <c r="R110" s="60"/>
    </row>
    <row r="111" spans="1:18" s="16" customFormat="1" ht="15.75">
      <c r="A111" s="21" t="s">
        <v>250</v>
      </c>
      <c r="B111" s="21" t="s">
        <v>293</v>
      </c>
      <c r="C111" s="20">
        <v>46044</v>
      </c>
      <c r="D111" s="21" t="s">
        <v>156</v>
      </c>
      <c r="E111" s="21" t="s">
        <v>157</v>
      </c>
      <c r="F111" s="21" t="s">
        <v>294</v>
      </c>
      <c r="G111" s="21">
        <v>100</v>
      </c>
      <c r="H111" s="35">
        <v>4230</v>
      </c>
      <c r="I111" s="35">
        <v>4230</v>
      </c>
      <c r="J111" s="35">
        <f>CobrosPendientes[[#This Row],[Importe]]-CobrosPendientes[[#This Row],[Imp cobrado]]</f>
        <v>0</v>
      </c>
      <c r="K111" s="40">
        <v>46121</v>
      </c>
      <c r="L111" s="69" t="s">
        <v>22</v>
      </c>
      <c r="M111" s="3"/>
      <c r="N111" s="30" t="s">
        <v>295</v>
      </c>
      <c r="O111" s="34"/>
      <c r="P111" s="33"/>
      <c r="Q111" s="6"/>
      <c r="R111" s="15"/>
    </row>
    <row r="112" spans="1:18" s="52" customFormat="1" ht="15.75">
      <c r="A112" s="39" t="s">
        <v>253</v>
      </c>
      <c r="B112" s="39" t="s">
        <v>296</v>
      </c>
      <c r="C112" s="38">
        <v>46051</v>
      </c>
      <c r="D112" s="39" t="s">
        <v>30</v>
      </c>
      <c r="E112" s="39" t="s">
        <v>232</v>
      </c>
      <c r="F112" s="39" t="s">
        <v>67</v>
      </c>
      <c r="G112" s="39">
        <v>30</v>
      </c>
      <c r="H112" s="50">
        <v>293841.84999999998</v>
      </c>
      <c r="I112" s="50"/>
      <c r="J112" s="50">
        <f>CobrosPendientes[[#This Row],[Importe]]-CobrosPendientes[[#This Row],[Imp cobrado]]</f>
        <v>293841.84999999998</v>
      </c>
      <c r="K112" s="44"/>
      <c r="L112" s="44"/>
      <c r="M112" s="44"/>
      <c r="N112" s="51" t="s">
        <v>297</v>
      </c>
      <c r="O112" s="49" t="s">
        <v>22</v>
      </c>
      <c r="P112" s="33" t="s">
        <v>298</v>
      </c>
      <c r="Q112" s="74">
        <v>46108</v>
      </c>
      <c r="R112" s="15">
        <v>293841.84999999998</v>
      </c>
    </row>
    <row r="113" spans="1:18" s="16" customFormat="1" ht="15.75">
      <c r="A113" s="21" t="s">
        <v>256</v>
      </c>
      <c r="B113" s="21" t="s">
        <v>299</v>
      </c>
      <c r="C113" s="20">
        <v>46055</v>
      </c>
      <c r="D113" s="21" t="s">
        <v>186</v>
      </c>
      <c r="E113" s="21" t="s">
        <v>189</v>
      </c>
      <c r="F113" s="21" t="s">
        <v>108</v>
      </c>
      <c r="G113" s="21">
        <v>5</v>
      </c>
      <c r="H113" s="35">
        <v>5533.85</v>
      </c>
      <c r="I113" s="35">
        <v>5533.85</v>
      </c>
      <c r="J113" s="35">
        <f>CobrosPendientes[[#This Row],[Importe]]-CobrosPendientes[[#This Row],[Imp cobrado]]</f>
        <v>0</v>
      </c>
      <c r="K113" s="40">
        <v>46063</v>
      </c>
      <c r="L113" s="40" t="s">
        <v>22</v>
      </c>
      <c r="M113" s="55"/>
      <c r="N113" s="30"/>
      <c r="O113" s="34"/>
      <c r="P113" s="33"/>
      <c r="Q113" s="6"/>
      <c r="R113" s="15"/>
    </row>
    <row r="114" spans="1:18" s="16" customFormat="1" ht="15.75">
      <c r="A114" s="21" t="s">
        <v>300</v>
      </c>
      <c r="B114" s="21" t="s">
        <v>301</v>
      </c>
      <c r="C114" s="20">
        <v>46055</v>
      </c>
      <c r="D114" s="21" t="s">
        <v>186</v>
      </c>
      <c r="E114" s="21" t="s">
        <v>192</v>
      </c>
      <c r="F114" s="21" t="s">
        <v>108</v>
      </c>
      <c r="G114" s="21">
        <v>5</v>
      </c>
      <c r="H114" s="35">
        <v>5060.59</v>
      </c>
      <c r="I114" s="35">
        <v>5060.59</v>
      </c>
      <c r="J114" s="35">
        <f>CobrosPendientes[[#This Row],[Importe]]-CobrosPendientes[[#This Row],[Imp cobrado]]</f>
        <v>0</v>
      </c>
      <c r="K114" s="40">
        <v>46063</v>
      </c>
      <c r="L114" s="40" t="s">
        <v>22</v>
      </c>
      <c r="M114" s="55"/>
      <c r="N114" s="30"/>
      <c r="O114" s="34"/>
      <c r="P114" s="33"/>
      <c r="Q114" s="6"/>
      <c r="R114" s="15"/>
    </row>
    <row r="115" spans="1:18" s="16" customFormat="1" ht="15.75">
      <c r="A115" s="21" t="s">
        <v>302</v>
      </c>
      <c r="B115" s="21" t="s">
        <v>303</v>
      </c>
      <c r="C115" s="20">
        <v>46055</v>
      </c>
      <c r="D115" s="21" t="s">
        <v>186</v>
      </c>
      <c r="E115" s="21" t="s">
        <v>187</v>
      </c>
      <c r="F115" s="21" t="s">
        <v>108</v>
      </c>
      <c r="G115" s="21">
        <v>5</v>
      </c>
      <c r="H115" s="35">
        <v>5163.26</v>
      </c>
      <c r="I115" s="35">
        <v>5163.26</v>
      </c>
      <c r="J115" s="35">
        <f>CobrosPendientes[[#This Row],[Importe]]-CobrosPendientes[[#This Row],[Imp cobrado]]</f>
        <v>0</v>
      </c>
      <c r="K115" s="40">
        <v>46063</v>
      </c>
      <c r="L115" s="40" t="s">
        <v>22</v>
      </c>
      <c r="M115" s="55"/>
      <c r="N115" s="30"/>
      <c r="O115" s="34"/>
      <c r="P115" s="33"/>
      <c r="Q115" s="6"/>
      <c r="R115" s="15"/>
    </row>
    <row r="116" spans="1:18" s="16" customFormat="1" ht="15.75">
      <c r="A116" s="21" t="s">
        <v>304</v>
      </c>
      <c r="B116" s="21" t="s">
        <v>305</v>
      </c>
      <c r="C116" s="20">
        <v>46055</v>
      </c>
      <c r="D116" s="21" t="s">
        <v>186</v>
      </c>
      <c r="E116" s="21" t="s">
        <v>194</v>
      </c>
      <c r="F116" s="21" t="s">
        <v>108</v>
      </c>
      <c r="G116" s="21">
        <v>5</v>
      </c>
      <c r="H116" s="35">
        <v>5115.76</v>
      </c>
      <c r="I116" s="35">
        <v>5115.76</v>
      </c>
      <c r="J116" s="35">
        <f>CobrosPendientes[[#This Row],[Importe]]-CobrosPendientes[[#This Row],[Imp cobrado]]</f>
        <v>0</v>
      </c>
      <c r="K116" s="40">
        <v>46063</v>
      </c>
      <c r="L116" s="40" t="s">
        <v>22</v>
      </c>
      <c r="M116" s="55"/>
      <c r="N116" s="30"/>
      <c r="O116" s="34"/>
      <c r="P116" s="33"/>
      <c r="Q116" s="6"/>
      <c r="R116" s="15"/>
    </row>
    <row r="117" spans="1:18" s="16" customFormat="1" ht="15.75">
      <c r="A117" s="21" t="s">
        <v>298</v>
      </c>
      <c r="B117" s="21" t="s">
        <v>306</v>
      </c>
      <c r="C117" s="20">
        <v>46055</v>
      </c>
      <c r="D117" s="21" t="s">
        <v>307</v>
      </c>
      <c r="E117" s="21" t="s">
        <v>308</v>
      </c>
      <c r="F117" s="21" t="s">
        <v>67</v>
      </c>
      <c r="G117" s="21">
        <v>20</v>
      </c>
      <c r="H117" s="35">
        <v>28259.73</v>
      </c>
      <c r="I117" s="35">
        <v>28259.73</v>
      </c>
      <c r="J117" s="35">
        <f>CobrosPendientes[[#This Row],[Importe]]-CobrosPendientes[[#This Row],[Imp cobrado]]</f>
        <v>0</v>
      </c>
      <c r="K117" s="40">
        <v>46071</v>
      </c>
      <c r="L117" s="40" t="s">
        <v>22</v>
      </c>
      <c r="M117" s="3"/>
      <c r="N117" s="30"/>
      <c r="O117" s="34"/>
      <c r="P117" s="33"/>
      <c r="Q117" s="6"/>
      <c r="R117" s="15"/>
    </row>
    <row r="118" spans="1:18" s="16" customFormat="1" ht="15.75">
      <c r="A118" s="21" t="s">
        <v>309</v>
      </c>
      <c r="B118" s="21" t="s">
        <v>310</v>
      </c>
      <c r="C118" s="20">
        <v>46055</v>
      </c>
      <c r="D118" s="21" t="s">
        <v>311</v>
      </c>
      <c r="E118" s="21" t="s">
        <v>312</v>
      </c>
      <c r="F118" s="21" t="s">
        <v>313</v>
      </c>
      <c r="G118" s="21">
        <v>30</v>
      </c>
      <c r="H118" s="35">
        <v>44565</v>
      </c>
      <c r="I118" s="35">
        <v>44565</v>
      </c>
      <c r="J118" s="35">
        <f>CobrosPendientes[[#This Row],[Importe]]-CobrosPendientes[[#This Row],[Imp cobrado]]</f>
        <v>0</v>
      </c>
      <c r="K118" s="40">
        <v>46059</v>
      </c>
      <c r="L118" s="40" t="s">
        <v>22</v>
      </c>
      <c r="M118" s="55"/>
      <c r="N118" s="30"/>
      <c r="O118" s="34"/>
      <c r="P118" s="33"/>
      <c r="Q118" s="6"/>
      <c r="R118" s="15"/>
    </row>
    <row r="119" spans="1:18" s="52" customFormat="1" ht="15.75">
      <c r="A119" s="39" t="s">
        <v>314</v>
      </c>
      <c r="B119" s="39" t="s">
        <v>315</v>
      </c>
      <c r="C119" s="38">
        <v>46056</v>
      </c>
      <c r="D119" s="39" t="s">
        <v>162</v>
      </c>
      <c r="E119" s="39" t="s">
        <v>163</v>
      </c>
      <c r="F119" s="39" t="s">
        <v>24</v>
      </c>
      <c r="G119" s="39">
        <v>30</v>
      </c>
      <c r="H119" s="50">
        <v>39632.14</v>
      </c>
      <c r="I119" s="50"/>
      <c r="J119" s="50">
        <f>CobrosPendientes[[#This Row],[Importe]]-CobrosPendientes[[#This Row],[Imp cobrado]]</f>
        <v>39632.14</v>
      </c>
      <c r="K119" s="44"/>
      <c r="L119" s="44"/>
      <c r="M119" s="44"/>
      <c r="N119" s="51" t="s">
        <v>213</v>
      </c>
      <c r="O119" s="49" t="s">
        <v>22</v>
      </c>
      <c r="P119" s="33" t="s">
        <v>277</v>
      </c>
      <c r="Q119" s="74">
        <v>46058</v>
      </c>
      <c r="R119" s="15">
        <v>39632.14</v>
      </c>
    </row>
    <row r="120" spans="1:18" s="52" customFormat="1" ht="15.75">
      <c r="A120" s="88" t="s">
        <v>316</v>
      </c>
      <c r="B120" s="88" t="s">
        <v>317</v>
      </c>
      <c r="C120" s="89">
        <v>46056</v>
      </c>
      <c r="D120" s="88" t="s">
        <v>162</v>
      </c>
      <c r="E120" s="88" t="s">
        <v>165</v>
      </c>
      <c r="F120" s="88" t="s">
        <v>24</v>
      </c>
      <c r="G120" s="88">
        <v>30</v>
      </c>
      <c r="H120" s="50">
        <v>132601.63</v>
      </c>
      <c r="I120" s="50"/>
      <c r="J120" s="50">
        <f>CobrosPendientes[[#This Row],[Importe]]-CobrosPendientes[[#This Row],[Imp cobrado]]</f>
        <v>132601.63</v>
      </c>
      <c r="K120" s="44"/>
      <c r="L120" s="44"/>
      <c r="M120" s="44"/>
      <c r="N120" s="51" t="s">
        <v>213</v>
      </c>
      <c r="O120" s="49" t="s">
        <v>22</v>
      </c>
      <c r="P120" s="33" t="s">
        <v>282</v>
      </c>
      <c r="Q120" s="74">
        <v>46058</v>
      </c>
      <c r="R120" s="15">
        <v>132601.63</v>
      </c>
    </row>
    <row r="121" spans="1:18" s="16" customFormat="1" ht="15.75">
      <c r="A121" s="66" t="s">
        <v>281</v>
      </c>
      <c r="B121" s="66" t="s">
        <v>318</v>
      </c>
      <c r="C121" s="20">
        <v>46059</v>
      </c>
      <c r="D121" s="21" t="s">
        <v>319</v>
      </c>
      <c r="E121" s="21" t="s">
        <v>320</v>
      </c>
      <c r="F121" s="21" t="s">
        <v>21</v>
      </c>
      <c r="G121" s="22">
        <v>50</v>
      </c>
      <c r="H121" s="35">
        <v>69215.95</v>
      </c>
      <c r="I121" s="35">
        <v>69215.95</v>
      </c>
      <c r="J121" s="35">
        <f>CobrosPendientes[[#This Row],[Importe]]-CobrosPendientes[[#This Row],[Imp cobrado]]</f>
        <v>0</v>
      </c>
      <c r="K121" s="40">
        <v>46070</v>
      </c>
      <c r="L121" s="40" t="s">
        <v>22</v>
      </c>
      <c r="M121" s="3"/>
      <c r="N121" s="30"/>
      <c r="O121" s="34"/>
      <c r="P121" s="33"/>
      <c r="Q121" s="6"/>
      <c r="R121" s="15"/>
    </row>
    <row r="122" spans="1:18" s="52" customFormat="1" ht="15.75">
      <c r="A122" s="88" t="s">
        <v>285</v>
      </c>
      <c r="B122" s="88" t="s">
        <v>321</v>
      </c>
      <c r="C122" s="89">
        <v>46059</v>
      </c>
      <c r="D122" s="88" t="s">
        <v>319</v>
      </c>
      <c r="E122" s="88" t="s">
        <v>320</v>
      </c>
      <c r="F122" s="88" t="s">
        <v>24</v>
      </c>
      <c r="G122" s="90">
        <v>20</v>
      </c>
      <c r="H122" s="50">
        <v>27686.38</v>
      </c>
      <c r="I122" s="50"/>
      <c r="J122" s="50">
        <f>CobrosPendientes[[#This Row],[Importe]]-CobrosPendientes[[#This Row],[Imp cobrado]]</f>
        <v>27686.38</v>
      </c>
      <c r="K122" s="44"/>
      <c r="L122" s="44"/>
      <c r="M122" s="44"/>
      <c r="N122" s="51" t="s">
        <v>322</v>
      </c>
      <c r="O122" s="49" t="s">
        <v>22</v>
      </c>
      <c r="P122" s="33" t="s">
        <v>302</v>
      </c>
      <c r="Q122" s="74">
        <v>46099</v>
      </c>
      <c r="R122" s="15">
        <v>27686.38</v>
      </c>
    </row>
    <row r="123" spans="1:18" s="16" customFormat="1" ht="15.75">
      <c r="A123" s="66" t="s">
        <v>323</v>
      </c>
      <c r="B123" s="66" t="s">
        <v>324</v>
      </c>
      <c r="C123" s="20">
        <v>46059</v>
      </c>
      <c r="D123" s="21" t="s">
        <v>319</v>
      </c>
      <c r="E123" s="21" t="s">
        <v>325</v>
      </c>
      <c r="F123" s="21" t="s">
        <v>21</v>
      </c>
      <c r="G123" s="22">
        <v>50</v>
      </c>
      <c r="H123" s="35">
        <v>51050</v>
      </c>
      <c r="I123" s="35">
        <v>51050</v>
      </c>
      <c r="J123" s="35">
        <f>CobrosPendientes[[#This Row],[Importe]]-CobrosPendientes[[#This Row],[Imp cobrado]]</f>
        <v>0</v>
      </c>
      <c r="K123" s="40">
        <v>46070</v>
      </c>
      <c r="L123" s="40" t="s">
        <v>22</v>
      </c>
      <c r="M123" s="3"/>
      <c r="N123" s="30"/>
      <c r="O123" s="34"/>
      <c r="P123" s="33"/>
      <c r="Q123" s="6"/>
      <c r="R123" s="15"/>
    </row>
    <row r="124" spans="1:18" s="52" customFormat="1" ht="15.75">
      <c r="A124" s="88" t="s">
        <v>326</v>
      </c>
      <c r="B124" s="88" t="s">
        <v>327</v>
      </c>
      <c r="C124" s="89">
        <v>46059</v>
      </c>
      <c r="D124" s="88" t="s">
        <v>319</v>
      </c>
      <c r="E124" s="88" t="s">
        <v>325</v>
      </c>
      <c r="F124" s="88" t="s">
        <v>24</v>
      </c>
      <c r="G124" s="90">
        <v>20</v>
      </c>
      <c r="H124" s="50">
        <v>20420</v>
      </c>
      <c r="I124" s="50"/>
      <c r="J124" s="50">
        <f>CobrosPendientes[[#This Row],[Importe]]-CobrosPendientes[[#This Row],[Imp cobrado]]</f>
        <v>20420</v>
      </c>
      <c r="K124" s="44"/>
      <c r="L124" s="44"/>
      <c r="M124" s="44"/>
      <c r="N124" s="51" t="s">
        <v>322</v>
      </c>
      <c r="O124" s="49" t="s">
        <v>22</v>
      </c>
      <c r="P124" s="33" t="s">
        <v>304</v>
      </c>
      <c r="Q124" s="74">
        <v>46104</v>
      </c>
      <c r="R124" s="15">
        <v>20420</v>
      </c>
    </row>
    <row r="125" spans="1:18" s="16" customFormat="1" ht="15.75">
      <c r="A125" s="12" t="s">
        <v>328</v>
      </c>
      <c r="B125" s="12"/>
      <c r="C125" s="13">
        <v>46062</v>
      </c>
      <c r="D125" s="53" t="s">
        <v>30</v>
      </c>
      <c r="E125" s="53" t="s">
        <v>239</v>
      </c>
      <c r="F125" s="53" t="s">
        <v>67</v>
      </c>
      <c r="G125" s="53">
        <v>40</v>
      </c>
      <c r="H125" s="54">
        <v>294190.21000000002</v>
      </c>
      <c r="I125" s="54"/>
      <c r="J125" s="54">
        <f>CobrosPendientes[[#This Row],[Importe]]-CobrosPendientes[[#This Row],[Imp cobrado]]</f>
        <v>294190.21000000002</v>
      </c>
      <c r="K125" s="3"/>
      <c r="L125" s="3"/>
      <c r="M125" s="3"/>
      <c r="N125" s="30" t="s">
        <v>329</v>
      </c>
      <c r="O125" s="34"/>
      <c r="P125" s="33"/>
      <c r="Q125" s="6"/>
      <c r="R125" s="15"/>
    </row>
    <row r="126" spans="1:18" s="16" customFormat="1" ht="15.75">
      <c r="A126" s="12" t="s">
        <v>330</v>
      </c>
      <c r="B126" s="12"/>
      <c r="C126" s="13">
        <v>46062</v>
      </c>
      <c r="D126" s="53" t="s">
        <v>30</v>
      </c>
      <c r="E126" s="53" t="s">
        <v>243</v>
      </c>
      <c r="F126" s="53" t="s">
        <v>67</v>
      </c>
      <c r="G126" s="53">
        <v>40</v>
      </c>
      <c r="H126" s="54">
        <v>365834.56</v>
      </c>
      <c r="I126" s="54"/>
      <c r="J126" s="54">
        <f>CobrosPendientes[[#This Row],[Importe]]-CobrosPendientes[[#This Row],[Imp cobrado]]</f>
        <v>365834.56</v>
      </c>
      <c r="K126" s="3"/>
      <c r="L126" s="3"/>
      <c r="M126" s="3"/>
      <c r="N126" s="30" t="s">
        <v>329</v>
      </c>
      <c r="O126" s="34"/>
      <c r="P126" s="33"/>
      <c r="Q126" s="6"/>
      <c r="R126" s="15"/>
    </row>
    <row r="127" spans="1:18" s="16" customFormat="1" ht="15.75">
      <c r="A127" s="12" t="s">
        <v>331</v>
      </c>
      <c r="B127" s="12"/>
      <c r="C127" s="13">
        <v>46062</v>
      </c>
      <c r="D127" s="53" t="s">
        <v>30</v>
      </c>
      <c r="E127" s="53" t="s">
        <v>246</v>
      </c>
      <c r="F127" s="53" t="s">
        <v>67</v>
      </c>
      <c r="G127" s="53">
        <v>40</v>
      </c>
      <c r="H127" s="54">
        <v>249344.16</v>
      </c>
      <c r="I127" s="54"/>
      <c r="J127" s="54">
        <f>CobrosPendientes[[#This Row],[Importe]]-CobrosPendientes[[#This Row],[Imp cobrado]]</f>
        <v>249344.16</v>
      </c>
      <c r="K127" s="3"/>
      <c r="L127" s="3"/>
      <c r="M127" s="3"/>
      <c r="N127" s="30" t="s">
        <v>329</v>
      </c>
      <c r="O127" s="34"/>
      <c r="P127" s="33"/>
      <c r="Q127" s="6"/>
      <c r="R127" s="15"/>
    </row>
    <row r="128" spans="1:18" s="16" customFormat="1" ht="15.75">
      <c r="A128" s="12" t="s">
        <v>332</v>
      </c>
      <c r="B128" s="12"/>
      <c r="C128" s="13">
        <v>46062</v>
      </c>
      <c r="D128" s="53" t="s">
        <v>30</v>
      </c>
      <c r="E128" s="53" t="s">
        <v>249</v>
      </c>
      <c r="F128" s="53" t="s">
        <v>67</v>
      </c>
      <c r="G128" s="53">
        <v>40</v>
      </c>
      <c r="H128" s="54">
        <v>95422.82</v>
      </c>
      <c r="I128" s="54"/>
      <c r="J128" s="54">
        <f>CobrosPendientes[[#This Row],[Importe]]-CobrosPendientes[[#This Row],[Imp cobrado]]</f>
        <v>95422.82</v>
      </c>
      <c r="K128" s="3"/>
      <c r="L128" s="3"/>
      <c r="M128" s="3"/>
      <c r="N128" s="30" t="s">
        <v>329</v>
      </c>
      <c r="O128" s="34"/>
      <c r="P128" s="33"/>
      <c r="Q128" s="6"/>
      <c r="R128" s="15"/>
    </row>
    <row r="129" spans="1:18" s="16" customFormat="1" ht="15.75">
      <c r="A129" s="12" t="s">
        <v>333</v>
      </c>
      <c r="B129" s="12"/>
      <c r="C129" s="13">
        <v>46062</v>
      </c>
      <c r="D129" s="53" t="s">
        <v>30</v>
      </c>
      <c r="E129" s="53" t="s">
        <v>252</v>
      </c>
      <c r="F129" s="53" t="s">
        <v>67</v>
      </c>
      <c r="G129" s="53">
        <v>40</v>
      </c>
      <c r="H129" s="54">
        <v>96161.97</v>
      </c>
      <c r="I129" s="54"/>
      <c r="J129" s="54">
        <f>CobrosPendientes[[#This Row],[Importe]]-CobrosPendientes[[#This Row],[Imp cobrado]]</f>
        <v>96161.97</v>
      </c>
      <c r="K129" s="3"/>
      <c r="L129" s="3"/>
      <c r="M129" s="3"/>
      <c r="N129" s="30" t="s">
        <v>329</v>
      </c>
      <c r="O129" s="34"/>
      <c r="P129" s="33"/>
      <c r="Q129" s="6"/>
      <c r="R129" s="15"/>
    </row>
    <row r="130" spans="1:18" s="16" customFormat="1" ht="15.75">
      <c r="A130" s="12" t="s">
        <v>334</v>
      </c>
      <c r="B130" s="12"/>
      <c r="C130" s="13">
        <v>46062</v>
      </c>
      <c r="D130" s="53" t="s">
        <v>30</v>
      </c>
      <c r="E130" s="53" t="s">
        <v>255</v>
      </c>
      <c r="F130" s="53" t="s">
        <v>67</v>
      </c>
      <c r="G130" s="53">
        <v>40</v>
      </c>
      <c r="H130" s="54">
        <v>256077</v>
      </c>
      <c r="I130" s="54"/>
      <c r="J130" s="54">
        <f>CobrosPendientes[[#This Row],[Importe]]-CobrosPendientes[[#This Row],[Imp cobrado]]</f>
        <v>256077</v>
      </c>
      <c r="K130" s="3"/>
      <c r="L130" s="3"/>
      <c r="M130" s="3"/>
      <c r="N130" s="30" t="s">
        <v>329</v>
      </c>
      <c r="O130" s="34"/>
      <c r="P130" s="33"/>
      <c r="Q130" s="6"/>
      <c r="R130" s="15"/>
    </row>
    <row r="131" spans="1:18" s="16" customFormat="1" ht="15.75">
      <c r="A131" s="21" t="s">
        <v>335</v>
      </c>
      <c r="B131" s="21" t="s">
        <v>336</v>
      </c>
      <c r="C131" s="20">
        <v>46062</v>
      </c>
      <c r="D131" s="21" t="s">
        <v>337</v>
      </c>
      <c r="E131" s="21" t="s">
        <v>160</v>
      </c>
      <c r="F131" s="21" t="s">
        <v>160</v>
      </c>
      <c r="G131" s="21">
        <v>100</v>
      </c>
      <c r="H131" s="5">
        <v>13000</v>
      </c>
      <c r="I131" s="5"/>
      <c r="J131" s="5">
        <f>CobrosPendientes[[#This Row],[Importe]]-CobrosPendientes[[#This Row],[Imp cobrado]]</f>
        <v>13000</v>
      </c>
      <c r="K131" s="3"/>
      <c r="L131" s="3"/>
      <c r="M131" s="3"/>
      <c r="N131" s="30"/>
      <c r="O131" s="34"/>
      <c r="P131" s="33"/>
      <c r="Q131" s="6"/>
      <c r="R131" s="15"/>
    </row>
    <row r="132" spans="1:18" s="16" customFormat="1" ht="15.75">
      <c r="A132" s="21" t="s">
        <v>338</v>
      </c>
      <c r="B132" s="21" t="s">
        <v>339</v>
      </c>
      <c r="C132" s="20">
        <v>46064</v>
      </c>
      <c r="D132" s="21" t="s">
        <v>340</v>
      </c>
      <c r="E132" s="21" t="s">
        <v>341</v>
      </c>
      <c r="F132" s="21" t="s">
        <v>342</v>
      </c>
      <c r="G132" s="21">
        <v>30</v>
      </c>
      <c r="H132" s="35">
        <v>42972.55</v>
      </c>
      <c r="I132" s="35">
        <v>42972.55</v>
      </c>
      <c r="J132" s="35">
        <f>CobrosPendientes[[#This Row],[Importe]]-CobrosPendientes[[#This Row],[Imp cobrado]]</f>
        <v>0</v>
      </c>
      <c r="K132" s="40">
        <v>46066</v>
      </c>
      <c r="L132" s="40" t="s">
        <v>22</v>
      </c>
      <c r="M132" s="55">
        <v>46067</v>
      </c>
      <c r="N132" s="30" t="s">
        <v>343</v>
      </c>
      <c r="O132" s="34"/>
      <c r="P132" s="33"/>
      <c r="Q132" s="6"/>
      <c r="R132" s="15"/>
    </row>
    <row r="133" spans="1:18" s="16" customFormat="1" ht="15.75">
      <c r="A133" s="21" t="s">
        <v>344</v>
      </c>
      <c r="B133" s="21" t="s">
        <v>345</v>
      </c>
      <c r="C133" s="20">
        <v>46064</v>
      </c>
      <c r="D133" s="21" t="s">
        <v>340</v>
      </c>
      <c r="E133" s="21" t="s">
        <v>346</v>
      </c>
      <c r="F133" s="21" t="s">
        <v>342</v>
      </c>
      <c r="G133" s="21">
        <v>30</v>
      </c>
      <c r="H133" s="35">
        <v>13689.7</v>
      </c>
      <c r="I133" s="35">
        <v>13689.7</v>
      </c>
      <c r="J133" s="35">
        <f>CobrosPendientes[[#This Row],[Importe]]-CobrosPendientes[[#This Row],[Imp cobrado]]</f>
        <v>0</v>
      </c>
      <c r="K133" s="40">
        <v>46066</v>
      </c>
      <c r="L133" s="40" t="s">
        <v>22</v>
      </c>
      <c r="M133" s="55">
        <v>46067</v>
      </c>
      <c r="N133" s="30" t="s">
        <v>343</v>
      </c>
      <c r="O133" s="34"/>
      <c r="P133" s="33"/>
      <c r="Q133" s="6"/>
      <c r="R133" s="15"/>
    </row>
    <row r="134" spans="1:18" s="16" customFormat="1" ht="15.75">
      <c r="A134" s="21" t="s">
        <v>347</v>
      </c>
      <c r="B134" s="21" t="s">
        <v>348</v>
      </c>
      <c r="C134" s="20">
        <v>46066</v>
      </c>
      <c r="D134" s="21" t="s">
        <v>349</v>
      </c>
      <c r="E134" s="21" t="s">
        <v>350</v>
      </c>
      <c r="F134" s="21" t="s">
        <v>67</v>
      </c>
      <c r="G134" s="21">
        <v>30</v>
      </c>
      <c r="H134" s="35">
        <v>178729.7</v>
      </c>
      <c r="I134" s="35">
        <v>178729.7</v>
      </c>
      <c r="J134" s="35">
        <f>CobrosPendientes[[#This Row],[Importe]]-CobrosPendientes[[#This Row],[Imp cobrado]]</f>
        <v>0</v>
      </c>
      <c r="K134" s="40">
        <v>46090</v>
      </c>
      <c r="L134" s="69" t="s">
        <v>22</v>
      </c>
      <c r="M134" s="55">
        <v>46076</v>
      </c>
      <c r="N134" s="30"/>
      <c r="O134" s="34"/>
      <c r="P134" s="33"/>
      <c r="Q134" s="6"/>
      <c r="R134" s="15"/>
    </row>
    <row r="135" spans="1:18" s="16" customFormat="1" ht="15.75">
      <c r="A135" s="21" t="s">
        <v>351</v>
      </c>
      <c r="B135" s="21" t="s">
        <v>352</v>
      </c>
      <c r="C135" s="20">
        <v>46066</v>
      </c>
      <c r="D135" s="21" t="s">
        <v>133</v>
      </c>
      <c r="E135" s="21" t="s">
        <v>134</v>
      </c>
      <c r="F135" s="21" t="s">
        <v>54</v>
      </c>
      <c r="G135" s="21">
        <v>5</v>
      </c>
      <c r="H135" s="35">
        <v>6057.3</v>
      </c>
      <c r="I135" s="35">
        <v>6057.3</v>
      </c>
      <c r="J135" s="35">
        <f>CobrosPendientes[[#This Row],[Importe]]-CobrosPendientes[[#This Row],[Imp cobrado]]</f>
        <v>0</v>
      </c>
      <c r="K135" s="40">
        <v>46206</v>
      </c>
      <c r="L135" s="69" t="s">
        <v>22</v>
      </c>
      <c r="M135" s="55">
        <v>46096</v>
      </c>
      <c r="N135" s="106" t="s">
        <v>353</v>
      </c>
      <c r="O135" s="34"/>
      <c r="P135" s="33"/>
      <c r="Q135" s="6"/>
      <c r="R135" s="15"/>
    </row>
    <row r="136" spans="1:18" s="16" customFormat="1" ht="15.75">
      <c r="A136" s="21" t="s">
        <v>354</v>
      </c>
      <c r="B136" s="21" t="s">
        <v>355</v>
      </c>
      <c r="C136" s="20">
        <v>46066</v>
      </c>
      <c r="D136" s="21" t="s">
        <v>133</v>
      </c>
      <c r="E136" s="21" t="s">
        <v>136</v>
      </c>
      <c r="F136" s="21" t="s">
        <v>54</v>
      </c>
      <c r="G136" s="21">
        <v>5</v>
      </c>
      <c r="H136" s="35">
        <v>6000.12</v>
      </c>
      <c r="I136" s="35">
        <v>6000.12</v>
      </c>
      <c r="J136" s="35">
        <f>CobrosPendientes[[#This Row],[Importe]]-CobrosPendientes[[#This Row],[Imp cobrado]]</f>
        <v>0</v>
      </c>
      <c r="K136" s="40">
        <v>46184</v>
      </c>
      <c r="L136" s="69" t="s">
        <v>22</v>
      </c>
      <c r="M136" s="55">
        <v>46096</v>
      </c>
      <c r="N136" s="30"/>
      <c r="O136" s="34"/>
      <c r="P136" s="33"/>
      <c r="Q136" s="6"/>
      <c r="R136" s="15"/>
    </row>
    <row r="137" spans="1:18" s="16" customFormat="1" ht="15.75">
      <c r="A137" s="21" t="s">
        <v>356</v>
      </c>
      <c r="B137" s="21" t="s">
        <v>357</v>
      </c>
      <c r="C137" s="20">
        <v>46066</v>
      </c>
      <c r="D137" s="21" t="s">
        <v>133</v>
      </c>
      <c r="E137" s="21" t="s">
        <v>138</v>
      </c>
      <c r="F137" s="21" t="s">
        <v>54</v>
      </c>
      <c r="G137" s="21">
        <v>5</v>
      </c>
      <c r="H137" s="35">
        <v>6129.38</v>
      </c>
      <c r="I137" s="35">
        <v>6129.38</v>
      </c>
      <c r="J137" s="35">
        <f>CobrosPendientes[[#This Row],[Importe]]-CobrosPendientes[[#This Row],[Imp cobrado]]</f>
        <v>0</v>
      </c>
      <c r="K137" s="40">
        <v>46184</v>
      </c>
      <c r="L137" s="69" t="s">
        <v>22</v>
      </c>
      <c r="M137" s="55">
        <v>46096</v>
      </c>
      <c r="N137" s="30"/>
      <c r="O137" s="34"/>
      <c r="P137" s="33"/>
      <c r="Q137" s="6"/>
      <c r="R137" s="15"/>
    </row>
    <row r="138" spans="1:18" s="16" customFormat="1" ht="15.75">
      <c r="A138" s="21" t="s">
        <v>358</v>
      </c>
      <c r="B138" s="21" t="s">
        <v>359</v>
      </c>
      <c r="C138" s="20">
        <v>46066</v>
      </c>
      <c r="D138" s="21" t="s">
        <v>133</v>
      </c>
      <c r="E138" s="21" t="s">
        <v>140</v>
      </c>
      <c r="F138" s="21" t="s">
        <v>54</v>
      </c>
      <c r="G138" s="21">
        <v>5</v>
      </c>
      <c r="H138" s="35">
        <v>6074.95</v>
      </c>
      <c r="I138" s="35">
        <v>6074.95</v>
      </c>
      <c r="J138" s="35">
        <f>CobrosPendientes[[#This Row],[Importe]]-CobrosPendientes[[#This Row],[Imp cobrado]]</f>
        <v>0</v>
      </c>
      <c r="K138" s="40">
        <v>46184</v>
      </c>
      <c r="L138" s="69" t="s">
        <v>22</v>
      </c>
      <c r="M138" s="55">
        <v>46096</v>
      </c>
      <c r="N138" s="30"/>
      <c r="O138" s="34"/>
      <c r="P138" s="33"/>
      <c r="Q138" s="6"/>
      <c r="R138" s="15"/>
    </row>
    <row r="139" spans="1:18" s="16" customFormat="1" ht="15.75">
      <c r="A139" s="21" t="s">
        <v>360</v>
      </c>
      <c r="B139" s="21" t="s">
        <v>361</v>
      </c>
      <c r="C139" s="20">
        <v>46066</v>
      </c>
      <c r="D139" s="21" t="s">
        <v>133</v>
      </c>
      <c r="E139" s="21" t="s">
        <v>142</v>
      </c>
      <c r="F139" s="21" t="s">
        <v>54</v>
      </c>
      <c r="G139" s="21">
        <v>5</v>
      </c>
      <c r="H139" s="35">
        <v>6485.28</v>
      </c>
      <c r="I139" s="35">
        <v>6485.28</v>
      </c>
      <c r="J139" s="35">
        <f>CobrosPendientes[[#This Row],[Importe]]-CobrosPendientes[[#This Row],[Imp cobrado]]</f>
        <v>0</v>
      </c>
      <c r="K139" s="40">
        <v>46184</v>
      </c>
      <c r="L139" s="69" t="s">
        <v>22</v>
      </c>
      <c r="M139" s="55">
        <v>46096</v>
      </c>
      <c r="N139" s="30"/>
      <c r="O139" s="34"/>
      <c r="P139" s="33"/>
      <c r="Q139" s="6"/>
      <c r="R139" s="15"/>
    </row>
    <row r="140" spans="1:18" s="16" customFormat="1" ht="15.75">
      <c r="A140" s="21" t="s">
        <v>362</v>
      </c>
      <c r="B140" s="21" t="s">
        <v>363</v>
      </c>
      <c r="C140" s="20">
        <v>46069</v>
      </c>
      <c r="D140" s="21" t="s">
        <v>364</v>
      </c>
      <c r="E140" s="21" t="s">
        <v>365</v>
      </c>
      <c r="F140" s="21" t="s">
        <v>366</v>
      </c>
      <c r="G140" s="21">
        <v>30</v>
      </c>
      <c r="H140" s="35">
        <v>52340.09</v>
      </c>
      <c r="I140" s="35">
        <v>52340.09</v>
      </c>
      <c r="J140" s="35">
        <f>CobrosPendientes[[#This Row],[Importe]]-CobrosPendientes[[#This Row],[Imp cobrado]]</f>
        <v>0</v>
      </c>
      <c r="K140" s="40">
        <v>46071</v>
      </c>
      <c r="L140" s="40" t="s">
        <v>22</v>
      </c>
      <c r="M140" s="55">
        <v>46072</v>
      </c>
      <c r="N140" s="30"/>
      <c r="O140" s="34"/>
      <c r="P140" s="33"/>
      <c r="Q140" s="6"/>
      <c r="R140" s="15"/>
    </row>
    <row r="141" spans="1:18" s="16" customFormat="1" ht="15.75">
      <c r="A141" s="21" t="s">
        <v>367</v>
      </c>
      <c r="B141" s="21" t="s">
        <v>368</v>
      </c>
      <c r="C141" s="20">
        <v>46078</v>
      </c>
      <c r="D141" s="66" t="s">
        <v>133</v>
      </c>
      <c r="E141" s="66" t="s">
        <v>369</v>
      </c>
      <c r="F141" s="66" t="s">
        <v>370</v>
      </c>
      <c r="G141" s="66">
        <v>100</v>
      </c>
      <c r="H141" s="46">
        <v>500</v>
      </c>
      <c r="I141" s="46">
        <v>500</v>
      </c>
      <c r="J141" s="46">
        <f>CobrosPendientes[[#This Row],[Importe]]-CobrosPendientes[[#This Row],[Imp cobrado]]</f>
        <v>0</v>
      </c>
      <c r="K141" s="40">
        <v>46122</v>
      </c>
      <c r="L141" s="69" t="s">
        <v>22</v>
      </c>
      <c r="M141" s="55">
        <v>46106</v>
      </c>
      <c r="N141" s="30"/>
      <c r="O141" s="34"/>
      <c r="P141" s="33"/>
      <c r="Q141" s="6"/>
      <c r="R141" s="15"/>
    </row>
    <row r="142" spans="1:18" s="16" customFormat="1" ht="15.75">
      <c r="A142" s="39" t="s">
        <v>371</v>
      </c>
      <c r="B142" s="39" t="s">
        <v>372</v>
      </c>
      <c r="C142" s="38">
        <v>46078</v>
      </c>
      <c r="D142" s="39" t="s">
        <v>373</v>
      </c>
      <c r="E142" s="39" t="s">
        <v>176</v>
      </c>
      <c r="F142" s="39" t="s">
        <v>21</v>
      </c>
      <c r="G142" s="39">
        <v>50</v>
      </c>
      <c r="H142" s="114">
        <v>63671.07</v>
      </c>
      <c r="I142" s="114">
        <v>63671.07</v>
      </c>
      <c r="J142" s="114">
        <f>CobrosPendientes[[#This Row],[Importe]]-CobrosPendientes[[#This Row],[Imp cobrado]]</f>
        <v>0</v>
      </c>
      <c r="K142" s="115">
        <v>46101</v>
      </c>
      <c r="L142" s="116" t="s">
        <v>22</v>
      </c>
      <c r="M142" s="82">
        <v>46083</v>
      </c>
      <c r="N142" s="51"/>
      <c r="O142" s="49"/>
      <c r="P142" s="33"/>
      <c r="Q142" s="6"/>
      <c r="R142" s="15"/>
    </row>
    <row r="143" spans="1:18" s="16" customFormat="1" ht="15.75">
      <c r="A143" s="21" t="s">
        <v>374</v>
      </c>
      <c r="B143" s="21" t="s">
        <v>375</v>
      </c>
      <c r="C143" s="20">
        <v>46080</v>
      </c>
      <c r="D143" s="21" t="s">
        <v>147</v>
      </c>
      <c r="E143" s="21" t="s">
        <v>148</v>
      </c>
      <c r="F143" s="21" t="s">
        <v>376</v>
      </c>
      <c r="G143" s="22" t="s">
        <v>377</v>
      </c>
      <c r="H143" s="5">
        <v>35247.11</v>
      </c>
      <c r="I143" s="5"/>
      <c r="J143" s="5">
        <f>CobrosPendientes[[#This Row],[Importe]]-CobrosPendientes[[#This Row],[Imp cobrado]]</f>
        <v>35247.11</v>
      </c>
      <c r="K143" s="3"/>
      <c r="L143" s="3"/>
      <c r="M143" s="55">
        <v>46083</v>
      </c>
      <c r="N143" s="30" t="s">
        <v>945</v>
      </c>
      <c r="O143" s="34"/>
      <c r="P143" s="33"/>
      <c r="Q143" s="6"/>
      <c r="R143" s="4"/>
    </row>
    <row r="144" spans="1:18" s="81" customFormat="1" ht="15.75">
      <c r="A144" s="39" t="s">
        <v>379</v>
      </c>
      <c r="B144" s="39" t="s">
        <v>380</v>
      </c>
      <c r="C144" s="38">
        <v>46080</v>
      </c>
      <c r="D144" s="39" t="s">
        <v>90</v>
      </c>
      <c r="E144" s="39" t="s">
        <v>91</v>
      </c>
      <c r="F144" s="39" t="s">
        <v>381</v>
      </c>
      <c r="G144" s="77" t="s">
        <v>382</v>
      </c>
      <c r="H144" s="43">
        <v>33910.1</v>
      </c>
      <c r="I144" s="43"/>
      <c r="J144" s="43">
        <f>CobrosPendientes[[#This Row],[Importe]]-CobrosPendientes[[#This Row],[Imp cobrado]]</f>
        <v>33910.1</v>
      </c>
      <c r="K144" s="78"/>
      <c r="L144" s="78"/>
      <c r="M144" s="79">
        <v>46083</v>
      </c>
      <c r="N144" s="80"/>
      <c r="O144" s="33" t="s">
        <v>22</v>
      </c>
      <c r="P144" s="33" t="s">
        <v>300</v>
      </c>
      <c r="Q144" s="74">
        <v>46086</v>
      </c>
      <c r="R144" s="68">
        <v>33910.1</v>
      </c>
    </row>
    <row r="145" spans="1:18" ht="15.75">
      <c r="A145" s="21" t="s">
        <v>383</v>
      </c>
      <c r="B145" s="21" t="s">
        <v>384</v>
      </c>
      <c r="C145" s="20">
        <v>46080</v>
      </c>
      <c r="D145" s="21" t="s">
        <v>156</v>
      </c>
      <c r="E145" s="21" t="s">
        <v>157</v>
      </c>
      <c r="F145" s="21" t="s">
        <v>21</v>
      </c>
      <c r="G145" s="22" t="s">
        <v>385</v>
      </c>
      <c r="H145" s="35">
        <v>245897.45</v>
      </c>
      <c r="I145" s="35">
        <v>245897.45</v>
      </c>
      <c r="J145" s="35">
        <f>CobrosPendientes[[#This Row],[Importe]]-CobrosPendientes[[#This Row],[Imp cobrado]]</f>
        <v>0</v>
      </c>
      <c r="K145" s="40">
        <v>46093</v>
      </c>
      <c r="L145" s="69" t="s">
        <v>22</v>
      </c>
      <c r="M145" s="55">
        <v>46110</v>
      </c>
      <c r="N145" s="30"/>
      <c r="O145" s="34"/>
      <c r="P145" s="33"/>
      <c r="Q145" s="6"/>
      <c r="R145" s="68"/>
    </row>
    <row r="146" spans="1:18" ht="15.75">
      <c r="A146" s="21" t="s">
        <v>386</v>
      </c>
      <c r="B146" s="21" t="s">
        <v>387</v>
      </c>
      <c r="C146" s="20">
        <v>46080</v>
      </c>
      <c r="D146" s="21" t="s">
        <v>171</v>
      </c>
      <c r="E146" s="21" t="s">
        <v>172</v>
      </c>
      <c r="F146" s="21" t="s">
        <v>82</v>
      </c>
      <c r="G146" s="22" t="s">
        <v>385</v>
      </c>
      <c r="H146" s="35">
        <v>73500</v>
      </c>
      <c r="I146" s="35">
        <v>73500</v>
      </c>
      <c r="J146" s="35">
        <f>CobrosPendientes[[#This Row],[Importe]]-CobrosPendientes[[#This Row],[Imp cobrado]]</f>
        <v>0</v>
      </c>
      <c r="K146" s="40">
        <v>46106</v>
      </c>
      <c r="L146" s="69" t="s">
        <v>22</v>
      </c>
      <c r="M146" s="55">
        <v>46083</v>
      </c>
      <c r="N146" s="30" t="s">
        <v>388</v>
      </c>
      <c r="O146" s="34"/>
      <c r="P146" s="33"/>
      <c r="Q146" s="6"/>
      <c r="R146" s="68"/>
    </row>
    <row r="147" spans="1:18" ht="15.75">
      <c r="A147" s="12" t="s">
        <v>389</v>
      </c>
      <c r="B147" s="12" t="s">
        <v>390</v>
      </c>
      <c r="C147" s="13">
        <v>46080</v>
      </c>
      <c r="D147" s="12" t="s">
        <v>156</v>
      </c>
      <c r="E147" s="12" t="s">
        <v>391</v>
      </c>
      <c r="F147" s="12" t="s">
        <v>225</v>
      </c>
      <c r="G147" s="14" t="s">
        <v>392</v>
      </c>
      <c r="H147" s="7">
        <v>15000</v>
      </c>
      <c r="I147" s="7"/>
      <c r="J147" s="7">
        <f>CobrosPendientes[[#This Row],[Importe]]-CobrosPendientes[[#This Row],[Imp cobrado]]</f>
        <v>15000</v>
      </c>
      <c r="K147" s="3"/>
      <c r="L147" s="3"/>
      <c r="M147" s="55">
        <v>46110</v>
      </c>
      <c r="N147" s="30" t="s">
        <v>393</v>
      </c>
      <c r="O147" s="34"/>
      <c r="P147" s="33"/>
      <c r="Q147" s="6"/>
      <c r="R147" s="68"/>
    </row>
    <row r="148" spans="1:18" ht="15.75">
      <c r="A148" s="21" t="s">
        <v>394</v>
      </c>
      <c r="B148" s="21" t="s">
        <v>395</v>
      </c>
      <c r="C148" s="20">
        <v>46080</v>
      </c>
      <c r="D148" s="21" t="s">
        <v>396</v>
      </c>
      <c r="E148" s="21" t="s">
        <v>397</v>
      </c>
      <c r="F148" s="21" t="s">
        <v>225</v>
      </c>
      <c r="G148" s="22" t="s">
        <v>392</v>
      </c>
      <c r="H148" s="35">
        <v>2297.6</v>
      </c>
      <c r="I148" s="35">
        <v>2297.6</v>
      </c>
      <c r="J148" s="35">
        <f>CobrosPendientes[[#This Row],[Importe]]-CobrosPendientes[[#This Row],[Imp cobrado]]</f>
        <v>0</v>
      </c>
      <c r="K148" s="40">
        <v>46084</v>
      </c>
      <c r="L148" s="69" t="s">
        <v>22</v>
      </c>
      <c r="M148" s="55">
        <v>46080</v>
      </c>
      <c r="N148" s="30"/>
      <c r="O148" s="34"/>
      <c r="P148" s="33"/>
      <c r="Q148" s="6"/>
      <c r="R148" s="68"/>
    </row>
    <row r="149" spans="1:18" ht="15.75">
      <c r="A149" s="21" t="s">
        <v>398</v>
      </c>
      <c r="B149" s="21" t="s">
        <v>399</v>
      </c>
      <c r="C149" s="20">
        <v>46084</v>
      </c>
      <c r="D149" s="21" t="s">
        <v>400</v>
      </c>
      <c r="E149" s="21" t="s">
        <v>401</v>
      </c>
      <c r="F149" s="21" t="s">
        <v>402</v>
      </c>
      <c r="G149" s="22" t="s">
        <v>392</v>
      </c>
      <c r="H149" s="76">
        <v>7000</v>
      </c>
      <c r="I149" s="76">
        <v>7000</v>
      </c>
      <c r="J149" s="76">
        <f>CobrosPendientes[[#This Row],[Importe]]-CobrosPendientes[[#This Row],[Imp cobrado]]</f>
        <v>0</v>
      </c>
      <c r="K149" s="40">
        <v>46084</v>
      </c>
      <c r="L149" s="69" t="s">
        <v>22</v>
      </c>
      <c r="M149" s="55">
        <v>46084</v>
      </c>
      <c r="N149" s="30"/>
      <c r="O149" s="34"/>
      <c r="P149" s="33"/>
      <c r="Q149" s="6"/>
      <c r="R149" s="68"/>
    </row>
    <row r="150" spans="1:18" s="45" customFormat="1" ht="15.75">
      <c r="A150" s="39" t="s">
        <v>403</v>
      </c>
      <c r="B150" s="39"/>
      <c r="C150" s="38">
        <v>45923</v>
      </c>
      <c r="D150" s="39" t="s">
        <v>404</v>
      </c>
      <c r="E150" s="39" t="s">
        <v>176</v>
      </c>
      <c r="F150" s="39" t="s">
        <v>225</v>
      </c>
      <c r="G150" s="77" t="s">
        <v>392</v>
      </c>
      <c r="H150" s="43">
        <v>4080.38</v>
      </c>
      <c r="I150" s="43"/>
      <c r="J150" s="43">
        <f>CobrosPendientes[[#This Row],[Importe]]-CobrosPendientes[[#This Row],[Imp cobrado]]</f>
        <v>4080.38</v>
      </c>
      <c r="K150" s="44"/>
      <c r="L150" s="44"/>
      <c r="M150" s="82"/>
      <c r="N150" s="51"/>
      <c r="O150" s="49" t="s">
        <v>22</v>
      </c>
      <c r="P150" s="33" t="s">
        <v>261</v>
      </c>
      <c r="Q150" s="74">
        <v>46030</v>
      </c>
      <c r="R150" s="68">
        <v>4080.38</v>
      </c>
    </row>
    <row r="151" spans="1:18" ht="15.75">
      <c r="A151" s="21" t="s">
        <v>405</v>
      </c>
      <c r="B151" s="21" t="s">
        <v>406</v>
      </c>
      <c r="C151" s="20">
        <v>46086</v>
      </c>
      <c r="D151" s="21" t="s">
        <v>407</v>
      </c>
      <c r="E151" s="21" t="s">
        <v>91</v>
      </c>
      <c r="F151" s="21" t="s">
        <v>408</v>
      </c>
      <c r="G151" s="22" t="s">
        <v>409</v>
      </c>
      <c r="H151" s="35">
        <v>118685.34</v>
      </c>
      <c r="I151" s="35">
        <v>118685.34</v>
      </c>
      <c r="J151" s="35">
        <f>CobrosPendientes[[#This Row],[Importe]]-CobrosPendientes[[#This Row],[Imp cobrado]]</f>
        <v>0</v>
      </c>
      <c r="K151" s="40">
        <v>46111</v>
      </c>
      <c r="L151" s="69" t="s">
        <v>22</v>
      </c>
      <c r="M151" s="55">
        <v>46089</v>
      </c>
      <c r="N151" s="30"/>
      <c r="O151" s="34"/>
      <c r="P151" s="33"/>
      <c r="Q151" s="6"/>
      <c r="R151" s="68"/>
    </row>
    <row r="152" spans="1:18" ht="15.75">
      <c r="A152" s="12" t="s">
        <v>410</v>
      </c>
      <c r="B152" s="12" t="s">
        <v>411</v>
      </c>
      <c r="C152" s="13">
        <v>46091</v>
      </c>
      <c r="D152" s="12" t="s">
        <v>412</v>
      </c>
      <c r="E152" s="12" t="s">
        <v>413</v>
      </c>
      <c r="F152" s="12" t="s">
        <v>414</v>
      </c>
      <c r="G152" s="14" t="s">
        <v>382</v>
      </c>
      <c r="H152" s="35">
        <v>8680.65</v>
      </c>
      <c r="I152" s="35">
        <v>8680.65</v>
      </c>
      <c r="J152" s="35">
        <f>CobrosPendientes[[#This Row],[Importe]]-CobrosPendientes[[#This Row],[Imp cobrado]]</f>
        <v>0</v>
      </c>
      <c r="K152" s="40">
        <v>46092</v>
      </c>
      <c r="L152" s="69" t="s">
        <v>22</v>
      </c>
      <c r="M152" s="55">
        <v>46094</v>
      </c>
      <c r="N152" s="30"/>
      <c r="O152" s="34"/>
      <c r="P152" s="33"/>
      <c r="Q152" s="6"/>
      <c r="R152" s="68"/>
    </row>
    <row r="153" spans="1:18" ht="15.75">
      <c r="A153" s="21" t="s">
        <v>415</v>
      </c>
      <c r="B153" s="21" t="s">
        <v>416</v>
      </c>
      <c r="C153" s="20">
        <v>46094</v>
      </c>
      <c r="D153" s="21" t="s">
        <v>417</v>
      </c>
      <c r="E153" s="21" t="s">
        <v>312</v>
      </c>
      <c r="F153" s="21" t="s">
        <v>418</v>
      </c>
      <c r="G153" s="22" t="s">
        <v>419</v>
      </c>
      <c r="H153" s="35">
        <v>44565</v>
      </c>
      <c r="I153" s="35">
        <v>44565</v>
      </c>
      <c r="J153" s="35">
        <f>CobrosPendientes[[#This Row],[Importe]]-CobrosPendientes[[#This Row],[Imp cobrado]]</f>
        <v>0</v>
      </c>
      <c r="K153" s="40">
        <v>46099</v>
      </c>
      <c r="L153" s="69" t="s">
        <v>22</v>
      </c>
      <c r="M153" s="55">
        <v>46101</v>
      </c>
      <c r="N153" s="30"/>
      <c r="O153" s="34"/>
      <c r="P153" s="33"/>
      <c r="Q153" s="6"/>
      <c r="R153" s="68"/>
    </row>
    <row r="154" spans="1:18" ht="15.75">
      <c r="A154" s="21" t="s">
        <v>420</v>
      </c>
      <c r="B154" s="21" t="s">
        <v>421</v>
      </c>
      <c r="C154" s="20">
        <v>46097</v>
      </c>
      <c r="D154" s="21" t="s">
        <v>133</v>
      </c>
      <c r="E154" s="21" t="s">
        <v>222</v>
      </c>
      <c r="F154" s="21" t="s">
        <v>422</v>
      </c>
      <c r="G154" s="22" t="s">
        <v>409</v>
      </c>
      <c r="H154" s="35">
        <v>379928.6</v>
      </c>
      <c r="I154" s="35">
        <v>379928.6</v>
      </c>
      <c r="J154" s="35">
        <f>CobrosPendientes[[#This Row],[Importe]]-CobrosPendientes[[#This Row],[Imp cobrado]]</f>
        <v>0</v>
      </c>
      <c r="K154" s="40">
        <v>46122</v>
      </c>
      <c r="L154" s="69" t="s">
        <v>22</v>
      </c>
      <c r="M154" s="55">
        <v>46127</v>
      </c>
      <c r="N154" s="30" t="s">
        <v>423</v>
      </c>
      <c r="O154" s="34"/>
      <c r="P154" s="33"/>
      <c r="Q154" s="6"/>
      <c r="R154" s="68"/>
    </row>
    <row r="155" spans="1:18" ht="15.75">
      <c r="A155" s="21" t="s">
        <v>424</v>
      </c>
      <c r="B155" s="21" t="s">
        <v>425</v>
      </c>
      <c r="C155" s="20">
        <v>46097</v>
      </c>
      <c r="D155" s="21" t="s">
        <v>291</v>
      </c>
      <c r="E155" s="21" t="s">
        <v>292</v>
      </c>
      <c r="F155" s="21" t="s">
        <v>82</v>
      </c>
      <c r="G155" s="22" t="s">
        <v>385</v>
      </c>
      <c r="H155" s="35">
        <v>73110.509999999995</v>
      </c>
      <c r="I155" s="35">
        <v>73110.509999999995</v>
      </c>
      <c r="J155" s="35">
        <f>CobrosPendientes[[#This Row],[Importe]]-CobrosPendientes[[#This Row],[Imp cobrado]]</f>
        <v>0</v>
      </c>
      <c r="K155" s="40">
        <v>46098</v>
      </c>
      <c r="L155" s="69" t="s">
        <v>22</v>
      </c>
      <c r="M155" s="55">
        <v>46100</v>
      </c>
      <c r="N155" s="30"/>
      <c r="O155" s="34"/>
      <c r="P155" s="33"/>
      <c r="Q155" s="6"/>
      <c r="R155" s="68"/>
    </row>
    <row r="156" spans="1:18" ht="15.75">
      <c r="A156" s="83" t="s">
        <v>426</v>
      </c>
      <c r="B156" s="83" t="s">
        <v>427</v>
      </c>
      <c r="C156" s="84">
        <v>46098</v>
      </c>
      <c r="D156" s="83" t="s">
        <v>167</v>
      </c>
      <c r="E156" s="83" t="s">
        <v>196</v>
      </c>
      <c r="F156" s="83" t="s">
        <v>428</v>
      </c>
      <c r="G156" s="85" t="s">
        <v>382</v>
      </c>
      <c r="H156" s="35">
        <v>6290</v>
      </c>
      <c r="I156" s="35">
        <v>6290</v>
      </c>
      <c r="J156" s="35">
        <f>CobrosPendientes[[#This Row],[Importe]]-CobrosPendientes[[#This Row],[Imp cobrado]]</f>
        <v>0</v>
      </c>
      <c r="K156" s="40">
        <v>46101</v>
      </c>
      <c r="L156" s="69" t="s">
        <v>22</v>
      </c>
      <c r="M156" s="55">
        <v>46101</v>
      </c>
      <c r="N156" s="30"/>
      <c r="O156" s="34"/>
      <c r="P156" s="33"/>
      <c r="Q156" s="6"/>
      <c r="R156" s="68"/>
    </row>
    <row r="157" spans="1:18" ht="15.75">
      <c r="A157" s="12" t="s">
        <v>429</v>
      </c>
      <c r="B157" s="12" t="s">
        <v>430</v>
      </c>
      <c r="C157" s="13">
        <v>46098</v>
      </c>
      <c r="D157" s="12" t="s">
        <v>162</v>
      </c>
      <c r="E157" s="12" t="s">
        <v>163</v>
      </c>
      <c r="F157" s="12" t="s">
        <v>21</v>
      </c>
      <c r="G157" s="14" t="s">
        <v>409</v>
      </c>
      <c r="H157" s="35">
        <v>46237.5</v>
      </c>
      <c r="I157" s="35">
        <v>46237.5</v>
      </c>
      <c r="J157" s="35">
        <f>CobrosPendientes[[#This Row],[Importe]]-CobrosPendientes[[#This Row],[Imp cobrado]]</f>
        <v>0</v>
      </c>
      <c r="K157" s="40">
        <v>46139</v>
      </c>
      <c r="L157" s="69" t="s">
        <v>22</v>
      </c>
      <c r="M157" s="55">
        <v>46128</v>
      </c>
      <c r="N157" s="30"/>
      <c r="O157" s="34"/>
      <c r="P157" s="33"/>
      <c r="Q157" s="6"/>
      <c r="R157" s="68"/>
    </row>
    <row r="158" spans="1:18" ht="15.75">
      <c r="A158" s="21" t="s">
        <v>431</v>
      </c>
      <c r="B158" s="21" t="s">
        <v>432</v>
      </c>
      <c r="C158" s="20">
        <v>46098</v>
      </c>
      <c r="D158" s="21" t="s">
        <v>433</v>
      </c>
      <c r="E158" s="21" t="s">
        <v>165</v>
      </c>
      <c r="F158" s="21" t="s">
        <v>21</v>
      </c>
      <c r="G158" s="22" t="s">
        <v>409</v>
      </c>
      <c r="H158" s="35">
        <v>154701.9</v>
      </c>
      <c r="I158" s="35">
        <v>154701.9</v>
      </c>
      <c r="J158" s="35">
        <f>CobrosPendientes[[#This Row],[Importe]]-CobrosPendientes[[#This Row],[Imp cobrado]]</f>
        <v>0</v>
      </c>
      <c r="K158" s="40">
        <v>46139</v>
      </c>
      <c r="L158" s="69" t="s">
        <v>22</v>
      </c>
      <c r="M158" s="55">
        <v>46128</v>
      </c>
      <c r="N158" s="30"/>
      <c r="O158" s="34"/>
      <c r="P158" s="33"/>
      <c r="Q158" s="6"/>
      <c r="R158" s="68"/>
    </row>
    <row r="159" spans="1:18" ht="15.75">
      <c r="A159" s="12" t="s">
        <v>434</v>
      </c>
      <c r="B159" s="12" t="s">
        <v>435</v>
      </c>
      <c r="C159" s="13">
        <v>46098</v>
      </c>
      <c r="D159" s="12" t="s">
        <v>436</v>
      </c>
      <c r="E159" s="12" t="s">
        <v>437</v>
      </c>
      <c r="F159" s="12" t="s">
        <v>67</v>
      </c>
      <c r="G159" s="14" t="s">
        <v>419</v>
      </c>
      <c r="H159" s="35">
        <v>39439.79</v>
      </c>
      <c r="I159" s="35">
        <v>39439.79</v>
      </c>
      <c r="J159" s="35">
        <f>CobrosPendientes[[#This Row],[Importe]]-CobrosPendientes[[#This Row],[Imp cobrado]]</f>
        <v>0</v>
      </c>
      <c r="K159" s="40">
        <v>46111</v>
      </c>
      <c r="L159" s="69" t="s">
        <v>22</v>
      </c>
      <c r="M159" s="55">
        <v>46101</v>
      </c>
      <c r="N159" s="30" t="s">
        <v>438</v>
      </c>
      <c r="O159" s="34"/>
      <c r="P159" s="33"/>
      <c r="Q159" s="6"/>
      <c r="R159" s="68"/>
    </row>
    <row r="160" spans="1:18" ht="15.75">
      <c r="A160" s="21" t="s">
        <v>439</v>
      </c>
      <c r="B160" s="21" t="s">
        <v>440</v>
      </c>
      <c r="C160" s="20">
        <v>46098</v>
      </c>
      <c r="D160" s="21" t="s">
        <v>436</v>
      </c>
      <c r="E160" s="21" t="s">
        <v>441</v>
      </c>
      <c r="F160" s="21" t="s">
        <v>442</v>
      </c>
      <c r="G160" s="22" t="s">
        <v>419</v>
      </c>
      <c r="H160" s="35">
        <v>23337.27</v>
      </c>
      <c r="I160" s="35">
        <v>23337.27</v>
      </c>
      <c r="J160" s="35">
        <f>CobrosPendientes[[#This Row],[Importe]]-CobrosPendientes[[#This Row],[Imp cobrado]]</f>
        <v>0</v>
      </c>
      <c r="K160" s="40">
        <v>46111</v>
      </c>
      <c r="L160" s="69" t="s">
        <v>22</v>
      </c>
      <c r="M160" s="55">
        <v>46101</v>
      </c>
      <c r="N160" s="30" t="s">
        <v>438</v>
      </c>
      <c r="O160" s="34"/>
      <c r="P160" s="33"/>
      <c r="Q160" s="6"/>
      <c r="R160" s="68"/>
    </row>
    <row r="161" spans="1:18" ht="15.75">
      <c r="A161" s="21" t="s">
        <v>443</v>
      </c>
      <c r="B161" s="21" t="s">
        <v>444</v>
      </c>
      <c r="C161" s="20">
        <v>46098</v>
      </c>
      <c r="D161" s="21" t="s">
        <v>436</v>
      </c>
      <c r="E161" s="21" t="s">
        <v>445</v>
      </c>
      <c r="F161" s="21" t="s">
        <v>446</v>
      </c>
      <c r="G161" s="22" t="s">
        <v>419</v>
      </c>
      <c r="H161" s="35">
        <v>20515.12</v>
      </c>
      <c r="I161" s="35">
        <v>20515.12</v>
      </c>
      <c r="J161" s="35">
        <f>CobrosPendientes[[#This Row],[Importe]]-CobrosPendientes[[#This Row],[Imp cobrado]]</f>
        <v>0</v>
      </c>
      <c r="K161" s="40">
        <v>46111</v>
      </c>
      <c r="L161" s="69" t="s">
        <v>22</v>
      </c>
      <c r="M161" s="55">
        <v>46101</v>
      </c>
      <c r="N161" s="30" t="s">
        <v>438</v>
      </c>
      <c r="O161" s="34"/>
      <c r="P161" s="33"/>
      <c r="Q161" s="6"/>
      <c r="R161" s="68"/>
    </row>
    <row r="162" spans="1:18" ht="15.75">
      <c r="A162" s="12" t="s">
        <v>447</v>
      </c>
      <c r="B162" s="12" t="s">
        <v>448</v>
      </c>
      <c r="C162" s="13">
        <v>46098</v>
      </c>
      <c r="D162" s="12" t="s">
        <v>436</v>
      </c>
      <c r="E162" s="12" t="s">
        <v>449</v>
      </c>
      <c r="F162" s="12" t="s">
        <v>450</v>
      </c>
      <c r="G162" s="14" t="s">
        <v>419</v>
      </c>
      <c r="H162" s="35">
        <v>59752.68</v>
      </c>
      <c r="I162" s="35">
        <v>59752.68</v>
      </c>
      <c r="J162" s="35">
        <f>CobrosPendientes[[#This Row],[Importe]]-CobrosPendientes[[#This Row],[Imp cobrado]]</f>
        <v>0</v>
      </c>
      <c r="K162" s="40">
        <v>46111</v>
      </c>
      <c r="L162" s="69" t="s">
        <v>22</v>
      </c>
      <c r="M162" s="55">
        <v>46101</v>
      </c>
      <c r="N162" s="30" t="s">
        <v>438</v>
      </c>
      <c r="O162" s="34"/>
      <c r="P162" s="33"/>
      <c r="Q162" s="6"/>
      <c r="R162" s="68"/>
    </row>
    <row r="163" spans="1:18" ht="15.75">
      <c r="A163" s="12" t="s">
        <v>451</v>
      </c>
      <c r="B163" s="12" t="s">
        <v>452</v>
      </c>
      <c r="C163" s="13">
        <v>46098</v>
      </c>
      <c r="D163" s="12" t="s">
        <v>436</v>
      </c>
      <c r="E163" s="12" t="s">
        <v>453</v>
      </c>
      <c r="F163" s="12" t="s">
        <v>450</v>
      </c>
      <c r="G163" s="14" t="s">
        <v>419</v>
      </c>
      <c r="H163" s="35">
        <v>40365.35</v>
      </c>
      <c r="I163" s="35">
        <v>40365.35</v>
      </c>
      <c r="J163" s="35">
        <f>CobrosPendientes[[#This Row],[Importe]]-CobrosPendientes[[#This Row],[Imp cobrado]]</f>
        <v>0</v>
      </c>
      <c r="K163" s="40">
        <v>46111</v>
      </c>
      <c r="L163" s="69" t="s">
        <v>22</v>
      </c>
      <c r="M163" s="55">
        <v>46101</v>
      </c>
      <c r="N163" s="30" t="s">
        <v>438</v>
      </c>
      <c r="O163" s="34"/>
      <c r="P163" s="33"/>
      <c r="Q163" s="6"/>
      <c r="R163" s="68"/>
    </row>
    <row r="164" spans="1:18" ht="15.75">
      <c r="A164" s="21" t="s">
        <v>454</v>
      </c>
      <c r="B164" s="21" t="s">
        <v>455</v>
      </c>
      <c r="C164" s="20">
        <v>46100</v>
      </c>
      <c r="D164" s="21" t="s">
        <v>456</v>
      </c>
      <c r="E164" s="21" t="s">
        <v>457</v>
      </c>
      <c r="F164" s="21" t="s">
        <v>458</v>
      </c>
      <c r="G164" s="22" t="s">
        <v>459</v>
      </c>
      <c r="H164" s="35">
        <v>24917.74</v>
      </c>
      <c r="I164" s="35">
        <v>24917.74</v>
      </c>
      <c r="J164" s="35">
        <f>CobrosPendientes[[#This Row],[Importe]]-CobrosPendientes[[#This Row],[Imp cobrado]]</f>
        <v>0</v>
      </c>
      <c r="K164" s="40">
        <v>46106</v>
      </c>
      <c r="L164" s="69" t="s">
        <v>22</v>
      </c>
      <c r="M164" s="55">
        <v>46105</v>
      </c>
      <c r="N164" s="30"/>
      <c r="O164" s="34"/>
      <c r="P164" s="33"/>
      <c r="Q164" s="6"/>
      <c r="R164" s="68"/>
    </row>
    <row r="165" spans="1:18" ht="15.75">
      <c r="A165" s="21" t="s">
        <v>460</v>
      </c>
      <c r="B165" s="21" t="s">
        <v>461</v>
      </c>
      <c r="C165" s="20">
        <v>46104</v>
      </c>
      <c r="D165" s="21" t="s">
        <v>307</v>
      </c>
      <c r="E165" s="21" t="s">
        <v>308</v>
      </c>
      <c r="F165" s="21" t="s">
        <v>462</v>
      </c>
      <c r="G165" s="22" t="s">
        <v>463</v>
      </c>
      <c r="H165" s="35">
        <v>105973.99</v>
      </c>
      <c r="I165" s="35">
        <v>105973.99</v>
      </c>
      <c r="J165" s="35">
        <f>CobrosPendientes[[#This Row],[Importe]]-CobrosPendientes[[#This Row],[Imp cobrado]]</f>
        <v>0</v>
      </c>
      <c r="K165" s="40">
        <v>46176</v>
      </c>
      <c r="L165" s="69" t="s">
        <v>22</v>
      </c>
      <c r="M165" s="55">
        <v>46107</v>
      </c>
      <c r="N165" s="30"/>
      <c r="O165" s="34"/>
      <c r="P165" s="33"/>
      <c r="Q165" s="6"/>
      <c r="R165" s="68"/>
    </row>
    <row r="166" spans="1:18" ht="16.5" customHeight="1">
      <c r="A166" s="21" t="s">
        <v>464</v>
      </c>
      <c r="B166" s="21" t="s">
        <v>465</v>
      </c>
      <c r="C166" s="20">
        <v>46104</v>
      </c>
      <c r="D166" s="21" t="s">
        <v>466</v>
      </c>
      <c r="E166" s="93" t="s">
        <v>467</v>
      </c>
      <c r="F166" s="21" t="s">
        <v>450</v>
      </c>
      <c r="G166" s="22" t="s">
        <v>468</v>
      </c>
      <c r="H166" s="35">
        <v>24154.38</v>
      </c>
      <c r="I166" s="35">
        <v>24154.38</v>
      </c>
      <c r="J166" s="35">
        <f>CobrosPendientes[[#This Row],[Importe]]-CobrosPendientes[[#This Row],[Imp cobrado]]</f>
        <v>0</v>
      </c>
      <c r="K166" s="40">
        <v>46139</v>
      </c>
      <c r="L166" s="69" t="s">
        <v>22</v>
      </c>
      <c r="M166" s="55">
        <v>46109</v>
      </c>
      <c r="N166" s="30"/>
      <c r="O166" s="34"/>
      <c r="P166" s="33"/>
      <c r="Q166" s="6"/>
      <c r="R166" s="68"/>
    </row>
    <row r="167" spans="1:18" ht="15.75">
      <c r="A167" s="21" t="s">
        <v>469</v>
      </c>
      <c r="B167" s="21" t="s">
        <v>470</v>
      </c>
      <c r="C167" s="20">
        <v>46104</v>
      </c>
      <c r="D167" s="21" t="s">
        <v>319</v>
      </c>
      <c r="E167" s="21" t="s">
        <v>471</v>
      </c>
      <c r="F167" s="21" t="s">
        <v>458</v>
      </c>
      <c r="G167" s="22" t="s">
        <v>459</v>
      </c>
      <c r="H167" s="35">
        <v>18378</v>
      </c>
      <c r="I167" s="35">
        <v>18378</v>
      </c>
      <c r="J167" s="35">
        <f>CobrosPendientes[[#This Row],[Importe]]-CobrosPendientes[[#This Row],[Imp cobrado]]</f>
        <v>0</v>
      </c>
      <c r="K167" s="40">
        <v>46106</v>
      </c>
      <c r="L167" s="69" t="s">
        <v>22</v>
      </c>
      <c r="M167" s="55">
        <v>46109</v>
      </c>
      <c r="N167" s="30"/>
      <c r="O167" s="34"/>
      <c r="P167" s="33"/>
      <c r="Q167" s="6"/>
      <c r="R167" s="68"/>
    </row>
    <row r="168" spans="1:18" ht="15.75">
      <c r="A168" s="21" t="s">
        <v>472</v>
      </c>
      <c r="B168" s="21" t="s">
        <v>473</v>
      </c>
      <c r="C168" s="20">
        <v>46105</v>
      </c>
      <c r="D168" s="21" t="s">
        <v>364</v>
      </c>
      <c r="E168" s="21" t="s">
        <v>365</v>
      </c>
      <c r="F168" s="21" t="s">
        <v>474</v>
      </c>
      <c r="G168" s="22" t="s">
        <v>385</v>
      </c>
      <c r="H168" s="35">
        <v>87233.48</v>
      </c>
      <c r="I168" s="35">
        <v>87233.48</v>
      </c>
      <c r="J168" s="35">
        <f>CobrosPendientes[[#This Row],[Importe]]-CobrosPendientes[[#This Row],[Imp cobrado]]</f>
        <v>0</v>
      </c>
      <c r="K168" s="40">
        <v>46107</v>
      </c>
      <c r="L168" s="69" t="s">
        <v>22</v>
      </c>
      <c r="M168" s="55">
        <v>46109</v>
      </c>
      <c r="N168" s="30"/>
      <c r="O168" s="34"/>
      <c r="P168" s="33"/>
      <c r="Q168" s="6"/>
      <c r="R168" s="68"/>
    </row>
    <row r="169" spans="1:18" ht="15.75">
      <c r="A169" s="21" t="s">
        <v>475</v>
      </c>
      <c r="B169" s="21" t="s">
        <v>476</v>
      </c>
      <c r="C169" s="20">
        <v>46105</v>
      </c>
      <c r="D169" s="21" t="s">
        <v>147</v>
      </c>
      <c r="E169" s="21" t="s">
        <v>150</v>
      </c>
      <c r="F169" s="21" t="s">
        <v>54</v>
      </c>
      <c r="G169" s="22" t="s">
        <v>377</v>
      </c>
      <c r="H169" s="7">
        <v>65678.960000000006</v>
      </c>
      <c r="I169" s="7"/>
      <c r="J169" s="7">
        <f>CobrosPendientes[[#This Row],[Importe]]-CobrosPendientes[[#This Row],[Imp cobrado]]</f>
        <v>65678.960000000006</v>
      </c>
      <c r="K169" s="3"/>
      <c r="L169" s="3"/>
      <c r="M169" s="55">
        <v>46108</v>
      </c>
      <c r="N169" s="30" t="s">
        <v>477</v>
      </c>
      <c r="O169" s="34"/>
      <c r="P169" s="33"/>
      <c r="Q169" s="6"/>
      <c r="R169" s="68"/>
    </row>
    <row r="170" spans="1:18" ht="15.75">
      <c r="A170" s="21" t="s">
        <v>478</v>
      </c>
      <c r="B170" s="21" t="s">
        <v>479</v>
      </c>
      <c r="C170" s="20">
        <v>46105</v>
      </c>
      <c r="D170" s="21" t="s">
        <v>340</v>
      </c>
      <c r="E170" s="21" t="s">
        <v>341</v>
      </c>
      <c r="F170" s="21" t="s">
        <v>480</v>
      </c>
      <c r="G170" s="22" t="s">
        <v>385</v>
      </c>
      <c r="H170" s="35">
        <v>71620.929999999993</v>
      </c>
      <c r="I170" s="35">
        <v>71620.929999999993</v>
      </c>
      <c r="J170" s="35">
        <f>CobrosPendientes[[#This Row],[Importe]]-CobrosPendientes[[#This Row],[Imp cobrado]]</f>
        <v>0</v>
      </c>
      <c r="K170" s="40">
        <v>46139</v>
      </c>
      <c r="L170" s="69" t="s">
        <v>22</v>
      </c>
      <c r="M170" s="55">
        <v>46108</v>
      </c>
      <c r="N170" s="30" t="s">
        <v>481</v>
      </c>
      <c r="O170" s="34"/>
      <c r="P170" s="33"/>
      <c r="Q170" s="6"/>
      <c r="R170" s="68"/>
    </row>
    <row r="171" spans="1:18" ht="15.75">
      <c r="A171" s="21" t="s">
        <v>482</v>
      </c>
      <c r="B171" s="21" t="s">
        <v>483</v>
      </c>
      <c r="C171" s="20">
        <v>46105</v>
      </c>
      <c r="D171" s="21" t="s">
        <v>340</v>
      </c>
      <c r="E171" s="21" t="s">
        <v>346</v>
      </c>
      <c r="F171" s="21" t="s">
        <v>480</v>
      </c>
      <c r="G171" s="22" t="s">
        <v>385</v>
      </c>
      <c r="H171" s="35">
        <v>22816.16</v>
      </c>
      <c r="I171" s="35">
        <v>22816.16</v>
      </c>
      <c r="J171" s="35">
        <f>CobrosPendientes[[#This Row],[Importe]]-CobrosPendientes[[#This Row],[Imp cobrado]]</f>
        <v>0</v>
      </c>
      <c r="K171" s="40">
        <v>46119</v>
      </c>
      <c r="L171" s="69" t="s">
        <v>22</v>
      </c>
      <c r="M171" s="55">
        <v>46108</v>
      </c>
      <c r="N171" s="30"/>
      <c r="O171" s="34"/>
      <c r="P171" s="33"/>
      <c r="Q171" s="6"/>
      <c r="R171" s="68"/>
    </row>
    <row r="172" spans="1:18" ht="15.75">
      <c r="A172" s="21" t="s">
        <v>484</v>
      </c>
      <c r="B172" s="21" t="s">
        <v>485</v>
      </c>
      <c r="C172" s="20">
        <v>46107</v>
      </c>
      <c r="D172" s="21" t="s">
        <v>167</v>
      </c>
      <c r="E172" s="21" t="s">
        <v>486</v>
      </c>
      <c r="F172" s="21" t="s">
        <v>487</v>
      </c>
      <c r="G172" s="22" t="s">
        <v>419</v>
      </c>
      <c r="H172" s="35">
        <v>6300</v>
      </c>
      <c r="I172" s="35">
        <v>6300</v>
      </c>
      <c r="J172" s="35">
        <f>CobrosPendientes[[#This Row],[Importe]]-CobrosPendientes[[#This Row],[Imp cobrado]]</f>
        <v>0</v>
      </c>
      <c r="K172" s="40">
        <v>46108</v>
      </c>
      <c r="L172" s="69" t="s">
        <v>22</v>
      </c>
      <c r="M172" s="55">
        <v>46110</v>
      </c>
      <c r="N172" s="30"/>
      <c r="O172" s="34"/>
      <c r="P172" s="33"/>
      <c r="Q172" s="6"/>
      <c r="R172" s="68"/>
    </row>
    <row r="173" spans="1:18" ht="15.75">
      <c r="A173" s="21" t="s">
        <v>488</v>
      </c>
      <c r="B173" s="21" t="s">
        <v>489</v>
      </c>
      <c r="C173" s="20">
        <v>46107</v>
      </c>
      <c r="D173" s="21" t="s">
        <v>490</v>
      </c>
      <c r="E173" s="93" t="s">
        <v>491</v>
      </c>
      <c r="F173" s="21" t="s">
        <v>487</v>
      </c>
      <c r="G173" s="22" t="s">
        <v>419</v>
      </c>
      <c r="H173" s="35">
        <v>34551.410000000003</v>
      </c>
      <c r="I173" s="35">
        <v>34551.410000000003</v>
      </c>
      <c r="J173" s="35">
        <f>CobrosPendientes[[#This Row],[Importe]]-CobrosPendientes[[#This Row],[Imp cobrado]]</f>
        <v>0</v>
      </c>
      <c r="K173" s="40">
        <v>46139</v>
      </c>
      <c r="L173" s="69" t="s">
        <v>22</v>
      </c>
      <c r="M173" s="55">
        <v>46110</v>
      </c>
      <c r="N173" s="30" t="s">
        <v>492</v>
      </c>
      <c r="O173" s="34"/>
      <c r="P173" s="33"/>
      <c r="Q173" s="6"/>
      <c r="R173" s="68"/>
    </row>
    <row r="174" spans="1:18" ht="15.75">
      <c r="A174" s="21" t="s">
        <v>493</v>
      </c>
      <c r="B174" s="21" t="s">
        <v>494</v>
      </c>
      <c r="C174" s="20">
        <v>46108</v>
      </c>
      <c r="D174" s="21" t="s">
        <v>30</v>
      </c>
      <c r="E174" s="21" t="s">
        <v>495</v>
      </c>
      <c r="F174" s="21" t="s">
        <v>487</v>
      </c>
      <c r="G174" s="22" t="s">
        <v>419</v>
      </c>
      <c r="H174" s="76">
        <v>310102.15999999997</v>
      </c>
      <c r="I174" s="35">
        <v>310102.15999999997</v>
      </c>
      <c r="J174" s="35">
        <f>CobrosPendientes[[#This Row],[Importe]]-CobrosPendientes[[#This Row],[Imp cobrado]]</f>
        <v>0</v>
      </c>
      <c r="K174" s="40">
        <v>46170</v>
      </c>
      <c r="L174" s="69" t="s">
        <v>22</v>
      </c>
      <c r="M174" s="55">
        <v>46111</v>
      </c>
      <c r="N174" s="30" t="s">
        <v>496</v>
      </c>
      <c r="O174" s="34"/>
      <c r="P174" s="33"/>
      <c r="Q174" s="6"/>
      <c r="R174" s="68"/>
    </row>
    <row r="175" spans="1:18" ht="15.75">
      <c r="A175" s="21" t="s">
        <v>497</v>
      </c>
      <c r="B175" s="21" t="s">
        <v>498</v>
      </c>
      <c r="C175" s="20">
        <v>46113</v>
      </c>
      <c r="D175" s="21" t="s">
        <v>133</v>
      </c>
      <c r="E175" s="21" t="s">
        <v>224</v>
      </c>
      <c r="F175" s="21" t="s">
        <v>499</v>
      </c>
      <c r="G175" s="22" t="s">
        <v>409</v>
      </c>
      <c r="H175" s="35">
        <v>249306.55</v>
      </c>
      <c r="I175" s="35">
        <v>249306.55</v>
      </c>
      <c r="J175" s="35">
        <f>CobrosPendientes[[#This Row],[Importe]]-CobrosPendientes[[#This Row],[Imp cobrado]]</f>
        <v>0</v>
      </c>
      <c r="K175" s="40">
        <v>46149</v>
      </c>
      <c r="L175" s="69" t="s">
        <v>22</v>
      </c>
      <c r="M175" s="55">
        <v>46143</v>
      </c>
      <c r="N175" s="30"/>
      <c r="O175" s="34"/>
      <c r="P175" s="33"/>
      <c r="Q175" s="6"/>
      <c r="R175" s="68"/>
    </row>
    <row r="176" spans="1:18" ht="15.75">
      <c r="A176" s="21" t="s">
        <v>500</v>
      </c>
      <c r="B176" s="21" t="s">
        <v>501</v>
      </c>
      <c r="C176" s="20">
        <v>46113</v>
      </c>
      <c r="D176" s="21" t="s">
        <v>133</v>
      </c>
      <c r="E176" s="126" t="s">
        <v>218</v>
      </c>
      <c r="F176" s="21" t="s">
        <v>499</v>
      </c>
      <c r="G176" s="22" t="s">
        <v>409</v>
      </c>
      <c r="H176" s="35">
        <v>45932.75</v>
      </c>
      <c r="I176" s="35">
        <v>45932.75</v>
      </c>
      <c r="J176" s="35">
        <f>CobrosPendientes[[#This Row],[Importe]]-CobrosPendientes[[#This Row],[Imp cobrado]]</f>
        <v>0</v>
      </c>
      <c r="K176" s="40">
        <v>46149</v>
      </c>
      <c r="L176" s="69" t="s">
        <v>22</v>
      </c>
      <c r="M176" s="55">
        <v>46143</v>
      </c>
      <c r="N176" s="30"/>
      <c r="O176" s="34"/>
      <c r="P176" s="33"/>
      <c r="Q176" s="6"/>
      <c r="R176" s="68"/>
    </row>
    <row r="177" spans="1:18" ht="15.75">
      <c r="A177" s="21" t="s">
        <v>502</v>
      </c>
      <c r="B177" s="21" t="s">
        <v>503</v>
      </c>
      <c r="C177" s="20">
        <v>46113</v>
      </c>
      <c r="D177" s="21" t="s">
        <v>291</v>
      </c>
      <c r="E177" s="21" t="s">
        <v>292</v>
      </c>
      <c r="F177" s="21" t="s">
        <v>504</v>
      </c>
      <c r="G177" s="22" t="s">
        <v>468</v>
      </c>
      <c r="H177" s="35">
        <v>29244.2</v>
      </c>
      <c r="I177" s="35">
        <v>29244.2</v>
      </c>
      <c r="J177" s="35">
        <f>CobrosPendientes[[#This Row],[Importe]]-CobrosPendientes[[#This Row],[Imp cobrado]]</f>
        <v>0</v>
      </c>
      <c r="K177" s="40">
        <v>46119</v>
      </c>
      <c r="L177" s="69" t="s">
        <v>22</v>
      </c>
      <c r="M177" s="55">
        <v>46116</v>
      </c>
      <c r="N177" s="30"/>
      <c r="O177" s="34"/>
      <c r="P177" s="33"/>
      <c r="Q177" s="6"/>
      <c r="R177" s="68"/>
    </row>
    <row r="178" spans="1:18" ht="15.75">
      <c r="A178" s="21" t="s">
        <v>505</v>
      </c>
      <c r="B178" s="21" t="s">
        <v>506</v>
      </c>
      <c r="C178" s="20">
        <v>46113</v>
      </c>
      <c r="D178" s="21" t="s">
        <v>507</v>
      </c>
      <c r="E178" s="21" t="s">
        <v>312</v>
      </c>
      <c r="F178" s="21" t="s">
        <v>508</v>
      </c>
      <c r="G178" s="22" t="s">
        <v>409</v>
      </c>
      <c r="H178" s="35">
        <v>57585.66</v>
      </c>
      <c r="I178" s="35">
        <v>57585.66</v>
      </c>
      <c r="J178" s="35">
        <f>CobrosPendientes[[#This Row],[Importe]]-CobrosPendientes[[#This Row],[Imp cobrado]]</f>
        <v>0</v>
      </c>
      <c r="K178" s="40">
        <v>46122</v>
      </c>
      <c r="L178" s="69" t="s">
        <v>22</v>
      </c>
      <c r="M178" s="55">
        <v>46120</v>
      </c>
      <c r="N178" s="30"/>
      <c r="O178" s="34"/>
      <c r="P178" s="33"/>
      <c r="Q178" s="6"/>
      <c r="R178" s="68"/>
    </row>
    <row r="179" spans="1:18" ht="15.75">
      <c r="A179" s="21" t="s">
        <v>509</v>
      </c>
      <c r="B179" s="21" t="s">
        <v>510</v>
      </c>
      <c r="C179" s="20">
        <v>46118</v>
      </c>
      <c r="D179" s="21" t="s">
        <v>167</v>
      </c>
      <c r="E179" s="21" t="s">
        <v>511</v>
      </c>
      <c r="F179" s="21" t="s">
        <v>512</v>
      </c>
      <c r="G179" s="22" t="s">
        <v>419</v>
      </c>
      <c r="H179" s="35">
        <v>66600</v>
      </c>
      <c r="I179" s="35">
        <v>66600</v>
      </c>
      <c r="J179" s="35">
        <f>CobrosPendientes[[#This Row],[Importe]]-CobrosPendientes[[#This Row],[Imp cobrado]]</f>
        <v>0</v>
      </c>
      <c r="K179" s="40">
        <v>46120</v>
      </c>
      <c r="L179" s="69" t="s">
        <v>22</v>
      </c>
      <c r="M179" s="55">
        <v>46121</v>
      </c>
      <c r="N179" s="30"/>
      <c r="O179" s="34"/>
      <c r="P179" s="33"/>
      <c r="Q179" s="6"/>
      <c r="R179" s="68"/>
    </row>
    <row r="180" spans="1:18" ht="15.75">
      <c r="A180" s="21" t="s">
        <v>513</v>
      </c>
      <c r="B180" s="21" t="s">
        <v>514</v>
      </c>
      <c r="C180" s="20">
        <v>46118</v>
      </c>
      <c r="D180" s="21" t="s">
        <v>407</v>
      </c>
      <c r="E180" s="21" t="s">
        <v>91</v>
      </c>
      <c r="F180" s="21" t="s">
        <v>504</v>
      </c>
      <c r="G180" s="22" t="s">
        <v>419</v>
      </c>
      <c r="H180" s="35">
        <v>101730.29</v>
      </c>
      <c r="I180" s="35">
        <v>101730.29</v>
      </c>
      <c r="J180" s="35">
        <f>CobrosPendientes[[#This Row],[Importe]]-CobrosPendientes[[#This Row],[Imp cobrado]]</f>
        <v>0</v>
      </c>
      <c r="K180" s="40">
        <v>46133</v>
      </c>
      <c r="L180" s="69" t="s">
        <v>22</v>
      </c>
      <c r="M180" s="55">
        <v>46121</v>
      </c>
      <c r="N180" s="30"/>
      <c r="O180" s="34"/>
      <c r="P180" s="33"/>
      <c r="Q180" s="6"/>
      <c r="R180" s="68"/>
    </row>
    <row r="181" spans="1:18" ht="15.75">
      <c r="A181" s="21" t="s">
        <v>515</v>
      </c>
      <c r="B181" s="21" t="s">
        <v>516</v>
      </c>
      <c r="C181" s="20">
        <v>46118</v>
      </c>
      <c r="D181" s="21" t="s">
        <v>517</v>
      </c>
      <c r="E181" s="21" t="s">
        <v>350</v>
      </c>
      <c r="F181" s="21" t="s">
        <v>518</v>
      </c>
      <c r="G181" s="22" t="s">
        <v>385</v>
      </c>
      <c r="H181" s="35">
        <v>297882.84000000003</v>
      </c>
      <c r="I181" s="35">
        <v>297882.84000000003</v>
      </c>
      <c r="J181" s="35">
        <f>CobrosPendientes[[#This Row],[Importe]]-CobrosPendientes[[#This Row],[Imp cobrado]]</f>
        <v>0</v>
      </c>
      <c r="K181" s="40">
        <v>46125</v>
      </c>
      <c r="L181" s="69" t="s">
        <v>22</v>
      </c>
      <c r="M181" s="55">
        <v>46128</v>
      </c>
      <c r="N181" s="30"/>
      <c r="O181" s="34"/>
      <c r="P181" s="33"/>
      <c r="Q181" s="6"/>
      <c r="R181" s="68"/>
    </row>
    <row r="182" spans="1:18" ht="15.75">
      <c r="A182" s="21" t="s">
        <v>519</v>
      </c>
      <c r="B182" s="21" t="s">
        <v>520</v>
      </c>
      <c r="C182" s="20">
        <v>46120</v>
      </c>
      <c r="D182" s="25" t="s">
        <v>159</v>
      </c>
      <c r="E182" s="21" t="s">
        <v>160</v>
      </c>
      <c r="F182" s="21" t="s">
        <v>160</v>
      </c>
      <c r="G182" s="22" t="s">
        <v>392</v>
      </c>
      <c r="H182" s="7">
        <v>224635.04</v>
      </c>
      <c r="I182" s="7"/>
      <c r="J182" s="7">
        <f>CobrosPendientes[[#This Row],[Importe]]-CobrosPendientes[[#This Row],[Imp cobrado]]</f>
        <v>224635.04</v>
      </c>
      <c r="K182" s="3"/>
      <c r="L182" s="3"/>
      <c r="M182" s="55">
        <v>46120</v>
      </c>
      <c r="N182" s="30"/>
      <c r="O182" s="34"/>
      <c r="P182" s="33"/>
      <c r="Q182" s="6"/>
      <c r="R182" s="68"/>
    </row>
    <row r="183" spans="1:18" ht="15.75">
      <c r="A183" s="21" t="s">
        <v>521</v>
      </c>
      <c r="B183" s="21" t="s">
        <v>522</v>
      </c>
      <c r="C183" s="20">
        <v>46121</v>
      </c>
      <c r="D183" s="21" t="s">
        <v>156</v>
      </c>
      <c r="E183" s="21" t="s">
        <v>157</v>
      </c>
      <c r="F183" s="21" t="s">
        <v>504</v>
      </c>
      <c r="G183" s="22" t="s">
        <v>523</v>
      </c>
      <c r="H183" s="35">
        <v>73769.240000000005</v>
      </c>
      <c r="I183" s="35">
        <v>73769.240000000005</v>
      </c>
      <c r="J183" s="35">
        <f>CobrosPendientes[[#This Row],[Importe]]-CobrosPendientes[[#This Row],[Imp cobrado]]</f>
        <v>0</v>
      </c>
      <c r="K183" s="40">
        <v>46178</v>
      </c>
      <c r="L183" s="69" t="s">
        <v>22</v>
      </c>
      <c r="M183" s="55">
        <v>46151</v>
      </c>
      <c r="N183" s="30"/>
      <c r="O183" s="34"/>
      <c r="P183" s="33"/>
      <c r="Q183" s="6"/>
      <c r="R183" s="68"/>
    </row>
    <row r="184" spans="1:18" ht="15.75">
      <c r="A184" s="25" t="s">
        <v>524</v>
      </c>
      <c r="B184" s="25" t="s">
        <v>525</v>
      </c>
      <c r="C184" s="20">
        <v>46125</v>
      </c>
      <c r="D184" s="21" t="s">
        <v>526</v>
      </c>
      <c r="E184" s="21" t="s">
        <v>397</v>
      </c>
      <c r="F184" s="21" t="s">
        <v>527</v>
      </c>
      <c r="G184" s="22" t="s">
        <v>419</v>
      </c>
      <c r="H184" s="87">
        <v>46613.61</v>
      </c>
      <c r="I184" s="35">
        <v>46613.61</v>
      </c>
      <c r="J184" s="35">
        <f>CobrosPendientes[[#This Row],[Importe]]-CobrosPendientes[[#This Row],[Imp cobrado]]</f>
        <v>0</v>
      </c>
      <c r="K184" s="40">
        <v>46134</v>
      </c>
      <c r="L184" s="69" t="s">
        <v>22</v>
      </c>
      <c r="M184" s="55">
        <v>46128</v>
      </c>
      <c r="N184" s="30" t="s">
        <v>528</v>
      </c>
      <c r="O184" s="34"/>
      <c r="P184" s="33"/>
      <c r="Q184" s="6"/>
      <c r="R184" s="68"/>
    </row>
    <row r="185" spans="1:18" ht="15.75">
      <c r="A185" s="21" t="s">
        <v>529</v>
      </c>
      <c r="B185" s="21" t="s">
        <v>530</v>
      </c>
      <c r="C185" s="20">
        <v>46127</v>
      </c>
      <c r="D185" s="21" t="s">
        <v>364</v>
      </c>
      <c r="E185" s="21" t="s">
        <v>365</v>
      </c>
      <c r="F185" s="21" t="s">
        <v>531</v>
      </c>
      <c r="G185" s="22" t="s">
        <v>468</v>
      </c>
      <c r="H185" s="35">
        <v>34893.39</v>
      </c>
      <c r="I185" s="35">
        <v>34893.39</v>
      </c>
      <c r="J185" s="35">
        <f>CobrosPendientes[[#This Row],[Importe]]-CobrosPendientes[[#This Row],[Imp cobrado]]</f>
        <v>0</v>
      </c>
      <c r="K185" s="40">
        <v>46128</v>
      </c>
      <c r="L185" s="69" t="s">
        <v>22</v>
      </c>
      <c r="M185" s="55">
        <v>46130</v>
      </c>
      <c r="N185" s="30"/>
      <c r="O185" s="34"/>
      <c r="P185" s="33"/>
      <c r="Q185" s="6"/>
      <c r="R185" s="68"/>
    </row>
    <row r="186" spans="1:18" ht="15.75">
      <c r="A186" s="21" t="s">
        <v>532</v>
      </c>
      <c r="B186" s="21" t="s">
        <v>533</v>
      </c>
      <c r="C186" s="20">
        <v>46127</v>
      </c>
      <c r="D186" s="21" t="s">
        <v>436</v>
      </c>
      <c r="E186" s="21" t="s">
        <v>441</v>
      </c>
      <c r="F186" s="21" t="s">
        <v>534</v>
      </c>
      <c r="G186" s="22" t="s">
        <v>535</v>
      </c>
      <c r="H186" s="35">
        <v>54463.63</v>
      </c>
      <c r="I186" s="35">
        <v>54463.63</v>
      </c>
      <c r="J186" s="35">
        <f>CobrosPendientes[[#This Row],[Importe]]-CobrosPendientes[[#This Row],[Imp cobrado]]</f>
        <v>0</v>
      </c>
      <c r="K186" s="40">
        <v>46142</v>
      </c>
      <c r="L186" s="69" t="s">
        <v>22</v>
      </c>
      <c r="M186" s="55">
        <v>46130</v>
      </c>
      <c r="N186" s="30"/>
      <c r="O186" s="34"/>
      <c r="P186" s="33"/>
      <c r="Q186" s="6"/>
      <c r="R186" s="68"/>
    </row>
    <row r="187" spans="1:18" ht="15.75">
      <c r="A187" s="21" t="s">
        <v>536</v>
      </c>
      <c r="B187" s="21" t="s">
        <v>537</v>
      </c>
      <c r="C187" s="20">
        <v>46127</v>
      </c>
      <c r="D187" s="21" t="s">
        <v>436</v>
      </c>
      <c r="E187" s="21" t="s">
        <v>445</v>
      </c>
      <c r="F187" s="21" t="s">
        <v>538</v>
      </c>
      <c r="G187" s="22" t="s">
        <v>535</v>
      </c>
      <c r="H187" s="35">
        <v>47868.62</v>
      </c>
      <c r="I187" s="35">
        <v>47868.62</v>
      </c>
      <c r="J187" s="35">
        <f>CobrosPendientes[[#This Row],[Importe]]-CobrosPendientes[[#This Row],[Imp cobrado]]</f>
        <v>0</v>
      </c>
      <c r="K187" s="40">
        <v>46142</v>
      </c>
      <c r="L187" s="69" t="s">
        <v>22</v>
      </c>
      <c r="M187" s="55">
        <v>46130</v>
      </c>
      <c r="N187" s="30"/>
      <c r="O187" s="34"/>
      <c r="P187" s="33"/>
      <c r="Q187" s="6"/>
      <c r="R187" s="68"/>
    </row>
    <row r="188" spans="1:18" ht="15.75">
      <c r="A188" s="21" t="s">
        <v>539</v>
      </c>
      <c r="B188" s="21" t="s">
        <v>540</v>
      </c>
      <c r="C188" s="20">
        <v>46127</v>
      </c>
      <c r="D188" s="21" t="s">
        <v>171</v>
      </c>
      <c r="E188" s="21" t="s">
        <v>172</v>
      </c>
      <c r="F188" s="21" t="s">
        <v>504</v>
      </c>
      <c r="G188" s="22" t="s">
        <v>468</v>
      </c>
      <c r="H188" s="35">
        <v>29400</v>
      </c>
      <c r="I188" s="35">
        <v>29400</v>
      </c>
      <c r="J188" s="35">
        <f>CobrosPendientes[[#This Row],[Importe]]-CobrosPendientes[[#This Row],[Imp cobrado]]</f>
        <v>0</v>
      </c>
      <c r="K188" s="40">
        <v>46132</v>
      </c>
      <c r="L188" s="69" t="s">
        <v>22</v>
      </c>
      <c r="M188" s="55">
        <v>46130</v>
      </c>
      <c r="N188" s="30"/>
      <c r="O188" s="34"/>
      <c r="P188" s="33"/>
      <c r="Q188" s="6"/>
      <c r="R188" s="68"/>
    </row>
    <row r="189" spans="1:18" ht="15.75">
      <c r="A189" s="12" t="s">
        <v>541</v>
      </c>
      <c r="B189" s="12" t="s">
        <v>542</v>
      </c>
      <c r="C189" s="13">
        <v>46128</v>
      </c>
      <c r="D189" s="12" t="s">
        <v>133</v>
      </c>
      <c r="E189" s="12" t="s">
        <v>220</v>
      </c>
      <c r="F189" s="12" t="s">
        <v>518</v>
      </c>
      <c r="G189" s="14" t="s">
        <v>409</v>
      </c>
      <c r="H189" s="35">
        <v>50025.279999999999</v>
      </c>
      <c r="I189" s="35">
        <v>50025.279999999999</v>
      </c>
      <c r="J189" s="35">
        <f>CobrosPendientes[[#This Row],[Importe]]-CobrosPendientes[[#This Row],[Imp cobrado]]</f>
        <v>0</v>
      </c>
      <c r="K189" s="40">
        <v>46181</v>
      </c>
      <c r="L189" s="69" t="s">
        <v>22</v>
      </c>
      <c r="M189" s="55">
        <v>46158</v>
      </c>
      <c r="N189" s="30"/>
      <c r="O189" s="34"/>
      <c r="P189" s="33"/>
      <c r="Q189" s="6"/>
      <c r="R189" s="68"/>
    </row>
    <row r="190" spans="1:18" ht="15.75">
      <c r="A190" s="12" t="s">
        <v>543</v>
      </c>
      <c r="B190" s="12" t="s">
        <v>544</v>
      </c>
      <c r="C190" s="13">
        <v>46132</v>
      </c>
      <c r="D190" s="12" t="s">
        <v>545</v>
      </c>
      <c r="E190" s="12" t="s">
        <v>546</v>
      </c>
      <c r="F190" s="12" t="s">
        <v>487</v>
      </c>
      <c r="G190" s="14" t="s">
        <v>547</v>
      </c>
      <c r="H190" s="35">
        <v>25000</v>
      </c>
      <c r="I190" s="35">
        <v>25000</v>
      </c>
      <c r="J190" s="35">
        <f>CobrosPendientes[[#This Row],[Importe]]-CobrosPendientes[[#This Row],[Imp cobrado]]</f>
        <v>0</v>
      </c>
      <c r="K190" s="40">
        <v>46135</v>
      </c>
      <c r="L190" s="69" t="s">
        <v>22</v>
      </c>
      <c r="M190" s="55">
        <v>46135</v>
      </c>
      <c r="N190" s="30"/>
      <c r="O190" s="34"/>
      <c r="P190" s="33"/>
      <c r="Q190" s="6"/>
      <c r="R190" s="68"/>
    </row>
    <row r="191" spans="1:18" ht="15.75">
      <c r="A191" s="21" t="s">
        <v>548</v>
      </c>
      <c r="B191" s="21" t="s">
        <v>549</v>
      </c>
      <c r="C191" s="20">
        <v>46132</v>
      </c>
      <c r="D191" s="21" t="s">
        <v>545</v>
      </c>
      <c r="E191" s="21" t="s">
        <v>550</v>
      </c>
      <c r="F191" s="21" t="s">
        <v>487</v>
      </c>
      <c r="G191" s="22" t="s">
        <v>468</v>
      </c>
      <c r="H191" s="35">
        <v>25532.15</v>
      </c>
      <c r="I191" s="35">
        <v>25532.15</v>
      </c>
      <c r="J191" s="35">
        <f>CobrosPendientes[[#This Row],[Importe]]-CobrosPendientes[[#This Row],[Imp cobrado]]</f>
        <v>0</v>
      </c>
      <c r="K191" s="40">
        <v>46135</v>
      </c>
      <c r="L191" s="69" t="s">
        <v>22</v>
      </c>
      <c r="M191" s="55">
        <v>46135</v>
      </c>
      <c r="N191" s="30"/>
      <c r="O191" s="34"/>
      <c r="P191" s="33"/>
      <c r="Q191" s="6"/>
      <c r="R191" s="68"/>
    </row>
    <row r="192" spans="1:18" ht="15.75">
      <c r="A192" s="21" t="s">
        <v>551</v>
      </c>
      <c r="B192" s="21" t="s">
        <v>552</v>
      </c>
      <c r="C192" s="20">
        <v>46132</v>
      </c>
      <c r="D192" s="21" t="s">
        <v>553</v>
      </c>
      <c r="E192" s="21" t="s">
        <v>554</v>
      </c>
      <c r="F192" s="21" t="s">
        <v>555</v>
      </c>
      <c r="G192" s="22" t="s">
        <v>392</v>
      </c>
      <c r="H192" s="7">
        <v>4814.29</v>
      </c>
      <c r="I192" s="7"/>
      <c r="J192" s="7">
        <f>CobrosPendientes[[#This Row],[Importe]]-CobrosPendientes[[#This Row],[Imp cobrado]]</f>
        <v>4814.29</v>
      </c>
      <c r="K192" s="3"/>
      <c r="L192" s="3"/>
      <c r="M192" s="55">
        <v>46135</v>
      </c>
      <c r="N192" s="30" t="s">
        <v>946</v>
      </c>
      <c r="O192" s="34"/>
      <c r="P192" s="33"/>
      <c r="Q192" s="6"/>
      <c r="R192" s="68"/>
    </row>
    <row r="193" spans="1:18" ht="15.75">
      <c r="A193" s="21" t="s">
        <v>557</v>
      </c>
      <c r="B193" s="21" t="s">
        <v>558</v>
      </c>
      <c r="C193" s="20">
        <v>46133</v>
      </c>
      <c r="D193" s="25" t="s">
        <v>167</v>
      </c>
      <c r="E193" s="25" t="s">
        <v>559</v>
      </c>
      <c r="F193" s="25" t="s">
        <v>560</v>
      </c>
      <c r="G193" s="22" t="s">
        <v>419</v>
      </c>
      <c r="H193" s="35">
        <v>485861.93</v>
      </c>
      <c r="I193" s="35">
        <v>485861.93</v>
      </c>
      <c r="J193" s="35">
        <f>CobrosPendientes[[#This Row],[Importe]]-CobrosPendientes[[#This Row],[Imp cobrado]]</f>
        <v>0</v>
      </c>
      <c r="K193" s="40">
        <v>46139</v>
      </c>
      <c r="L193" s="69" t="s">
        <v>22</v>
      </c>
      <c r="M193" s="55">
        <v>46136</v>
      </c>
      <c r="N193" s="30"/>
      <c r="O193" s="34"/>
      <c r="P193" s="33"/>
      <c r="Q193" s="6"/>
      <c r="R193" s="68"/>
    </row>
    <row r="194" spans="1:18" ht="15.75">
      <c r="A194" s="21" t="s">
        <v>561</v>
      </c>
      <c r="B194" s="21" t="s">
        <v>562</v>
      </c>
      <c r="C194" s="20">
        <v>46134</v>
      </c>
      <c r="D194" s="21" t="s">
        <v>563</v>
      </c>
      <c r="E194" s="21" t="s">
        <v>564</v>
      </c>
      <c r="F194" s="21" t="s">
        <v>289</v>
      </c>
      <c r="G194" s="22" t="s">
        <v>392</v>
      </c>
      <c r="H194" s="35">
        <v>23000</v>
      </c>
      <c r="I194" s="35">
        <v>23000</v>
      </c>
      <c r="J194" s="35">
        <f>CobrosPendientes[[#This Row],[Importe]]-CobrosPendientes[[#This Row],[Imp cobrado]]</f>
        <v>0</v>
      </c>
      <c r="K194" s="40">
        <v>46141</v>
      </c>
      <c r="L194" s="69" t="s">
        <v>22</v>
      </c>
      <c r="M194" s="55">
        <v>46137</v>
      </c>
      <c r="N194" s="30"/>
      <c r="O194" s="34"/>
      <c r="P194" s="33"/>
      <c r="Q194" s="6"/>
      <c r="R194" s="68"/>
    </row>
    <row r="195" spans="1:18" ht="15.75">
      <c r="A195" s="21" t="s">
        <v>565</v>
      </c>
      <c r="B195" s="21" t="s">
        <v>566</v>
      </c>
      <c r="C195" s="20">
        <v>46134</v>
      </c>
      <c r="D195" s="21" t="s">
        <v>340</v>
      </c>
      <c r="E195" s="21" t="s">
        <v>346</v>
      </c>
      <c r="F195" s="21" t="s">
        <v>567</v>
      </c>
      <c r="G195" s="22" t="s">
        <v>468</v>
      </c>
      <c r="H195" s="35">
        <v>9126.4599999999991</v>
      </c>
      <c r="I195" s="35">
        <v>9126.4599999999991</v>
      </c>
      <c r="J195" s="35">
        <f>CobrosPendientes[[#This Row],[Importe]]-CobrosPendientes[[#This Row],[Imp cobrado]]</f>
        <v>0</v>
      </c>
      <c r="K195" s="40">
        <v>46149</v>
      </c>
      <c r="L195" s="69" t="s">
        <v>22</v>
      </c>
      <c r="M195" s="55">
        <v>46137</v>
      </c>
      <c r="N195" s="30"/>
      <c r="O195" s="34"/>
      <c r="P195" s="33"/>
      <c r="Q195" s="6"/>
      <c r="R195" s="68"/>
    </row>
    <row r="196" spans="1:18" ht="15.75">
      <c r="A196" s="21" t="s">
        <v>568</v>
      </c>
      <c r="B196" s="21" t="s">
        <v>569</v>
      </c>
      <c r="C196" s="20">
        <v>46139</v>
      </c>
      <c r="D196" s="21" t="s">
        <v>570</v>
      </c>
      <c r="E196" s="21" t="s">
        <v>571</v>
      </c>
      <c r="F196" s="21" t="s">
        <v>572</v>
      </c>
      <c r="G196" s="22" t="s">
        <v>419</v>
      </c>
      <c r="H196" s="35">
        <v>34315.14</v>
      </c>
      <c r="I196" s="35">
        <v>34315.14</v>
      </c>
      <c r="J196" s="35">
        <f>CobrosPendientes[[#This Row],[Importe]]-CobrosPendientes[[#This Row],[Imp cobrado]]</f>
        <v>0</v>
      </c>
      <c r="K196" s="40">
        <v>46140</v>
      </c>
      <c r="L196" s="69" t="s">
        <v>22</v>
      </c>
      <c r="M196" s="55">
        <v>46142</v>
      </c>
      <c r="N196" s="30"/>
      <c r="O196" s="34"/>
      <c r="P196" s="33"/>
      <c r="Q196" s="6"/>
      <c r="R196" s="68"/>
    </row>
    <row r="197" spans="1:18" ht="15.75">
      <c r="A197" s="21" t="s">
        <v>573</v>
      </c>
      <c r="B197" s="21" t="s">
        <v>574</v>
      </c>
      <c r="C197" s="20">
        <v>46139</v>
      </c>
      <c r="D197" s="21" t="s">
        <v>319</v>
      </c>
      <c r="E197" s="21" t="s">
        <v>457</v>
      </c>
      <c r="F197" s="21" t="s">
        <v>575</v>
      </c>
      <c r="G197" s="22" t="s">
        <v>576</v>
      </c>
      <c r="H197" s="35">
        <v>2786.64</v>
      </c>
      <c r="I197" s="35">
        <v>2786.64</v>
      </c>
      <c r="J197" s="35">
        <f>CobrosPendientes[[#This Row],[Importe]]-CobrosPendientes[[#This Row],[Imp cobrado]]</f>
        <v>0</v>
      </c>
      <c r="K197" s="40">
        <v>46147</v>
      </c>
      <c r="L197" s="69" t="s">
        <v>22</v>
      </c>
      <c r="M197" s="55">
        <v>46144</v>
      </c>
      <c r="N197" s="30" t="s">
        <v>577</v>
      </c>
      <c r="O197" s="34"/>
      <c r="P197" s="33"/>
      <c r="Q197" s="6"/>
      <c r="R197" s="68"/>
    </row>
    <row r="198" spans="1:18" ht="15.75">
      <c r="A198" s="21" t="s">
        <v>578</v>
      </c>
      <c r="B198" s="21" t="s">
        <v>579</v>
      </c>
      <c r="C198" s="20">
        <v>46141</v>
      </c>
      <c r="D198" s="21" t="s">
        <v>580</v>
      </c>
      <c r="E198" s="21" t="s">
        <v>581</v>
      </c>
      <c r="F198" s="21" t="s">
        <v>582</v>
      </c>
      <c r="G198" s="22" t="s">
        <v>392</v>
      </c>
      <c r="H198" s="35">
        <v>2494</v>
      </c>
      <c r="I198" s="35">
        <v>2494</v>
      </c>
      <c r="J198" s="35">
        <f>CobrosPendientes[[#This Row],[Importe]]-CobrosPendientes[[#This Row],[Imp cobrado]]</f>
        <v>0</v>
      </c>
      <c r="K198" s="40">
        <v>46146</v>
      </c>
      <c r="L198" s="69" t="s">
        <v>22</v>
      </c>
      <c r="M198" s="55">
        <v>46144</v>
      </c>
      <c r="N198" s="30"/>
      <c r="O198" s="34"/>
      <c r="P198" s="33"/>
      <c r="Q198" s="6"/>
      <c r="R198" s="68"/>
    </row>
    <row r="199" spans="1:18" ht="15.75">
      <c r="A199" s="21" t="s">
        <v>583</v>
      </c>
      <c r="B199" s="21" t="s">
        <v>584</v>
      </c>
      <c r="C199" s="20">
        <v>46141</v>
      </c>
      <c r="D199" s="21" t="s">
        <v>585</v>
      </c>
      <c r="E199" s="21" t="s">
        <v>287</v>
      </c>
      <c r="F199" s="21" t="s">
        <v>518</v>
      </c>
      <c r="G199" s="22" t="s">
        <v>385</v>
      </c>
      <c r="H199" s="35">
        <v>214700</v>
      </c>
      <c r="I199" s="35">
        <v>214700</v>
      </c>
      <c r="J199" s="35">
        <f>CobrosPendientes[[#This Row],[Importe]]-CobrosPendientes[[#This Row],[Imp cobrado]]</f>
        <v>0</v>
      </c>
      <c r="K199" s="40">
        <v>46146</v>
      </c>
      <c r="L199" s="69" t="s">
        <v>22</v>
      </c>
      <c r="M199" s="55">
        <v>46144</v>
      </c>
      <c r="N199" s="30"/>
      <c r="O199" s="34"/>
      <c r="P199" s="33"/>
      <c r="Q199" s="6"/>
      <c r="R199" s="68"/>
    </row>
    <row r="200" spans="1:18" ht="15.75">
      <c r="A200" s="21" t="s">
        <v>586</v>
      </c>
      <c r="B200" s="21" t="s">
        <v>587</v>
      </c>
      <c r="C200" s="20">
        <v>46141</v>
      </c>
      <c r="D200" s="21" t="s">
        <v>133</v>
      </c>
      <c r="E200" s="21" t="s">
        <v>222</v>
      </c>
      <c r="F200" s="21" t="s">
        <v>504</v>
      </c>
      <c r="G200" s="22" t="s">
        <v>419</v>
      </c>
      <c r="H200" s="35">
        <v>302525.71999999997</v>
      </c>
      <c r="I200" s="35">
        <v>302525.71999999997</v>
      </c>
      <c r="J200" s="35">
        <f>CobrosPendientes[[#This Row],[Importe]]-CobrosPendientes[[#This Row],[Imp cobrado]]</f>
        <v>0</v>
      </c>
      <c r="K200" s="40">
        <v>46181</v>
      </c>
      <c r="L200" s="69" t="s">
        <v>22</v>
      </c>
      <c r="M200" s="55">
        <v>46171</v>
      </c>
      <c r="N200" s="30" t="s">
        <v>588</v>
      </c>
      <c r="O200" s="34"/>
      <c r="P200" s="33"/>
      <c r="Q200" s="6"/>
      <c r="R200" s="68"/>
    </row>
    <row r="201" spans="1:18" ht="15.75">
      <c r="A201" s="21" t="s">
        <v>589</v>
      </c>
      <c r="B201" s="21" t="s">
        <v>590</v>
      </c>
      <c r="C201" s="20">
        <v>46141</v>
      </c>
      <c r="D201" s="21" t="s">
        <v>133</v>
      </c>
      <c r="E201" s="21" t="s">
        <v>218</v>
      </c>
      <c r="F201" s="21" t="s">
        <v>591</v>
      </c>
      <c r="G201" s="22" t="s">
        <v>419</v>
      </c>
      <c r="H201" s="76">
        <v>39370.93</v>
      </c>
      <c r="I201" s="76">
        <v>39370.93</v>
      </c>
      <c r="J201" s="76">
        <f>CobrosPendientes[[#This Row],[Importe]]-CobrosPendientes[[#This Row],[Imp cobrado]]</f>
        <v>0</v>
      </c>
      <c r="K201" s="40">
        <v>46181</v>
      </c>
      <c r="L201" s="69" t="s">
        <v>22</v>
      </c>
      <c r="M201" s="55">
        <v>46171</v>
      </c>
      <c r="N201" s="30"/>
      <c r="O201" s="34"/>
      <c r="P201" s="33"/>
      <c r="Q201" s="6"/>
      <c r="R201" s="68"/>
    </row>
    <row r="202" spans="1:18" ht="15.75">
      <c r="A202" s="12" t="s">
        <v>592</v>
      </c>
      <c r="B202" s="12" t="s">
        <v>593</v>
      </c>
      <c r="C202" s="13">
        <v>46141</v>
      </c>
      <c r="D202" s="12" t="s">
        <v>133</v>
      </c>
      <c r="E202" s="12" t="s">
        <v>594</v>
      </c>
      <c r="F202" s="12" t="s">
        <v>591</v>
      </c>
      <c r="G202" s="14" t="s">
        <v>419</v>
      </c>
      <c r="H202" s="76">
        <v>42878.81</v>
      </c>
      <c r="I202" s="76">
        <v>42878.81</v>
      </c>
      <c r="J202" s="76">
        <f>CobrosPendientes[[#This Row],[Importe]]-CobrosPendientes[[#This Row],[Imp cobrado]]</f>
        <v>0</v>
      </c>
      <c r="K202" s="40">
        <v>46181</v>
      </c>
      <c r="L202" s="69" t="s">
        <v>22</v>
      </c>
      <c r="M202" s="55">
        <v>46171</v>
      </c>
      <c r="N202" s="30"/>
      <c r="O202" s="34"/>
      <c r="P202" s="33"/>
      <c r="Q202" s="6"/>
      <c r="R202" s="68"/>
    </row>
    <row r="203" spans="1:18" ht="15.75">
      <c r="A203" s="21" t="s">
        <v>595</v>
      </c>
      <c r="B203" s="21" t="s">
        <v>596</v>
      </c>
      <c r="C203" s="20">
        <v>46141</v>
      </c>
      <c r="D203" s="21" t="s">
        <v>433</v>
      </c>
      <c r="E203" s="21" t="s">
        <v>165</v>
      </c>
      <c r="F203" s="21" t="s">
        <v>591</v>
      </c>
      <c r="G203" s="22" t="s">
        <v>419</v>
      </c>
      <c r="H203" s="76">
        <v>132601.63</v>
      </c>
      <c r="I203" s="76">
        <v>132601.63</v>
      </c>
      <c r="J203" s="76">
        <f>CobrosPendientes[[#This Row],[Importe]]-CobrosPendientes[[#This Row],[Imp cobrado]]</f>
        <v>0</v>
      </c>
      <c r="K203" s="40">
        <v>46168</v>
      </c>
      <c r="L203" s="69" t="s">
        <v>22</v>
      </c>
      <c r="M203" s="55">
        <v>46171</v>
      </c>
      <c r="N203" s="30"/>
      <c r="O203" s="34"/>
      <c r="P203" s="33"/>
      <c r="Q203" s="6"/>
      <c r="R203" s="68"/>
    </row>
    <row r="204" spans="1:18" ht="15.75">
      <c r="A204" s="21" t="s">
        <v>597</v>
      </c>
      <c r="B204" s="21" t="s">
        <v>598</v>
      </c>
      <c r="C204" s="20">
        <v>46141</v>
      </c>
      <c r="D204" s="21" t="s">
        <v>517</v>
      </c>
      <c r="E204" s="21" t="s">
        <v>350</v>
      </c>
      <c r="F204" s="21" t="s">
        <v>591</v>
      </c>
      <c r="G204" s="22" t="s">
        <v>468</v>
      </c>
      <c r="H204" s="76">
        <v>119153.14</v>
      </c>
      <c r="I204" s="76">
        <v>119153.14</v>
      </c>
      <c r="J204" s="76">
        <f>CobrosPendientes[[#This Row],[Importe]]-CobrosPendientes[[#This Row],[Imp cobrado]]</f>
        <v>0</v>
      </c>
      <c r="K204" s="40">
        <v>46167</v>
      </c>
      <c r="L204" s="69" t="s">
        <v>22</v>
      </c>
      <c r="M204" s="55">
        <v>46151</v>
      </c>
      <c r="N204" s="30" t="s">
        <v>599</v>
      </c>
      <c r="O204" s="34"/>
      <c r="P204" s="33"/>
      <c r="Q204" s="6"/>
      <c r="R204" s="68"/>
    </row>
    <row r="205" spans="1:18" ht="15.75">
      <c r="A205" s="12" t="s">
        <v>600</v>
      </c>
      <c r="B205" s="12" t="s">
        <v>601</v>
      </c>
      <c r="C205" s="13">
        <v>46141</v>
      </c>
      <c r="D205" s="12" t="s">
        <v>585</v>
      </c>
      <c r="E205" s="12" t="s">
        <v>602</v>
      </c>
      <c r="F205" s="12" t="s">
        <v>512</v>
      </c>
      <c r="G205" s="14" t="s">
        <v>419</v>
      </c>
      <c r="H205" s="35">
        <v>10140</v>
      </c>
      <c r="I205" s="35">
        <v>10140</v>
      </c>
      <c r="J205" s="35">
        <f>CobrosPendientes[[#This Row],[Importe]]-CobrosPendientes[[#This Row],[Imp cobrado]]</f>
        <v>0</v>
      </c>
      <c r="K205" s="40">
        <v>46147</v>
      </c>
      <c r="L205" s="69" t="s">
        <v>22</v>
      </c>
      <c r="M205" s="55">
        <v>46144</v>
      </c>
      <c r="N205" s="30"/>
      <c r="O205" s="34"/>
      <c r="P205" s="33"/>
      <c r="Q205" s="6"/>
      <c r="R205" s="68"/>
    </row>
    <row r="206" spans="1:18" ht="15.75">
      <c r="A206" s="21" t="s">
        <v>603</v>
      </c>
      <c r="B206" s="21" t="s">
        <v>604</v>
      </c>
      <c r="C206" s="20">
        <v>46141</v>
      </c>
      <c r="D206" s="21" t="s">
        <v>167</v>
      </c>
      <c r="E206" s="21" t="s">
        <v>168</v>
      </c>
      <c r="F206" s="21" t="s">
        <v>518</v>
      </c>
      <c r="G206" s="22" t="s">
        <v>385</v>
      </c>
      <c r="H206" s="35">
        <v>74400</v>
      </c>
      <c r="I206" s="35">
        <v>74400</v>
      </c>
      <c r="J206" s="35">
        <f>CobrosPendientes[[#This Row],[Importe]]-CobrosPendientes[[#This Row],[Imp cobrado]]</f>
        <v>0</v>
      </c>
      <c r="K206" s="40">
        <v>46147</v>
      </c>
      <c r="L206" s="69" t="s">
        <v>22</v>
      </c>
      <c r="M206" s="55">
        <v>46144</v>
      </c>
      <c r="N206" s="30"/>
      <c r="O206" s="34"/>
      <c r="P206" s="33"/>
      <c r="Q206" s="6"/>
      <c r="R206" s="68"/>
    </row>
    <row r="207" spans="1:18" ht="15.75">
      <c r="A207" s="21" t="s">
        <v>605</v>
      </c>
      <c r="B207" s="21" t="s">
        <v>606</v>
      </c>
      <c r="C207" s="20">
        <v>46142</v>
      </c>
      <c r="D207" s="21" t="s">
        <v>30</v>
      </c>
      <c r="E207" s="21" t="s">
        <v>495</v>
      </c>
      <c r="F207" s="21" t="s">
        <v>499</v>
      </c>
      <c r="G207" s="22" t="s">
        <v>385</v>
      </c>
      <c r="H207" s="76">
        <v>516836.93</v>
      </c>
      <c r="I207" s="35">
        <v>516836.93</v>
      </c>
      <c r="J207" s="35">
        <f>CobrosPendientes[[#This Row],[Importe]]-CobrosPendientes[[#This Row],[Imp cobrado]]</f>
        <v>0</v>
      </c>
      <c r="K207" s="40">
        <v>46209</v>
      </c>
      <c r="L207" s="69" t="s">
        <v>22</v>
      </c>
      <c r="M207" s="55">
        <v>46145</v>
      </c>
      <c r="N207" s="30"/>
      <c r="O207" s="34"/>
      <c r="P207" s="33"/>
      <c r="Q207" s="6"/>
      <c r="R207" s="68"/>
    </row>
    <row r="208" spans="1:18" ht="15.75">
      <c r="A208" s="21" t="s">
        <v>607</v>
      </c>
      <c r="B208" s="21" t="s">
        <v>608</v>
      </c>
      <c r="C208" s="20">
        <v>46142</v>
      </c>
      <c r="D208" s="21" t="s">
        <v>30</v>
      </c>
      <c r="E208" s="21" t="s">
        <v>495</v>
      </c>
      <c r="F208" s="21" t="s">
        <v>504</v>
      </c>
      <c r="G208" s="22" t="s">
        <v>468</v>
      </c>
      <c r="H208" s="76">
        <v>206734.77</v>
      </c>
      <c r="I208" s="35">
        <v>206734.77</v>
      </c>
      <c r="J208" s="35">
        <f>CobrosPendientes[[#This Row],[Importe]]-CobrosPendientes[[#This Row],[Imp cobrado]]</f>
        <v>0</v>
      </c>
      <c r="K208" s="40">
        <v>46209</v>
      </c>
      <c r="L208" s="69" t="s">
        <v>22</v>
      </c>
      <c r="M208" s="55">
        <v>46145</v>
      </c>
      <c r="N208" s="30"/>
      <c r="O208" s="34"/>
      <c r="P208" s="33"/>
      <c r="Q208" s="6"/>
      <c r="R208" s="68"/>
    </row>
    <row r="209" spans="1:18" ht="15.75">
      <c r="A209" s="21" t="s">
        <v>609</v>
      </c>
      <c r="B209" s="21" t="s">
        <v>610</v>
      </c>
      <c r="C209" s="20">
        <v>46142</v>
      </c>
      <c r="D209" s="21" t="s">
        <v>133</v>
      </c>
      <c r="E209" s="21" t="s">
        <v>222</v>
      </c>
      <c r="F209" s="21" t="s">
        <v>611</v>
      </c>
      <c r="G209" s="22" t="s">
        <v>392</v>
      </c>
      <c r="H209" s="91">
        <v>11972.6</v>
      </c>
      <c r="I209" s="7"/>
      <c r="J209" s="7">
        <f>CobrosPendientes[[#This Row],[Importe]]-CobrosPendientes[[#This Row],[Imp cobrado]]</f>
        <v>11972.6</v>
      </c>
      <c r="K209" s="3"/>
      <c r="L209" s="3"/>
      <c r="M209" s="55">
        <v>46172</v>
      </c>
      <c r="N209" s="106" t="s">
        <v>353</v>
      </c>
      <c r="O209" s="34"/>
      <c r="P209" s="33"/>
      <c r="Q209" s="6"/>
      <c r="R209" s="68"/>
    </row>
    <row r="210" spans="1:18" ht="15.75">
      <c r="A210" s="21" t="s">
        <v>612</v>
      </c>
      <c r="B210" s="21" t="s">
        <v>613</v>
      </c>
      <c r="C210" s="20">
        <v>46148</v>
      </c>
      <c r="D210" s="21" t="s">
        <v>407</v>
      </c>
      <c r="E210" s="21" t="s">
        <v>91</v>
      </c>
      <c r="F210" s="21" t="s">
        <v>614</v>
      </c>
      <c r="G210" s="22" t="s">
        <v>382</v>
      </c>
      <c r="H210" s="35">
        <v>33910.1</v>
      </c>
      <c r="I210" s="35">
        <v>33910.1</v>
      </c>
      <c r="J210" s="35">
        <f>CobrosPendientes[[#This Row],[Importe]]-CobrosPendientes[[#This Row],[Imp cobrado]]</f>
        <v>0</v>
      </c>
      <c r="K210" s="40">
        <v>46167</v>
      </c>
      <c r="L210" s="69" t="s">
        <v>22</v>
      </c>
      <c r="M210" s="55">
        <v>46151</v>
      </c>
      <c r="N210" s="30"/>
      <c r="O210" s="34"/>
      <c r="P210" s="33"/>
      <c r="Q210" s="6"/>
      <c r="R210" s="68"/>
    </row>
    <row r="211" spans="1:18" ht="15.75">
      <c r="A211" s="21" t="s">
        <v>615</v>
      </c>
      <c r="B211" s="21" t="s">
        <v>616</v>
      </c>
      <c r="C211" s="20">
        <v>46149</v>
      </c>
      <c r="D211" s="21" t="s">
        <v>490</v>
      </c>
      <c r="E211" s="93" t="s">
        <v>491</v>
      </c>
      <c r="F211" s="21" t="s">
        <v>499</v>
      </c>
      <c r="G211" s="22" t="s">
        <v>385</v>
      </c>
      <c r="H211" s="35">
        <v>57585.69</v>
      </c>
      <c r="I211" s="35">
        <v>57585.69</v>
      </c>
      <c r="J211" s="35">
        <f>CobrosPendientes[[#This Row],[Importe]]-CobrosPendientes[[#This Row],[Imp cobrado]]</f>
        <v>0</v>
      </c>
      <c r="K211" s="40">
        <v>46153</v>
      </c>
      <c r="L211" s="69" t="s">
        <v>22</v>
      </c>
      <c r="M211" s="55">
        <v>46152</v>
      </c>
      <c r="N211" s="30"/>
      <c r="O211" s="34"/>
      <c r="P211" s="33"/>
      <c r="Q211" s="6"/>
      <c r="R211" s="68"/>
    </row>
    <row r="212" spans="1:18" ht="15.75">
      <c r="A212" s="12" t="s">
        <v>617</v>
      </c>
      <c r="B212" s="12" t="s">
        <v>618</v>
      </c>
      <c r="C212" s="13">
        <v>46149</v>
      </c>
      <c r="D212" s="12" t="s">
        <v>436</v>
      </c>
      <c r="E212" s="12" t="s">
        <v>619</v>
      </c>
      <c r="F212" s="12" t="s">
        <v>512</v>
      </c>
      <c r="G212" s="14" t="s">
        <v>419</v>
      </c>
      <c r="H212" s="76">
        <v>22174.95</v>
      </c>
      <c r="I212" s="35">
        <v>22174.95</v>
      </c>
      <c r="J212" s="35">
        <f>CobrosPendientes[[#This Row],[Importe]]-CobrosPendientes[[#This Row],[Imp cobrado]]</f>
        <v>0</v>
      </c>
      <c r="K212" s="40">
        <v>46156</v>
      </c>
      <c r="L212" s="69" t="s">
        <v>22</v>
      </c>
      <c r="M212" s="55">
        <v>46152</v>
      </c>
      <c r="N212" s="30"/>
      <c r="O212" s="34"/>
      <c r="P212" s="33"/>
      <c r="Q212" s="6"/>
      <c r="R212" s="68"/>
    </row>
    <row r="213" spans="1:18" ht="15.75">
      <c r="A213" s="21" t="s">
        <v>620</v>
      </c>
      <c r="B213" s="21" t="s">
        <v>621</v>
      </c>
      <c r="C213" s="20">
        <v>46149</v>
      </c>
      <c r="D213" s="21" t="s">
        <v>133</v>
      </c>
      <c r="E213" s="21" t="s">
        <v>224</v>
      </c>
      <c r="F213" s="21" t="s">
        <v>504</v>
      </c>
      <c r="G213" s="22" t="s">
        <v>419</v>
      </c>
      <c r="H213" s="35">
        <v>213691.33</v>
      </c>
      <c r="I213" s="35">
        <v>213691.33</v>
      </c>
      <c r="J213" s="35">
        <f>CobrosPendientes[[#This Row],[Importe]]-CobrosPendientes[[#This Row],[Imp cobrado]]</f>
        <v>0</v>
      </c>
      <c r="K213" s="40">
        <v>46181</v>
      </c>
      <c r="L213" s="69" t="s">
        <v>22</v>
      </c>
      <c r="M213" s="55">
        <v>46179</v>
      </c>
      <c r="N213" s="30"/>
      <c r="O213" s="34"/>
      <c r="P213" s="33"/>
      <c r="Q213" s="6"/>
      <c r="R213" s="68"/>
    </row>
    <row r="214" spans="1:18" ht="15.75">
      <c r="A214" s="12" t="s">
        <v>622</v>
      </c>
      <c r="B214" s="12" t="s">
        <v>623</v>
      </c>
      <c r="C214" s="13">
        <v>46154</v>
      </c>
      <c r="D214" s="12" t="s">
        <v>624</v>
      </c>
      <c r="E214" s="12" t="s">
        <v>625</v>
      </c>
      <c r="F214" s="12" t="s">
        <v>225</v>
      </c>
      <c r="G214" s="14">
        <v>100</v>
      </c>
      <c r="H214" s="76">
        <v>1612.48</v>
      </c>
      <c r="I214" s="35">
        <v>1612.48</v>
      </c>
      <c r="J214" s="35">
        <f>CobrosPendientes[[#This Row],[Importe]]-CobrosPendientes[[#This Row],[Imp cobrado]]</f>
        <v>0</v>
      </c>
      <c r="K214" s="40">
        <v>46162</v>
      </c>
      <c r="L214" s="69" t="s">
        <v>22</v>
      </c>
      <c r="M214" s="55">
        <v>46154</v>
      </c>
      <c r="N214" s="30"/>
      <c r="O214" s="34"/>
      <c r="P214" s="33"/>
      <c r="Q214" s="6"/>
      <c r="R214" s="68"/>
    </row>
    <row r="215" spans="1:18" ht="15.75">
      <c r="A215" s="12" t="s">
        <v>626</v>
      </c>
      <c r="B215" s="12" t="s">
        <v>627</v>
      </c>
      <c r="C215" s="13">
        <v>46155</v>
      </c>
      <c r="D215" s="12" t="s">
        <v>628</v>
      </c>
      <c r="E215" s="12" t="s">
        <v>629</v>
      </c>
      <c r="F215" s="12" t="s">
        <v>630</v>
      </c>
      <c r="G215" s="14">
        <v>100</v>
      </c>
      <c r="H215" s="35">
        <v>13905.88</v>
      </c>
      <c r="I215" s="35">
        <v>13905.88</v>
      </c>
      <c r="J215" s="35">
        <f>CobrosPendientes[[#This Row],[Importe]]-CobrosPendientes[[#This Row],[Imp cobrado]]</f>
        <v>0</v>
      </c>
      <c r="K215" s="40">
        <v>46160</v>
      </c>
      <c r="L215" s="69" t="s">
        <v>22</v>
      </c>
      <c r="M215" s="55">
        <v>46155</v>
      </c>
      <c r="N215" s="30"/>
      <c r="O215" s="34"/>
      <c r="P215" s="33"/>
      <c r="Q215" s="6"/>
      <c r="R215" s="68"/>
    </row>
    <row r="216" spans="1:18" ht="15.75">
      <c r="A216" s="21" t="s">
        <v>631</v>
      </c>
      <c r="B216" s="21" t="s">
        <v>632</v>
      </c>
      <c r="C216" s="20">
        <v>46155</v>
      </c>
      <c r="D216" s="21" t="s">
        <v>340</v>
      </c>
      <c r="E216" s="21" t="s">
        <v>341</v>
      </c>
      <c r="F216" s="21" t="s">
        <v>633</v>
      </c>
      <c r="G216" s="22">
        <v>20</v>
      </c>
      <c r="H216" s="7">
        <v>28648.37</v>
      </c>
      <c r="I216" s="7"/>
      <c r="J216" s="7">
        <f>CobrosPendientes[[#This Row],[Importe]]-CobrosPendientes[[#This Row],[Imp cobrado]]</f>
        <v>28648.37</v>
      </c>
      <c r="K216" s="3"/>
      <c r="L216" s="3"/>
      <c r="M216" s="55">
        <v>46158</v>
      </c>
      <c r="N216" s="30"/>
      <c r="O216" s="34"/>
      <c r="P216" s="33"/>
      <c r="Q216" s="6"/>
      <c r="R216" s="68"/>
    </row>
    <row r="217" spans="1:18" ht="15.75">
      <c r="A217" s="21" t="s">
        <v>634</v>
      </c>
      <c r="B217" s="21" t="s">
        <v>635</v>
      </c>
      <c r="C217" s="20">
        <v>46155</v>
      </c>
      <c r="D217" s="21" t="s">
        <v>167</v>
      </c>
      <c r="E217" s="93" t="s">
        <v>287</v>
      </c>
      <c r="F217" s="21" t="s">
        <v>24</v>
      </c>
      <c r="G217" s="22">
        <v>10</v>
      </c>
      <c r="H217" s="35">
        <v>39700</v>
      </c>
      <c r="I217" s="35">
        <v>39700</v>
      </c>
      <c r="J217" s="35">
        <f>CobrosPendientes[[#This Row],[Importe]]-CobrosPendientes[[#This Row],[Imp cobrado]]</f>
        <v>0</v>
      </c>
      <c r="K217" s="40">
        <v>46160</v>
      </c>
      <c r="L217" s="69" t="s">
        <v>22</v>
      </c>
      <c r="M217" s="55">
        <v>46158</v>
      </c>
      <c r="N217" s="30"/>
      <c r="O217" s="34"/>
      <c r="P217" s="33"/>
      <c r="Q217" s="6"/>
      <c r="R217" s="68"/>
    </row>
    <row r="218" spans="1:18" ht="15.75">
      <c r="A218" s="21" t="s">
        <v>636</v>
      </c>
      <c r="B218" s="21" t="s">
        <v>637</v>
      </c>
      <c r="C218" s="20">
        <v>46155</v>
      </c>
      <c r="D218" s="21" t="s">
        <v>167</v>
      </c>
      <c r="E218" s="21" t="s">
        <v>638</v>
      </c>
      <c r="F218" s="21" t="s">
        <v>21</v>
      </c>
      <c r="G218" s="22">
        <v>60</v>
      </c>
      <c r="H218" s="76">
        <v>15291</v>
      </c>
      <c r="I218" s="35">
        <v>15291</v>
      </c>
      <c r="J218" s="35">
        <f>CobrosPendientes[[#This Row],[Importe]]-CobrosPendientes[[#This Row],[Imp cobrado]]</f>
        <v>0</v>
      </c>
      <c r="K218" s="40">
        <v>46160</v>
      </c>
      <c r="L218" s="69" t="s">
        <v>22</v>
      </c>
      <c r="M218" s="55">
        <v>46158</v>
      </c>
      <c r="N218" s="30"/>
      <c r="O218" s="34"/>
      <c r="P218" s="33"/>
      <c r="Q218" s="6"/>
      <c r="R218" s="68"/>
    </row>
    <row r="219" spans="1:18" ht="15.75">
      <c r="A219" s="21" t="s">
        <v>639</v>
      </c>
      <c r="B219" s="21" t="s">
        <v>640</v>
      </c>
      <c r="C219" s="20">
        <v>46155</v>
      </c>
      <c r="D219" s="21" t="s">
        <v>570</v>
      </c>
      <c r="E219" s="21" t="s">
        <v>571</v>
      </c>
      <c r="F219" s="21" t="s">
        <v>642</v>
      </c>
      <c r="G219" s="22">
        <v>50</v>
      </c>
      <c r="H219" s="35">
        <v>57191.9</v>
      </c>
      <c r="I219" s="35">
        <v>57191.9</v>
      </c>
      <c r="J219" s="35">
        <f>CobrosPendientes[[#This Row],[Importe]]-CobrosPendientes[[#This Row],[Imp cobrado]]</f>
        <v>0</v>
      </c>
      <c r="K219" s="40">
        <v>46161</v>
      </c>
      <c r="L219" s="69" t="s">
        <v>22</v>
      </c>
      <c r="M219" s="55">
        <v>46158</v>
      </c>
      <c r="N219" s="30"/>
      <c r="O219" s="34"/>
      <c r="P219" s="33"/>
      <c r="Q219" s="6"/>
      <c r="R219" s="68"/>
    </row>
    <row r="220" spans="1:18" ht="15.75">
      <c r="A220" s="21" t="s">
        <v>643</v>
      </c>
      <c r="B220" s="21" t="s">
        <v>644</v>
      </c>
      <c r="C220" s="20">
        <v>46155</v>
      </c>
      <c r="D220" s="21" t="s">
        <v>570</v>
      </c>
      <c r="E220" s="21" t="s">
        <v>571</v>
      </c>
      <c r="F220" s="21" t="s">
        <v>645</v>
      </c>
      <c r="G220" s="22">
        <v>20</v>
      </c>
      <c r="H220" s="76">
        <v>22876.76</v>
      </c>
      <c r="I220" s="35">
        <v>22876.76</v>
      </c>
      <c r="J220" s="35">
        <f>CobrosPendientes[[#This Row],[Importe]]-CobrosPendientes[[#This Row],[Imp cobrado]]</f>
        <v>0</v>
      </c>
      <c r="K220" s="40">
        <v>46162</v>
      </c>
      <c r="L220" s="69" t="s">
        <v>22</v>
      </c>
      <c r="M220" s="55">
        <v>46158</v>
      </c>
      <c r="N220" s="30"/>
      <c r="O220" s="34"/>
      <c r="P220" s="33"/>
      <c r="Q220" s="6"/>
      <c r="R220" s="68"/>
    </row>
    <row r="221" spans="1:18" ht="15.75">
      <c r="A221" s="21" t="s">
        <v>646</v>
      </c>
      <c r="B221" s="21" t="s">
        <v>647</v>
      </c>
      <c r="C221" s="20">
        <v>46156</v>
      </c>
      <c r="D221" s="21" t="s">
        <v>156</v>
      </c>
      <c r="E221" s="21" t="s">
        <v>157</v>
      </c>
      <c r="F221" s="21" t="s">
        <v>648</v>
      </c>
      <c r="G221" s="22">
        <v>100</v>
      </c>
      <c r="H221" s="35">
        <v>170</v>
      </c>
      <c r="I221" s="35">
        <v>170</v>
      </c>
      <c r="J221" s="35">
        <f>CobrosPendientes[[#This Row],[Importe]]-CobrosPendientes[[#This Row],[Imp cobrado]]</f>
        <v>0</v>
      </c>
      <c r="K221" s="40">
        <v>46170</v>
      </c>
      <c r="L221" s="69" t="s">
        <v>22</v>
      </c>
      <c r="M221" s="55">
        <v>46186</v>
      </c>
      <c r="N221" s="30"/>
      <c r="O221" s="34"/>
      <c r="P221" s="33"/>
      <c r="Q221" s="6"/>
      <c r="R221" s="68"/>
    </row>
    <row r="222" spans="1:18" ht="15.75">
      <c r="A222" s="12" t="s">
        <v>649</v>
      </c>
      <c r="B222" s="12" t="s">
        <v>650</v>
      </c>
      <c r="C222" s="13">
        <v>46156</v>
      </c>
      <c r="D222" s="12" t="s">
        <v>651</v>
      </c>
      <c r="E222" s="12" t="s">
        <v>652</v>
      </c>
      <c r="F222" s="12" t="s">
        <v>653</v>
      </c>
      <c r="G222" s="14">
        <v>20</v>
      </c>
      <c r="H222" s="7">
        <v>26016.79</v>
      </c>
      <c r="I222" s="7"/>
      <c r="J222" s="7">
        <f>CobrosPendientes[[#This Row],[Importe]]-CobrosPendientes[[#This Row],[Imp cobrado]]</f>
        <v>26016.79</v>
      </c>
      <c r="K222" s="3"/>
      <c r="L222" s="3"/>
      <c r="M222" s="55">
        <v>381</v>
      </c>
      <c r="N222" s="30"/>
      <c r="O222" s="34"/>
      <c r="P222" s="33"/>
      <c r="Q222" s="6"/>
      <c r="R222" s="68"/>
    </row>
    <row r="223" spans="1:18" ht="15.75">
      <c r="A223" s="12" t="s">
        <v>654</v>
      </c>
      <c r="B223" s="12" t="s">
        <v>655</v>
      </c>
      <c r="C223" s="13">
        <v>46156</v>
      </c>
      <c r="D223" s="12" t="s">
        <v>656</v>
      </c>
      <c r="E223" s="12" t="s">
        <v>657</v>
      </c>
      <c r="F223" s="12" t="s">
        <v>658</v>
      </c>
      <c r="G223" s="14">
        <v>100</v>
      </c>
      <c r="H223" s="35">
        <v>670</v>
      </c>
      <c r="I223" s="35">
        <v>670</v>
      </c>
      <c r="J223" s="35">
        <f>CobrosPendientes[[#This Row],[Importe]]-CobrosPendientes[[#This Row],[Imp cobrado]]</f>
        <v>0</v>
      </c>
      <c r="K223" s="40">
        <v>46167</v>
      </c>
      <c r="L223" s="69" t="s">
        <v>22</v>
      </c>
      <c r="M223" s="55">
        <v>46157</v>
      </c>
      <c r="N223" s="30"/>
      <c r="O223" s="34"/>
      <c r="P223" s="33"/>
      <c r="Q223" s="6"/>
      <c r="R223" s="68"/>
    </row>
    <row r="224" spans="1:18" ht="15.75">
      <c r="A224" s="12" t="s">
        <v>659</v>
      </c>
      <c r="B224" s="12" t="s">
        <v>660</v>
      </c>
      <c r="C224" s="13">
        <v>46157</v>
      </c>
      <c r="D224" s="12" t="s">
        <v>624</v>
      </c>
      <c r="E224" s="12" t="s">
        <v>661</v>
      </c>
      <c r="F224" s="12" t="s">
        <v>662</v>
      </c>
      <c r="G224" s="14">
        <v>30</v>
      </c>
      <c r="H224" s="35">
        <v>34801.9</v>
      </c>
      <c r="I224" s="35">
        <v>34801.9</v>
      </c>
      <c r="J224" s="35">
        <f>CobrosPendientes[[#This Row],[Importe]]-CobrosPendientes[[#This Row],[Imp cobrado]]</f>
        <v>0</v>
      </c>
      <c r="K224" s="40">
        <v>46162</v>
      </c>
      <c r="L224" s="69" t="s">
        <v>22</v>
      </c>
      <c r="M224" s="55">
        <v>46160</v>
      </c>
      <c r="N224" s="30"/>
      <c r="O224" s="34"/>
      <c r="P224" s="33"/>
      <c r="Q224" s="6"/>
      <c r="R224" s="60"/>
    </row>
    <row r="225" spans="1:18" ht="15.75">
      <c r="A225" s="12" t="s">
        <v>663</v>
      </c>
      <c r="B225" s="12" t="s">
        <v>664</v>
      </c>
      <c r="C225" s="13">
        <v>46157</v>
      </c>
      <c r="D225" s="12" t="s">
        <v>665</v>
      </c>
      <c r="E225" s="12" t="s">
        <v>666</v>
      </c>
      <c r="F225" s="12" t="s">
        <v>313</v>
      </c>
      <c r="G225" s="14">
        <v>30</v>
      </c>
      <c r="H225" s="35">
        <v>20350.14</v>
      </c>
      <c r="I225" s="35">
        <v>20350.14</v>
      </c>
      <c r="J225" s="35">
        <f>CobrosPendientes[[#This Row],[Importe]]-CobrosPendientes[[#This Row],[Imp cobrado]]</f>
        <v>0</v>
      </c>
      <c r="K225" s="40">
        <v>46181</v>
      </c>
      <c r="L225" s="69" t="s">
        <v>22</v>
      </c>
      <c r="M225" s="55">
        <v>46160</v>
      </c>
      <c r="N225" s="30"/>
      <c r="O225" s="34"/>
      <c r="P225" s="33"/>
      <c r="Q225" s="6"/>
      <c r="R225" s="60"/>
    </row>
    <row r="226" spans="1:18" ht="15.75">
      <c r="A226" s="12" t="s">
        <v>667</v>
      </c>
      <c r="B226" s="12" t="s">
        <v>668</v>
      </c>
      <c r="C226" s="13">
        <v>46157</v>
      </c>
      <c r="D226" s="12" t="s">
        <v>665</v>
      </c>
      <c r="E226" s="12" t="s">
        <v>669</v>
      </c>
      <c r="F226" s="12" t="s">
        <v>313</v>
      </c>
      <c r="G226" s="14">
        <v>30</v>
      </c>
      <c r="H226" s="35">
        <v>9930.5499999999993</v>
      </c>
      <c r="I226" s="35">
        <v>9930.5499999999993</v>
      </c>
      <c r="J226" s="35">
        <f>CobrosPendientes[[#This Row],[Importe]]-CobrosPendientes[[#This Row],[Imp cobrado]]</f>
        <v>0</v>
      </c>
      <c r="K226" s="40">
        <v>46181</v>
      </c>
      <c r="L226" s="69" t="s">
        <v>22</v>
      </c>
      <c r="M226" s="55">
        <v>46160</v>
      </c>
      <c r="N226" s="30"/>
      <c r="O226" s="34"/>
      <c r="P226" s="33"/>
      <c r="Q226" s="6"/>
      <c r="R226" s="60"/>
    </row>
    <row r="227" spans="1:18" ht="15.75">
      <c r="A227" s="12" t="s">
        <v>670</v>
      </c>
      <c r="B227" s="12" t="s">
        <v>671</v>
      </c>
      <c r="C227" s="13">
        <v>46161</v>
      </c>
      <c r="D227" s="12" t="s">
        <v>672</v>
      </c>
      <c r="E227" s="12" t="s">
        <v>673</v>
      </c>
      <c r="F227" s="12" t="s">
        <v>653</v>
      </c>
      <c r="G227" s="14">
        <v>10</v>
      </c>
      <c r="H227" s="35">
        <v>15111.27</v>
      </c>
      <c r="I227" s="35">
        <v>15111.27</v>
      </c>
      <c r="J227" s="35">
        <f>CobrosPendientes[[#This Row],[Importe]]-CobrosPendientes[[#This Row],[Imp cobrado]]</f>
        <v>0</v>
      </c>
      <c r="K227" s="40">
        <v>46162</v>
      </c>
      <c r="L227" s="69" t="s">
        <v>22</v>
      </c>
      <c r="M227" s="55">
        <v>46164</v>
      </c>
      <c r="N227" s="30"/>
      <c r="O227" s="34"/>
      <c r="P227" s="33"/>
      <c r="Q227" s="6"/>
      <c r="R227" s="60"/>
    </row>
    <row r="228" spans="1:18" ht="15.75">
      <c r="A228" s="12" t="s">
        <v>674</v>
      </c>
      <c r="B228" s="12" t="s">
        <v>675</v>
      </c>
      <c r="C228" s="13">
        <v>46161</v>
      </c>
      <c r="D228" s="12" t="s">
        <v>672</v>
      </c>
      <c r="E228" s="12" t="s">
        <v>676</v>
      </c>
      <c r="F228" s="12" t="s">
        <v>653</v>
      </c>
      <c r="G228" s="14">
        <v>10</v>
      </c>
      <c r="H228" s="35">
        <v>10976.53</v>
      </c>
      <c r="I228" s="35">
        <v>10976.53</v>
      </c>
      <c r="J228" s="35">
        <f>CobrosPendientes[[#This Row],[Importe]]-CobrosPendientes[[#This Row],[Imp cobrado]]</f>
        <v>0</v>
      </c>
      <c r="K228" s="40">
        <v>46162</v>
      </c>
      <c r="L228" s="69" t="s">
        <v>22</v>
      </c>
      <c r="M228" s="55">
        <v>46164</v>
      </c>
      <c r="N228" s="30"/>
      <c r="O228" s="34"/>
      <c r="P228" s="33"/>
      <c r="Q228" s="6"/>
      <c r="R228" s="60"/>
    </row>
    <row r="229" spans="1:18" ht="15.75">
      <c r="A229" s="21" t="s">
        <v>677</v>
      </c>
      <c r="B229" s="21" t="s">
        <v>678</v>
      </c>
      <c r="C229" s="20">
        <v>46161</v>
      </c>
      <c r="D229" s="21" t="s">
        <v>167</v>
      </c>
      <c r="E229" s="21" t="s">
        <v>679</v>
      </c>
      <c r="F229" s="21" t="s">
        <v>680</v>
      </c>
      <c r="G229" s="22">
        <v>50</v>
      </c>
      <c r="H229" s="35">
        <v>818505.91</v>
      </c>
      <c r="I229" s="35">
        <v>818505.91</v>
      </c>
      <c r="J229" s="35">
        <f>CobrosPendientes[[#This Row],[Importe]]-CobrosPendientes[[#This Row],[Imp cobrado]]</f>
        <v>0</v>
      </c>
      <c r="K229" s="40">
        <v>46171</v>
      </c>
      <c r="L229" s="69" t="s">
        <v>22</v>
      </c>
      <c r="M229" s="55">
        <v>46164</v>
      </c>
      <c r="N229" s="55"/>
      <c r="O229" s="34"/>
      <c r="P229" s="33"/>
      <c r="Q229" s="6"/>
      <c r="R229" s="60"/>
    </row>
    <row r="230" spans="1:18" ht="15.75">
      <c r="A230" s="21" t="s">
        <v>681</v>
      </c>
      <c r="B230" s="21" t="s">
        <v>682</v>
      </c>
      <c r="C230" s="20">
        <v>46162</v>
      </c>
      <c r="D230" s="21" t="s">
        <v>683</v>
      </c>
      <c r="E230" s="21" t="s">
        <v>684</v>
      </c>
      <c r="F230" s="21" t="s">
        <v>685</v>
      </c>
      <c r="G230" s="22">
        <v>100</v>
      </c>
      <c r="H230" s="35">
        <v>10570.69</v>
      </c>
      <c r="I230" s="35">
        <v>10570.69</v>
      </c>
      <c r="J230" s="35">
        <f>CobrosPendientes[[#This Row],[Importe]]-CobrosPendientes[[#This Row],[Imp cobrado]]</f>
        <v>0</v>
      </c>
      <c r="K230" s="40">
        <v>46167</v>
      </c>
      <c r="L230" s="69" t="s">
        <v>22</v>
      </c>
      <c r="M230" s="55">
        <v>46169</v>
      </c>
      <c r="N230" s="30"/>
      <c r="O230" s="34"/>
      <c r="P230" s="33"/>
      <c r="Q230" s="6"/>
      <c r="R230" s="15"/>
    </row>
    <row r="231" spans="1:18" ht="15.75">
      <c r="A231" s="12" t="s">
        <v>686</v>
      </c>
      <c r="B231" s="12" t="s">
        <v>687</v>
      </c>
      <c r="C231" s="13">
        <v>46162</v>
      </c>
      <c r="D231" s="12" t="s">
        <v>683</v>
      </c>
      <c r="E231" s="12" t="s">
        <v>688</v>
      </c>
      <c r="F231" s="12" t="s">
        <v>487</v>
      </c>
      <c r="G231" s="14">
        <v>30</v>
      </c>
      <c r="H231" s="35">
        <v>150000</v>
      </c>
      <c r="I231" s="35">
        <v>150000</v>
      </c>
      <c r="J231" s="35">
        <f>CobrosPendientes[[#This Row],[Importe]]-CobrosPendientes[[#This Row],[Imp cobrado]]</f>
        <v>0</v>
      </c>
      <c r="K231" s="40">
        <v>46169</v>
      </c>
      <c r="L231" s="69" t="s">
        <v>22</v>
      </c>
      <c r="M231" s="55">
        <v>46169</v>
      </c>
      <c r="N231" s="30"/>
      <c r="O231" s="34"/>
      <c r="P231" s="33"/>
      <c r="Q231" s="6"/>
      <c r="R231" s="60"/>
    </row>
    <row r="232" spans="1:18" ht="18" customHeight="1">
      <c r="A232" s="21" t="s">
        <v>689</v>
      </c>
      <c r="B232" s="21" t="s">
        <v>690</v>
      </c>
      <c r="C232" s="20">
        <v>46164</v>
      </c>
      <c r="D232" s="21" t="s">
        <v>97</v>
      </c>
      <c r="E232" s="21" t="s">
        <v>691</v>
      </c>
      <c r="F232" s="21" t="s">
        <v>54</v>
      </c>
      <c r="G232" s="22">
        <v>5</v>
      </c>
      <c r="H232" s="35">
        <v>52017.66</v>
      </c>
      <c r="I232" s="35">
        <v>52017.66</v>
      </c>
      <c r="J232" s="35">
        <f>CobrosPendientes[[#This Row],[Importe]]-CobrosPendientes[[#This Row],[Imp cobrado]]</f>
        <v>0</v>
      </c>
      <c r="K232" s="40">
        <v>46216</v>
      </c>
      <c r="L232" s="69" t="s">
        <v>22</v>
      </c>
      <c r="M232" s="55">
        <v>46224</v>
      </c>
      <c r="N232" s="41" t="s">
        <v>692</v>
      </c>
      <c r="O232" s="34"/>
      <c r="P232" s="33"/>
      <c r="Q232" s="6"/>
      <c r="R232" s="60"/>
    </row>
    <row r="233" spans="1:18" s="45" customFormat="1" ht="15.75">
      <c r="A233" s="88" t="s">
        <v>693</v>
      </c>
      <c r="B233" s="88" t="s">
        <v>694</v>
      </c>
      <c r="C233" s="89">
        <v>46164</v>
      </c>
      <c r="D233" s="88" t="s">
        <v>97</v>
      </c>
      <c r="E233" s="88" t="s">
        <v>695</v>
      </c>
      <c r="F233" s="88" t="s">
        <v>54</v>
      </c>
      <c r="G233" s="90">
        <v>5</v>
      </c>
      <c r="H233" s="43">
        <v>25050.5095</v>
      </c>
      <c r="I233" s="43"/>
      <c r="J233" s="43">
        <f>CobrosPendientes[[#This Row],[Importe]]-CobrosPendientes[[#This Row],[Imp cobrado]]</f>
        <v>25050.5095</v>
      </c>
      <c r="K233" s="44"/>
      <c r="L233" s="44"/>
      <c r="M233" s="82">
        <v>46224</v>
      </c>
      <c r="N233" s="51" t="s">
        <v>696</v>
      </c>
      <c r="O233" s="49" t="s">
        <v>22</v>
      </c>
      <c r="P233" s="33" t="s">
        <v>697</v>
      </c>
      <c r="Q233" s="74">
        <v>46174</v>
      </c>
      <c r="R233" s="60">
        <v>25050.51</v>
      </c>
    </row>
    <row r="234" spans="1:18" s="45" customFormat="1" ht="15.75">
      <c r="A234" s="88" t="s">
        <v>698</v>
      </c>
      <c r="B234" s="88" t="s">
        <v>699</v>
      </c>
      <c r="C234" s="89">
        <v>46164</v>
      </c>
      <c r="D234" s="88" t="s">
        <v>97</v>
      </c>
      <c r="E234" s="88" t="s">
        <v>700</v>
      </c>
      <c r="F234" s="88" t="s">
        <v>54</v>
      </c>
      <c r="G234" s="90">
        <v>5</v>
      </c>
      <c r="H234" s="43">
        <v>51867.661</v>
      </c>
      <c r="I234" s="43"/>
      <c r="J234" s="43">
        <f>CobrosPendientes[[#This Row],[Importe]]-CobrosPendientes[[#This Row],[Imp cobrado]]</f>
        <v>51867.661</v>
      </c>
      <c r="K234" s="44"/>
      <c r="L234" s="44"/>
      <c r="M234" s="82">
        <v>46224</v>
      </c>
      <c r="N234" s="51" t="s">
        <v>701</v>
      </c>
      <c r="O234" s="49" t="s">
        <v>22</v>
      </c>
      <c r="P234" s="33" t="s">
        <v>702</v>
      </c>
      <c r="Q234" s="74">
        <v>46174</v>
      </c>
      <c r="R234" s="60">
        <v>51867.66</v>
      </c>
    </row>
    <row r="235" spans="1:18" ht="15.75">
      <c r="A235" s="21" t="s">
        <v>703</v>
      </c>
      <c r="B235" s="21" t="s">
        <v>704</v>
      </c>
      <c r="C235" s="20">
        <v>46164</v>
      </c>
      <c r="D235" s="21" t="s">
        <v>167</v>
      </c>
      <c r="E235" s="21" t="s">
        <v>705</v>
      </c>
      <c r="F235" s="21" t="s">
        <v>706</v>
      </c>
      <c r="G235" s="22">
        <v>10</v>
      </c>
      <c r="H235" s="35">
        <v>6550</v>
      </c>
      <c r="I235" s="35">
        <v>6550</v>
      </c>
      <c r="J235" s="35">
        <f>CobrosPendientes[[#This Row],[Importe]]-CobrosPendientes[[#This Row],[Imp cobrado]]</f>
        <v>0</v>
      </c>
      <c r="K235" s="40">
        <v>46152</v>
      </c>
      <c r="L235" s="69" t="s">
        <v>22</v>
      </c>
      <c r="M235" s="55">
        <v>46179</v>
      </c>
      <c r="N235" s="30"/>
      <c r="O235" s="34"/>
      <c r="P235" s="33"/>
      <c r="Q235" s="6"/>
      <c r="R235" s="60"/>
    </row>
    <row r="236" spans="1:18" ht="15.75">
      <c r="A236" s="21" t="s">
        <v>707</v>
      </c>
      <c r="B236" s="21" t="s">
        <v>708</v>
      </c>
      <c r="C236" s="20">
        <v>46164</v>
      </c>
      <c r="D236" s="21" t="s">
        <v>167</v>
      </c>
      <c r="E236" s="21" t="s">
        <v>168</v>
      </c>
      <c r="F236" s="21" t="s">
        <v>591</v>
      </c>
      <c r="G236" s="22">
        <v>10</v>
      </c>
      <c r="H236" s="35">
        <v>13800</v>
      </c>
      <c r="I236" s="35">
        <v>13800</v>
      </c>
      <c r="J236" s="35">
        <f>CobrosPendientes[[#This Row],[Importe]]-CobrosPendientes[[#This Row],[Imp cobrado]]</f>
        <v>0</v>
      </c>
      <c r="K236" s="40">
        <v>46170</v>
      </c>
      <c r="L236" s="69" t="s">
        <v>22</v>
      </c>
      <c r="M236" s="55">
        <v>46167</v>
      </c>
      <c r="N236" s="30"/>
      <c r="O236" s="34"/>
      <c r="P236" s="33"/>
      <c r="Q236" s="6"/>
      <c r="R236" s="60"/>
    </row>
    <row r="237" spans="1:18" ht="15.75">
      <c r="A237" s="21" t="s">
        <v>709</v>
      </c>
      <c r="B237" s="21" t="s">
        <v>710</v>
      </c>
      <c r="C237" s="20">
        <v>46164</v>
      </c>
      <c r="D237" s="21" t="s">
        <v>683</v>
      </c>
      <c r="E237" s="21" t="s">
        <v>684</v>
      </c>
      <c r="F237" s="21" t="s">
        <v>711</v>
      </c>
      <c r="G237" s="22">
        <v>5</v>
      </c>
      <c r="H237" s="35">
        <v>7721.88</v>
      </c>
      <c r="I237" s="35">
        <v>7721.88</v>
      </c>
      <c r="J237" s="35">
        <f>CobrosPendientes[[#This Row],[Importe]]-CobrosPendientes[[#This Row],[Imp cobrado]]</f>
        <v>0</v>
      </c>
      <c r="K237" s="40">
        <v>46178</v>
      </c>
      <c r="L237" s="69" t="s">
        <v>22</v>
      </c>
      <c r="M237" s="55">
        <v>46171</v>
      </c>
      <c r="N237" s="30"/>
      <c r="O237" s="34"/>
      <c r="P237" s="33"/>
      <c r="Q237" s="6"/>
      <c r="R237" s="60"/>
    </row>
    <row r="238" spans="1:18" ht="15.75">
      <c r="A238" s="21" t="s">
        <v>712</v>
      </c>
      <c r="B238" s="21" t="s">
        <v>713</v>
      </c>
      <c r="C238" s="20">
        <v>46164</v>
      </c>
      <c r="D238" s="21" t="s">
        <v>714</v>
      </c>
      <c r="E238" s="21" t="s">
        <v>715</v>
      </c>
      <c r="F238" s="21" t="s">
        <v>591</v>
      </c>
      <c r="G238" s="22">
        <v>20</v>
      </c>
      <c r="H238" s="35">
        <v>23034.27</v>
      </c>
      <c r="I238" s="35">
        <v>23034.27</v>
      </c>
      <c r="J238" s="35">
        <f>CobrosPendientes[[#This Row],[Importe]]-CobrosPendientes[[#This Row],[Imp cobrado]]</f>
        <v>0</v>
      </c>
      <c r="K238" s="40">
        <v>46183</v>
      </c>
      <c r="L238" s="69" t="s">
        <v>22</v>
      </c>
      <c r="M238" s="55">
        <v>46167</v>
      </c>
      <c r="N238" s="30"/>
      <c r="O238" s="34"/>
      <c r="P238" s="33"/>
      <c r="Q238" s="6"/>
      <c r="R238" s="60"/>
    </row>
    <row r="239" spans="1:18" ht="15.75">
      <c r="A239" s="21" t="s">
        <v>716</v>
      </c>
      <c r="B239" s="21" t="s">
        <v>717</v>
      </c>
      <c r="C239" s="20">
        <v>46164</v>
      </c>
      <c r="D239" s="21" t="s">
        <v>718</v>
      </c>
      <c r="E239" s="21" t="s">
        <v>719</v>
      </c>
      <c r="F239" s="21" t="s">
        <v>54</v>
      </c>
      <c r="G239" s="22">
        <v>5</v>
      </c>
      <c r="H239" s="7">
        <v>24589.75</v>
      </c>
      <c r="I239" s="7"/>
      <c r="J239" s="7">
        <f>CobrosPendientes[[#This Row],[Importe]]-CobrosPendientes[[#This Row],[Imp cobrado]]</f>
        <v>24589.75</v>
      </c>
      <c r="K239" s="3"/>
      <c r="L239" s="3"/>
      <c r="M239" s="55">
        <v>46194</v>
      </c>
      <c r="N239" s="30" t="s">
        <v>720</v>
      </c>
      <c r="O239" s="34"/>
      <c r="P239" s="33"/>
      <c r="Q239" s="6"/>
      <c r="R239" s="60"/>
    </row>
    <row r="240" spans="1:18" ht="15.75">
      <c r="A240" s="21" t="s">
        <v>721</v>
      </c>
      <c r="B240" s="21" t="s">
        <v>722</v>
      </c>
      <c r="C240" s="20">
        <v>46164</v>
      </c>
      <c r="D240" s="21" t="s">
        <v>723</v>
      </c>
      <c r="E240" s="21" t="s">
        <v>222</v>
      </c>
      <c r="F240" s="21" t="s">
        <v>724</v>
      </c>
      <c r="G240" s="22">
        <v>100</v>
      </c>
      <c r="H240" s="7">
        <v>900</v>
      </c>
      <c r="I240" s="7"/>
      <c r="J240" s="7">
        <f>CobrosPendientes[[#This Row],[Importe]]-CobrosPendientes[[#This Row],[Imp cobrado]]</f>
        <v>900</v>
      </c>
      <c r="K240" s="3"/>
      <c r="L240" s="3"/>
      <c r="M240" s="55">
        <v>46203</v>
      </c>
      <c r="N240" s="106" t="s">
        <v>353</v>
      </c>
      <c r="O240" s="34"/>
      <c r="P240" s="33"/>
      <c r="Q240" s="6"/>
      <c r="R240" s="60"/>
    </row>
    <row r="241" spans="1:18" ht="15.75">
      <c r="A241" s="88" t="s">
        <v>725</v>
      </c>
      <c r="B241" s="88" t="s">
        <v>726</v>
      </c>
      <c r="C241" s="89">
        <v>46164</v>
      </c>
      <c r="D241" s="88" t="s">
        <v>26</v>
      </c>
      <c r="E241" s="88" t="s">
        <v>27</v>
      </c>
      <c r="F241" s="88" t="s">
        <v>727</v>
      </c>
      <c r="G241" s="90" t="s">
        <v>392</v>
      </c>
      <c r="H241" s="43">
        <v>18580</v>
      </c>
      <c r="I241" s="43"/>
      <c r="J241" s="43">
        <f>CobrosPendientes[[#This Row],[Importe]]-CobrosPendientes[[#This Row],[Imp cobrado]]</f>
        <v>18580</v>
      </c>
      <c r="K241" s="44"/>
      <c r="L241" s="44"/>
      <c r="M241" s="82"/>
      <c r="N241" s="101" t="s">
        <v>728</v>
      </c>
      <c r="O241" s="49" t="s">
        <v>22</v>
      </c>
      <c r="P241" s="33" t="s">
        <v>729</v>
      </c>
      <c r="Q241" s="74">
        <v>46170</v>
      </c>
      <c r="R241" s="60">
        <v>18580</v>
      </c>
    </row>
    <row r="242" spans="1:18" ht="15.75">
      <c r="A242" s="21" t="s">
        <v>730</v>
      </c>
      <c r="B242" s="21" t="s">
        <v>731</v>
      </c>
      <c r="C242" s="20">
        <v>46164</v>
      </c>
      <c r="D242" s="21" t="s">
        <v>167</v>
      </c>
      <c r="E242" s="21" t="s">
        <v>511</v>
      </c>
      <c r="F242" s="21" t="s">
        <v>732</v>
      </c>
      <c r="G242" s="22">
        <v>60</v>
      </c>
      <c r="H242" s="35">
        <v>138600</v>
      </c>
      <c r="I242" s="35">
        <v>138600</v>
      </c>
      <c r="J242" s="35">
        <f>CobrosPendientes[[#This Row],[Importe]]-CobrosPendientes[[#This Row],[Imp cobrado]]</f>
        <v>0</v>
      </c>
      <c r="K242" s="40">
        <v>46181</v>
      </c>
      <c r="L242" s="69" t="s">
        <v>22</v>
      </c>
      <c r="M242" s="55">
        <v>46167</v>
      </c>
      <c r="N242" s="30"/>
      <c r="O242" s="34"/>
      <c r="P242" s="33"/>
      <c r="Q242" s="6"/>
      <c r="R242" s="60"/>
    </row>
    <row r="243" spans="1:18" ht="15.75">
      <c r="A243" s="21" t="s">
        <v>733</v>
      </c>
      <c r="B243" s="21" t="s">
        <v>734</v>
      </c>
      <c r="C243" s="20">
        <v>46168</v>
      </c>
      <c r="D243" s="21" t="s">
        <v>87</v>
      </c>
      <c r="E243" s="98" t="s">
        <v>88</v>
      </c>
      <c r="F243" s="98" t="s">
        <v>735</v>
      </c>
      <c r="G243" s="99">
        <v>100</v>
      </c>
      <c r="H243" s="97">
        <v>6928.57</v>
      </c>
      <c r="I243" s="97">
        <v>6928.57</v>
      </c>
      <c r="J243" s="35">
        <f>CobrosPendientes[[#This Row],[Importe]]-CobrosPendientes[[#This Row],[Imp cobrado]]</f>
        <v>0</v>
      </c>
      <c r="K243" s="40">
        <v>46169</v>
      </c>
      <c r="L243" s="69" t="s">
        <v>22</v>
      </c>
      <c r="M243" s="55">
        <v>46168</v>
      </c>
      <c r="N243" s="30"/>
      <c r="O243" s="34"/>
      <c r="P243" s="33"/>
      <c r="Q243" s="6"/>
      <c r="R243" s="60"/>
    </row>
    <row r="244" spans="1:18" ht="15.75">
      <c r="A244" s="12" t="s">
        <v>736</v>
      </c>
      <c r="B244" s="12" t="s">
        <v>737</v>
      </c>
      <c r="C244" s="13">
        <v>46168</v>
      </c>
      <c r="D244" s="12" t="s">
        <v>738</v>
      </c>
      <c r="E244" s="94" t="s">
        <v>546</v>
      </c>
      <c r="F244" s="94" t="s">
        <v>518</v>
      </c>
      <c r="G244" s="95">
        <v>20</v>
      </c>
      <c r="H244" s="97">
        <v>46253.53</v>
      </c>
      <c r="I244" s="97">
        <v>46253.53</v>
      </c>
      <c r="J244" s="35">
        <f>CobrosPendientes[[#This Row],[Importe]]-CobrosPendientes[[#This Row],[Imp cobrado]]</f>
        <v>0</v>
      </c>
      <c r="K244" s="40">
        <v>46171</v>
      </c>
      <c r="L244" s="69" t="s">
        <v>22</v>
      </c>
      <c r="M244" s="55">
        <v>46171</v>
      </c>
      <c r="N244" s="30"/>
      <c r="O244" s="34"/>
      <c r="P244" s="33"/>
      <c r="Q244" s="6"/>
      <c r="R244" s="60"/>
    </row>
    <row r="245" spans="1:18" ht="15.75">
      <c r="A245" s="12" t="s">
        <v>739</v>
      </c>
      <c r="B245" s="12" t="s">
        <v>740</v>
      </c>
      <c r="C245" s="13">
        <v>46168</v>
      </c>
      <c r="D245" s="12" t="s">
        <v>738</v>
      </c>
      <c r="E245" s="94" t="s">
        <v>546</v>
      </c>
      <c r="F245" s="94" t="s">
        <v>591</v>
      </c>
      <c r="G245" s="95">
        <v>50</v>
      </c>
      <c r="H245" s="97">
        <v>178133.82</v>
      </c>
      <c r="I245" s="97">
        <v>178133.82</v>
      </c>
      <c r="J245" s="35">
        <f>CobrosPendientes[[#This Row],[Importe]]-CobrosPendientes[[#This Row],[Imp cobrado]]</f>
        <v>0</v>
      </c>
      <c r="K245" s="40">
        <v>46171</v>
      </c>
      <c r="L245" s="69" t="s">
        <v>22</v>
      </c>
      <c r="M245" s="55">
        <v>46171</v>
      </c>
      <c r="N245" s="30"/>
      <c r="O245" s="34"/>
      <c r="P245" s="33"/>
      <c r="Q245" s="6"/>
      <c r="R245" s="60"/>
    </row>
    <row r="246" spans="1:18" ht="15.75">
      <c r="A246" s="21" t="s">
        <v>741</v>
      </c>
      <c r="B246" s="21" t="s">
        <v>742</v>
      </c>
      <c r="C246" s="20">
        <v>46168</v>
      </c>
      <c r="D246" s="21" t="s">
        <v>545</v>
      </c>
      <c r="E246" s="98" t="s">
        <v>550</v>
      </c>
      <c r="F246" s="98" t="s">
        <v>518</v>
      </c>
      <c r="G246" s="99">
        <v>50</v>
      </c>
      <c r="H246" s="97">
        <v>63830.38</v>
      </c>
      <c r="I246" s="97">
        <v>63830.38</v>
      </c>
      <c r="J246" s="35">
        <f>CobrosPendientes[[#This Row],[Importe]]-CobrosPendientes[[#This Row],[Imp cobrado]]</f>
        <v>0</v>
      </c>
      <c r="K246" s="40">
        <v>46171</v>
      </c>
      <c r="L246" s="69" t="s">
        <v>22</v>
      </c>
      <c r="M246" s="55">
        <v>46171</v>
      </c>
      <c r="N246" s="30"/>
      <c r="O246" s="34"/>
      <c r="P246" s="33"/>
      <c r="Q246" s="6"/>
      <c r="R246" s="60"/>
    </row>
    <row r="247" spans="1:18" ht="15.75">
      <c r="A247" s="12" t="s">
        <v>743</v>
      </c>
      <c r="B247" s="12" t="s">
        <v>744</v>
      </c>
      <c r="C247" s="13">
        <v>46170</v>
      </c>
      <c r="D247" s="12" t="s">
        <v>745</v>
      </c>
      <c r="E247" s="94" t="s">
        <v>746</v>
      </c>
      <c r="F247" s="94" t="s">
        <v>747</v>
      </c>
      <c r="G247" s="95">
        <v>15</v>
      </c>
      <c r="H247" s="97">
        <v>159750</v>
      </c>
      <c r="I247" s="97">
        <v>159750</v>
      </c>
      <c r="J247" s="35">
        <f>CobrosPendientes[[#This Row],[Importe]]-CobrosPendientes[[#This Row],[Imp cobrado]]</f>
        <v>0</v>
      </c>
      <c r="K247" s="40">
        <v>46178</v>
      </c>
      <c r="L247" s="69" t="s">
        <v>22</v>
      </c>
      <c r="M247" s="55">
        <v>46180</v>
      </c>
      <c r="N247" s="30"/>
      <c r="O247" s="34"/>
      <c r="P247" s="33"/>
      <c r="Q247" s="6"/>
      <c r="R247" s="60"/>
    </row>
    <row r="248" spans="1:18" ht="15.75">
      <c r="A248" s="21" t="s">
        <v>748</v>
      </c>
      <c r="B248" s="21" t="s">
        <v>749</v>
      </c>
      <c r="C248" s="20">
        <v>46170</v>
      </c>
      <c r="D248" s="21" t="s">
        <v>723</v>
      </c>
      <c r="E248" s="98" t="s">
        <v>224</v>
      </c>
      <c r="F248" s="98" t="s">
        <v>750</v>
      </c>
      <c r="G248" s="99">
        <v>100</v>
      </c>
      <c r="H248" s="96">
        <v>6165.28</v>
      </c>
      <c r="I248" s="96"/>
      <c r="J248" s="7">
        <f>CobrosPendientes[[#This Row],[Importe]]-CobrosPendientes[[#This Row],[Imp cobrado]]</f>
        <v>6165.28</v>
      </c>
      <c r="K248" s="3"/>
      <c r="L248" s="3"/>
      <c r="M248" s="55">
        <v>46170</v>
      </c>
      <c r="N248" s="106" t="s">
        <v>353</v>
      </c>
      <c r="O248" s="34"/>
      <c r="P248" s="33"/>
      <c r="Q248" s="6"/>
      <c r="R248" s="60"/>
    </row>
    <row r="249" spans="1:18" ht="15.75">
      <c r="A249" s="25" t="s">
        <v>751</v>
      </c>
      <c r="B249" s="25" t="s">
        <v>752</v>
      </c>
      <c r="C249" s="20">
        <v>46176</v>
      </c>
      <c r="D249" s="21" t="s">
        <v>526</v>
      </c>
      <c r="E249" s="98" t="s">
        <v>397</v>
      </c>
      <c r="F249" s="98" t="s">
        <v>200</v>
      </c>
      <c r="G249" s="99">
        <v>50</v>
      </c>
      <c r="H249" s="97">
        <v>77689.350000000006</v>
      </c>
      <c r="I249" s="97">
        <v>77689.350000000006</v>
      </c>
      <c r="J249" s="35">
        <f>CobrosPendientes[[#This Row],[Importe]]-CobrosPendientes[[#This Row],[Imp cobrado]]</f>
        <v>0</v>
      </c>
      <c r="K249" s="40">
        <v>46184</v>
      </c>
      <c r="L249" s="69" t="s">
        <v>22</v>
      </c>
      <c r="M249" s="55">
        <v>46179</v>
      </c>
      <c r="N249" s="30"/>
      <c r="O249" s="34"/>
      <c r="P249" s="33"/>
      <c r="Q249" s="6"/>
      <c r="R249" s="60"/>
    </row>
    <row r="250" spans="1:18" ht="15.75">
      <c r="A250" s="25" t="s">
        <v>753</v>
      </c>
      <c r="B250" s="25" t="s">
        <v>754</v>
      </c>
      <c r="C250" s="20">
        <v>46176</v>
      </c>
      <c r="D250" s="21" t="s">
        <v>755</v>
      </c>
      <c r="E250" s="98" t="s">
        <v>467</v>
      </c>
      <c r="F250" s="98" t="s">
        <v>21</v>
      </c>
      <c r="G250" s="99">
        <v>40</v>
      </c>
      <c r="H250" s="97">
        <v>46040.76</v>
      </c>
      <c r="I250" s="35">
        <v>46040.76</v>
      </c>
      <c r="J250" s="35">
        <f>CobrosPendientes[[#This Row],[Importe]]-CobrosPendientes[[#This Row],[Imp cobrado]]</f>
        <v>0</v>
      </c>
      <c r="K250" s="40">
        <v>46183</v>
      </c>
      <c r="L250" s="69" t="s">
        <v>22</v>
      </c>
      <c r="M250" s="55">
        <v>46181</v>
      </c>
      <c r="N250" s="30"/>
      <c r="O250" s="34"/>
      <c r="P250" s="33"/>
      <c r="Q250" s="6"/>
      <c r="R250" s="60"/>
    </row>
    <row r="251" spans="1:18" ht="15.75">
      <c r="A251" s="25" t="s">
        <v>756</v>
      </c>
      <c r="B251" s="25" t="s">
        <v>757</v>
      </c>
      <c r="C251" s="20">
        <v>46176</v>
      </c>
      <c r="D251" s="21" t="s">
        <v>162</v>
      </c>
      <c r="E251" s="98" t="s">
        <v>165</v>
      </c>
      <c r="F251" s="98" t="s">
        <v>54</v>
      </c>
      <c r="G251" s="99">
        <v>10</v>
      </c>
      <c r="H251" s="96">
        <f>442005.43*10%</f>
        <v>44200.543000000005</v>
      </c>
      <c r="I251" s="7"/>
      <c r="J251" s="7">
        <f>CobrosPendientes[[#This Row],[Importe]]-CobrosPendientes[[#This Row],[Imp cobrado]]</f>
        <v>44200.543000000005</v>
      </c>
      <c r="K251" s="3"/>
      <c r="L251" s="3"/>
      <c r="M251" s="55">
        <v>46206</v>
      </c>
      <c r="N251" s="30"/>
      <c r="O251" s="34"/>
      <c r="P251" s="33"/>
      <c r="Q251" s="6"/>
      <c r="R251" s="60"/>
    </row>
    <row r="252" spans="1:18" ht="15.75">
      <c r="A252" s="86" t="s">
        <v>758</v>
      </c>
      <c r="B252" s="86" t="s">
        <v>759</v>
      </c>
      <c r="C252" s="13">
        <v>46177</v>
      </c>
      <c r="D252" s="12" t="s">
        <v>760</v>
      </c>
      <c r="E252" s="94" t="s">
        <v>761</v>
      </c>
      <c r="F252" s="94" t="s">
        <v>653</v>
      </c>
      <c r="G252" s="95" t="s">
        <v>468</v>
      </c>
      <c r="H252" s="97">
        <v>23246.81</v>
      </c>
      <c r="I252" s="35">
        <v>23246.81</v>
      </c>
      <c r="J252" s="35">
        <f>CobrosPendientes[[#This Row],[Importe]]-CobrosPendientes[[#This Row],[Imp cobrado]]</f>
        <v>0</v>
      </c>
      <c r="K252" s="40">
        <v>46191</v>
      </c>
      <c r="L252" s="69" t="s">
        <v>22</v>
      </c>
      <c r="M252" s="55">
        <v>46180</v>
      </c>
      <c r="N252" s="106" t="s">
        <v>353</v>
      </c>
      <c r="O252" s="34"/>
      <c r="P252" s="33"/>
      <c r="Q252" s="6"/>
      <c r="R252" s="60"/>
    </row>
    <row r="253" spans="1:18" ht="15.75">
      <c r="A253" s="86" t="s">
        <v>762</v>
      </c>
      <c r="B253" s="86" t="s">
        <v>763</v>
      </c>
      <c r="C253" s="13">
        <v>46177</v>
      </c>
      <c r="D253" s="12" t="s">
        <v>760</v>
      </c>
      <c r="E253" s="94" t="s">
        <v>764</v>
      </c>
      <c r="F253" s="94" t="s">
        <v>765</v>
      </c>
      <c r="G253" s="95" t="s">
        <v>468</v>
      </c>
      <c r="H253" s="97">
        <v>21418.53</v>
      </c>
      <c r="I253" s="35">
        <v>21418.53</v>
      </c>
      <c r="J253" s="35">
        <f>CobrosPendientes[[#This Row],[Importe]]-CobrosPendientes[[#This Row],[Imp cobrado]]</f>
        <v>0</v>
      </c>
      <c r="K253" s="40">
        <v>46191</v>
      </c>
      <c r="L253" s="69" t="s">
        <v>22</v>
      </c>
      <c r="M253" s="55">
        <v>46180</v>
      </c>
      <c r="N253" s="106" t="s">
        <v>353</v>
      </c>
      <c r="O253" s="34"/>
      <c r="P253" s="33"/>
      <c r="Q253" s="6"/>
      <c r="R253" s="60"/>
    </row>
    <row r="254" spans="1:18" ht="15.75">
      <c r="A254" s="86" t="s">
        <v>766</v>
      </c>
      <c r="B254" s="86" t="s">
        <v>767</v>
      </c>
      <c r="C254" s="13">
        <v>46177</v>
      </c>
      <c r="D254" s="12" t="s">
        <v>760</v>
      </c>
      <c r="E254" s="94" t="s">
        <v>768</v>
      </c>
      <c r="F254" s="94" t="s">
        <v>765</v>
      </c>
      <c r="G254" s="95" t="s">
        <v>468</v>
      </c>
      <c r="H254" s="97">
        <v>21618.84</v>
      </c>
      <c r="I254" s="131">
        <v>21618.84</v>
      </c>
      <c r="J254" s="35">
        <f>CobrosPendientes[[#This Row],[Importe]]-CobrosPendientes[[#This Row],[Imp cobrado]]</f>
        <v>0</v>
      </c>
      <c r="K254" s="40">
        <v>46188</v>
      </c>
      <c r="L254" s="69" t="s">
        <v>22</v>
      </c>
      <c r="M254" s="55">
        <v>46180</v>
      </c>
      <c r="N254" s="106" t="s">
        <v>353</v>
      </c>
      <c r="O254" s="34"/>
      <c r="P254" s="33"/>
      <c r="Q254" s="6"/>
      <c r="R254" s="60"/>
    </row>
    <row r="255" spans="1:18" ht="15.75">
      <c r="A255" s="25" t="s">
        <v>770</v>
      </c>
      <c r="B255" s="25" t="s">
        <v>771</v>
      </c>
      <c r="C255" s="20">
        <v>46177</v>
      </c>
      <c r="D255" s="102" t="s">
        <v>97</v>
      </c>
      <c r="E255" s="102" t="s">
        <v>695</v>
      </c>
      <c r="F255" s="102" t="s">
        <v>54</v>
      </c>
      <c r="G255" s="103">
        <v>5</v>
      </c>
      <c r="H255" s="97">
        <v>25050.51</v>
      </c>
      <c r="I255" s="35">
        <v>25050.51</v>
      </c>
      <c r="J255" s="35">
        <f>CobrosPendientes[[#This Row],[Importe]]-CobrosPendientes[[#This Row],[Imp cobrado]]</f>
        <v>0</v>
      </c>
      <c r="K255" s="40">
        <v>46216</v>
      </c>
      <c r="L255" s="69" t="s">
        <v>22</v>
      </c>
      <c r="M255" s="55">
        <v>46237</v>
      </c>
      <c r="N255" s="106" t="s">
        <v>353</v>
      </c>
      <c r="O255" s="34"/>
      <c r="P255" s="33"/>
      <c r="Q255" s="6"/>
      <c r="R255" s="60"/>
    </row>
    <row r="256" spans="1:18" ht="15.75">
      <c r="A256" s="25" t="s">
        <v>772</v>
      </c>
      <c r="B256" s="25" t="s">
        <v>773</v>
      </c>
      <c r="C256" s="20">
        <v>46177</v>
      </c>
      <c r="D256" s="102" t="s">
        <v>97</v>
      </c>
      <c r="E256" s="102" t="s">
        <v>700</v>
      </c>
      <c r="F256" s="102" t="s">
        <v>54</v>
      </c>
      <c r="G256" s="103">
        <v>5</v>
      </c>
      <c r="H256" s="97">
        <v>51867.66</v>
      </c>
      <c r="I256" s="35">
        <v>51867.66</v>
      </c>
      <c r="J256" s="35">
        <f>CobrosPendientes[[#This Row],[Importe]]-CobrosPendientes[[#This Row],[Imp cobrado]]</f>
        <v>0</v>
      </c>
      <c r="K256" s="40">
        <v>46216</v>
      </c>
      <c r="L256" s="69" t="s">
        <v>22</v>
      </c>
      <c r="M256" s="55">
        <v>46237</v>
      </c>
      <c r="N256" s="106" t="s">
        <v>353</v>
      </c>
      <c r="O256" s="34"/>
      <c r="P256" s="33"/>
      <c r="Q256" s="6"/>
      <c r="R256" s="60"/>
    </row>
    <row r="257" spans="1:18" ht="15.75">
      <c r="A257" s="25" t="s">
        <v>774</v>
      </c>
      <c r="B257" s="25" t="s">
        <v>775</v>
      </c>
      <c r="C257" s="20">
        <v>46177</v>
      </c>
      <c r="D257" s="21" t="s">
        <v>319</v>
      </c>
      <c r="E257" s="102" t="s">
        <v>776</v>
      </c>
      <c r="F257" s="102" t="s">
        <v>54</v>
      </c>
      <c r="G257" s="103">
        <v>2</v>
      </c>
      <c r="H257" s="97">
        <v>2042</v>
      </c>
      <c r="I257" s="35">
        <v>2042</v>
      </c>
      <c r="J257" s="35">
        <f>CobrosPendientes[[#This Row],[Importe]]-CobrosPendientes[[#This Row],[Imp cobrado]]</f>
        <v>0</v>
      </c>
      <c r="K257" s="40">
        <v>46191</v>
      </c>
      <c r="L257" s="69" t="s">
        <v>22</v>
      </c>
      <c r="M257" s="55">
        <v>46182</v>
      </c>
      <c r="N257" s="106" t="s">
        <v>353</v>
      </c>
      <c r="O257" s="34"/>
      <c r="P257" s="33"/>
      <c r="Q257" s="6"/>
      <c r="R257" s="60"/>
    </row>
    <row r="258" spans="1:18" ht="15.75">
      <c r="A258" s="86" t="s">
        <v>777</v>
      </c>
      <c r="B258" s="86" t="s">
        <v>778</v>
      </c>
      <c r="C258" s="13">
        <v>46178</v>
      </c>
      <c r="D258" s="104" t="s">
        <v>779</v>
      </c>
      <c r="E258" s="104" t="s">
        <v>780</v>
      </c>
      <c r="F258" s="94" t="s">
        <v>765</v>
      </c>
      <c r="G258" s="105" t="s">
        <v>419</v>
      </c>
      <c r="H258" s="97">
        <v>53377.89</v>
      </c>
      <c r="I258" s="76">
        <v>53377.89</v>
      </c>
      <c r="J258" s="35">
        <f>CobrosPendientes[[#This Row],[Importe]]-CobrosPendientes[[#This Row],[Imp cobrado]]</f>
        <v>0</v>
      </c>
      <c r="K258" s="40">
        <v>46181</v>
      </c>
      <c r="L258" s="69" t="s">
        <v>22</v>
      </c>
      <c r="M258" s="55">
        <v>46181</v>
      </c>
      <c r="N258" s="30"/>
      <c r="O258" s="34"/>
      <c r="P258" s="33"/>
      <c r="Q258" s="6"/>
      <c r="R258" s="60"/>
    </row>
    <row r="259" spans="1:18" ht="15.75">
      <c r="A259" s="25" t="s">
        <v>781</v>
      </c>
      <c r="B259" s="25" t="s">
        <v>782</v>
      </c>
      <c r="C259" s="20">
        <v>46183</v>
      </c>
      <c r="D259" s="21" t="s">
        <v>783</v>
      </c>
      <c r="E259" s="98" t="s">
        <v>784</v>
      </c>
      <c r="F259" s="98" t="s">
        <v>785</v>
      </c>
      <c r="G259" s="103" t="s">
        <v>392</v>
      </c>
      <c r="H259" s="97">
        <v>2000</v>
      </c>
      <c r="I259" s="35">
        <v>2000</v>
      </c>
      <c r="J259" s="35">
        <f>CobrosPendientes[[#This Row],[Importe]]-CobrosPendientes[[#This Row],[Imp cobrado]]</f>
        <v>0</v>
      </c>
      <c r="K259" s="40">
        <v>46185</v>
      </c>
      <c r="L259" s="69" t="s">
        <v>22</v>
      </c>
      <c r="M259" s="55">
        <v>46183</v>
      </c>
      <c r="N259" s="30"/>
      <c r="O259" s="34"/>
      <c r="P259" s="33"/>
      <c r="Q259" s="6"/>
      <c r="R259" s="60"/>
    </row>
    <row r="260" spans="1:18" ht="15.75">
      <c r="A260" s="25" t="s">
        <v>786</v>
      </c>
      <c r="B260" s="25" t="s">
        <v>787</v>
      </c>
      <c r="C260" s="20">
        <v>46183</v>
      </c>
      <c r="D260" s="21" t="s">
        <v>755</v>
      </c>
      <c r="E260" s="98" t="s">
        <v>467</v>
      </c>
      <c r="F260" s="98" t="s">
        <v>24</v>
      </c>
      <c r="G260" s="103">
        <v>35</v>
      </c>
      <c r="H260" s="97">
        <v>40947.160000000003</v>
      </c>
      <c r="I260" s="35">
        <v>40947.160000000003</v>
      </c>
      <c r="J260" s="35">
        <f>CobrosPendientes[[#This Row],[Importe]]-CobrosPendientes[[#This Row],[Imp cobrado]]</f>
        <v>0</v>
      </c>
      <c r="K260" s="40">
        <v>46190</v>
      </c>
      <c r="L260" s="69" t="s">
        <v>22</v>
      </c>
      <c r="M260" s="55">
        <v>46188</v>
      </c>
      <c r="N260" s="30"/>
      <c r="O260" s="34"/>
      <c r="P260" s="33"/>
      <c r="Q260" s="6"/>
      <c r="R260" s="60"/>
    </row>
    <row r="261" spans="1:18" ht="15.75">
      <c r="A261" s="25" t="s">
        <v>788</v>
      </c>
      <c r="B261" s="25" t="s">
        <v>789</v>
      </c>
      <c r="C261" s="20">
        <v>46184</v>
      </c>
      <c r="D261" s="21" t="s">
        <v>723</v>
      </c>
      <c r="E261" s="98" t="s">
        <v>224</v>
      </c>
      <c r="F261" s="98" t="s">
        <v>54</v>
      </c>
      <c r="G261" s="103">
        <v>5</v>
      </c>
      <c r="H261" s="97">
        <f>712304.43*5%</f>
        <v>35615.221500000007</v>
      </c>
      <c r="I261" s="35">
        <v>35615.22</v>
      </c>
      <c r="J261" s="35">
        <f>CobrosPendientes[[#This Row],[Importe]]-CobrosPendientes[[#This Row],[Imp cobrado]]</f>
        <v>1.5000000057625584E-3</v>
      </c>
      <c r="K261" s="40">
        <v>46213</v>
      </c>
      <c r="L261" s="69" t="s">
        <v>22</v>
      </c>
      <c r="M261" s="55">
        <v>46214</v>
      </c>
      <c r="N261" s="106" t="s">
        <v>353</v>
      </c>
      <c r="O261" s="34"/>
      <c r="P261" s="33"/>
      <c r="Q261" s="6"/>
      <c r="R261" s="60"/>
    </row>
    <row r="262" spans="1:18" ht="15.75">
      <c r="A262" s="25" t="s">
        <v>790</v>
      </c>
      <c r="B262" s="25" t="s">
        <v>791</v>
      </c>
      <c r="C262" s="20">
        <v>46184</v>
      </c>
      <c r="D262" s="21" t="s">
        <v>723</v>
      </c>
      <c r="E262" s="98" t="s">
        <v>222</v>
      </c>
      <c r="F262" s="98" t="s">
        <v>54</v>
      </c>
      <c r="G262" s="103">
        <v>5</v>
      </c>
      <c r="H262" s="97">
        <v>50420.95</v>
      </c>
      <c r="I262" s="35">
        <v>50420.95</v>
      </c>
      <c r="J262" s="35">
        <f>CobrosPendientes[[#This Row],[Importe]]-CobrosPendientes[[#This Row],[Imp cobrado]]</f>
        <v>0</v>
      </c>
      <c r="K262" s="40">
        <v>46213</v>
      </c>
      <c r="L262" s="69" t="s">
        <v>22</v>
      </c>
      <c r="M262" s="55">
        <v>46214</v>
      </c>
      <c r="N262" s="106" t="s">
        <v>353</v>
      </c>
      <c r="O262" s="34"/>
      <c r="P262" s="33"/>
      <c r="Q262" s="6"/>
      <c r="R262" s="60"/>
    </row>
    <row r="263" spans="1:18" ht="15.75">
      <c r="A263" s="25" t="s">
        <v>792</v>
      </c>
      <c r="B263" s="25" t="s">
        <v>793</v>
      </c>
      <c r="C263" s="20">
        <v>46184</v>
      </c>
      <c r="D263" s="21" t="s">
        <v>723</v>
      </c>
      <c r="E263" s="98" t="s">
        <v>218</v>
      </c>
      <c r="F263" s="98" t="s">
        <v>54</v>
      </c>
      <c r="G263" s="103">
        <v>5</v>
      </c>
      <c r="H263" s="96">
        <f>131236.42*5%</f>
        <v>6561.8210000000008</v>
      </c>
      <c r="I263" s="7"/>
      <c r="J263" s="7">
        <f>CobrosPendientes[[#This Row],[Importe]]-CobrosPendientes[[#This Row],[Imp cobrado]]</f>
        <v>6561.8210000000008</v>
      </c>
      <c r="K263" s="3"/>
      <c r="L263" s="3"/>
      <c r="M263" s="55">
        <v>46214</v>
      </c>
      <c r="N263" s="106" t="s">
        <v>353</v>
      </c>
      <c r="O263" s="34"/>
      <c r="P263" s="33"/>
      <c r="Q263" s="6"/>
      <c r="R263" s="60"/>
    </row>
    <row r="264" spans="1:18" ht="15.75">
      <c r="A264" s="86" t="s">
        <v>794</v>
      </c>
      <c r="B264" s="86" t="s">
        <v>795</v>
      </c>
      <c r="C264" s="13">
        <v>46184</v>
      </c>
      <c r="D264" s="12" t="s">
        <v>723</v>
      </c>
      <c r="E264" s="94" t="s">
        <v>796</v>
      </c>
      <c r="F264" s="94" t="s">
        <v>54</v>
      </c>
      <c r="G264" s="105">
        <v>5</v>
      </c>
      <c r="H264" s="96">
        <f>142929.37*5%</f>
        <v>7146.4684999999999</v>
      </c>
      <c r="I264" s="7"/>
      <c r="J264" s="7">
        <f>CobrosPendientes[[#This Row],[Importe]]-CobrosPendientes[[#This Row],[Imp cobrado]]</f>
        <v>7146.4684999999999</v>
      </c>
      <c r="K264" s="3"/>
      <c r="L264" s="3"/>
      <c r="M264" s="55">
        <v>46214</v>
      </c>
      <c r="N264" s="106" t="s">
        <v>353</v>
      </c>
      <c r="O264" s="34"/>
      <c r="P264" s="33"/>
      <c r="Q264" s="6"/>
      <c r="R264" s="60"/>
    </row>
    <row r="265" spans="1:18" ht="15.75">
      <c r="A265" s="25" t="s">
        <v>797</v>
      </c>
      <c r="B265" s="25" t="s">
        <v>798</v>
      </c>
      <c r="C265" s="20">
        <v>46184</v>
      </c>
      <c r="D265" s="21" t="s">
        <v>167</v>
      </c>
      <c r="E265" s="98" t="s">
        <v>287</v>
      </c>
      <c r="F265" s="98" t="s">
        <v>54</v>
      </c>
      <c r="G265" s="103">
        <v>10</v>
      </c>
      <c r="H265" s="96">
        <v>39700</v>
      </c>
      <c r="I265" s="7"/>
      <c r="J265" s="7">
        <f>CobrosPendientes[[#This Row],[Importe]]-CobrosPendientes[[#This Row],[Imp cobrado]]</f>
        <v>39700</v>
      </c>
      <c r="K265" s="3"/>
      <c r="L265" s="3"/>
      <c r="M265" s="55">
        <v>46199</v>
      </c>
      <c r="N265" s="106" t="s">
        <v>353</v>
      </c>
      <c r="O265" s="34"/>
      <c r="P265" s="33"/>
      <c r="Q265" s="6"/>
      <c r="R265" s="60"/>
    </row>
    <row r="266" spans="1:18" ht="15.75">
      <c r="A266" s="25" t="s">
        <v>799</v>
      </c>
      <c r="B266" s="25" t="s">
        <v>800</v>
      </c>
      <c r="C266" s="20">
        <v>46184</v>
      </c>
      <c r="D266" s="21" t="s">
        <v>545</v>
      </c>
      <c r="E266" s="98" t="s">
        <v>550</v>
      </c>
      <c r="F266" s="98" t="s">
        <v>591</v>
      </c>
      <c r="G266" s="103">
        <v>25</v>
      </c>
      <c r="H266" s="97">
        <v>31915.19</v>
      </c>
      <c r="I266" s="76">
        <v>31915.19</v>
      </c>
      <c r="J266" s="76">
        <f>CobrosPendientes[[#This Row],[Importe]]-CobrosPendientes[[#This Row],[Imp cobrado]]</f>
        <v>0</v>
      </c>
      <c r="K266" s="40">
        <v>46188</v>
      </c>
      <c r="L266" s="69" t="s">
        <v>22</v>
      </c>
      <c r="M266" s="55">
        <v>46187</v>
      </c>
      <c r="N266" s="106" t="s">
        <v>353</v>
      </c>
      <c r="O266" s="34"/>
      <c r="P266" s="33"/>
      <c r="Q266" s="6"/>
      <c r="R266" s="109"/>
    </row>
    <row r="267" spans="1:18" ht="15.75">
      <c r="A267" s="25" t="s">
        <v>801</v>
      </c>
      <c r="B267" s="25" t="s">
        <v>802</v>
      </c>
      <c r="C267" s="20">
        <v>46184</v>
      </c>
      <c r="D267" s="21" t="s">
        <v>167</v>
      </c>
      <c r="E267" s="98" t="s">
        <v>679</v>
      </c>
      <c r="F267" s="98" t="s">
        <v>803</v>
      </c>
      <c r="G267" s="103">
        <v>10</v>
      </c>
      <c r="H267" s="97">
        <v>163045.98000000001</v>
      </c>
      <c r="I267" s="76">
        <v>163045.98000000001</v>
      </c>
      <c r="J267" s="76">
        <f>CobrosPendientes[[#This Row],[Importe]]-CobrosPendientes[[#This Row],[Imp cobrado]]</f>
        <v>0</v>
      </c>
      <c r="K267" s="40">
        <v>46202</v>
      </c>
      <c r="L267" s="69" t="s">
        <v>22</v>
      </c>
      <c r="M267" s="55">
        <v>46187</v>
      </c>
      <c r="N267" s="106" t="s">
        <v>353</v>
      </c>
      <c r="O267" s="34"/>
      <c r="P267" s="33"/>
      <c r="Q267" s="6"/>
      <c r="R267" s="107"/>
    </row>
    <row r="268" spans="1:18" ht="15" customHeight="1">
      <c r="A268" s="25" t="s">
        <v>804</v>
      </c>
      <c r="B268" s="25" t="s">
        <v>805</v>
      </c>
      <c r="C268" s="20">
        <v>46184</v>
      </c>
      <c r="D268" s="21" t="s">
        <v>167</v>
      </c>
      <c r="E268" s="98" t="s">
        <v>209</v>
      </c>
      <c r="F268" s="98" t="s">
        <v>806</v>
      </c>
      <c r="G268" s="103">
        <v>10</v>
      </c>
      <c r="H268" s="108">
        <v>6290</v>
      </c>
      <c r="I268" s="92"/>
      <c r="J268" s="92">
        <f>CobrosPendientes[[#This Row],[Importe]]-CobrosPendientes[[#This Row],[Imp cobrado]]</f>
        <v>6290</v>
      </c>
      <c r="K268" s="3"/>
      <c r="L268" s="3"/>
      <c r="M268" s="55">
        <v>46199</v>
      </c>
      <c r="N268" s="106" t="s">
        <v>353</v>
      </c>
      <c r="O268" s="34"/>
      <c r="P268" s="33"/>
      <c r="Q268" s="6"/>
      <c r="R268" s="107"/>
    </row>
    <row r="269" spans="1:18" ht="15" customHeight="1">
      <c r="A269" s="86" t="s">
        <v>807</v>
      </c>
      <c r="B269" s="86" t="s">
        <v>808</v>
      </c>
      <c r="C269" s="13">
        <v>46185</v>
      </c>
      <c r="D269" s="12" t="s">
        <v>809</v>
      </c>
      <c r="E269" s="94" t="s">
        <v>810</v>
      </c>
      <c r="F269" s="94" t="s">
        <v>811</v>
      </c>
      <c r="G269" s="105" t="s">
        <v>382</v>
      </c>
      <c r="H269" s="97">
        <v>20835.12</v>
      </c>
      <c r="I269" s="76">
        <v>20835.12</v>
      </c>
      <c r="J269" s="76">
        <f>CobrosPendientes[[#This Row],[Importe]]-CobrosPendientes[[#This Row],[Imp cobrado]]</f>
        <v>0</v>
      </c>
      <c r="K269" s="40">
        <v>46198</v>
      </c>
      <c r="L269" s="69" t="s">
        <v>22</v>
      </c>
      <c r="M269" s="55">
        <v>46188</v>
      </c>
      <c r="N269" s="106" t="s">
        <v>353</v>
      </c>
      <c r="O269" s="34"/>
      <c r="P269" s="33"/>
      <c r="Q269" s="6"/>
      <c r="R269" s="110"/>
    </row>
    <row r="270" spans="1:18" ht="15" customHeight="1">
      <c r="A270" s="86" t="s">
        <v>812</v>
      </c>
      <c r="B270" s="86" t="s">
        <v>813</v>
      </c>
      <c r="C270" s="13">
        <v>46185</v>
      </c>
      <c r="D270" s="12" t="s">
        <v>167</v>
      </c>
      <c r="E270" s="94" t="s">
        <v>602</v>
      </c>
      <c r="F270" s="94" t="s">
        <v>814</v>
      </c>
      <c r="G270" s="105">
        <v>60</v>
      </c>
      <c r="H270" s="97">
        <v>20280</v>
      </c>
      <c r="I270" s="76">
        <v>20280</v>
      </c>
      <c r="J270" s="76">
        <f>CobrosPendientes[[#This Row],[Importe]]-CobrosPendientes[[#This Row],[Imp cobrado]]</f>
        <v>0</v>
      </c>
      <c r="K270" s="40">
        <v>46189</v>
      </c>
      <c r="L270" s="69" t="s">
        <v>22</v>
      </c>
      <c r="M270" s="55">
        <v>46188</v>
      </c>
      <c r="N270" s="106" t="s">
        <v>353</v>
      </c>
      <c r="O270" s="34"/>
      <c r="P270" s="33"/>
      <c r="Q270" s="6"/>
      <c r="R270" s="110"/>
    </row>
    <row r="271" spans="1:18" ht="15" customHeight="1">
      <c r="A271" s="86" t="s">
        <v>815</v>
      </c>
      <c r="B271" s="86" t="s">
        <v>816</v>
      </c>
      <c r="C271" s="13">
        <v>46185</v>
      </c>
      <c r="D271" s="12" t="s">
        <v>817</v>
      </c>
      <c r="E271" s="94" t="s">
        <v>818</v>
      </c>
      <c r="F271" s="94" t="s">
        <v>765</v>
      </c>
      <c r="G271" s="105" t="s">
        <v>819</v>
      </c>
      <c r="H271" s="108">
        <v>74313.31</v>
      </c>
      <c r="I271" s="92"/>
      <c r="J271" s="92">
        <f>CobrosPendientes[[#This Row],[Importe]]-CobrosPendientes[[#This Row],[Imp cobrado]]</f>
        <v>74313.31</v>
      </c>
      <c r="K271" s="3"/>
      <c r="L271" s="3"/>
      <c r="M271" s="55">
        <v>46188</v>
      </c>
      <c r="N271" s="106" t="s">
        <v>353</v>
      </c>
      <c r="O271" s="34"/>
      <c r="P271" s="33"/>
      <c r="Q271" s="6"/>
      <c r="R271" s="110"/>
    </row>
    <row r="272" spans="1:18" ht="15" customHeight="1">
      <c r="A272" s="25" t="s">
        <v>820</v>
      </c>
      <c r="B272" s="25" t="s">
        <v>821</v>
      </c>
      <c r="C272" s="20">
        <v>46185</v>
      </c>
      <c r="D272" s="21" t="s">
        <v>570</v>
      </c>
      <c r="E272" s="98" t="s">
        <v>571</v>
      </c>
      <c r="F272" s="98" t="s">
        <v>822</v>
      </c>
      <c r="G272" s="103" t="s">
        <v>392</v>
      </c>
      <c r="H272" s="108">
        <v>3500</v>
      </c>
      <c r="I272" s="92"/>
      <c r="J272" s="92">
        <f>CobrosPendientes[[#This Row],[Importe]]-CobrosPendientes[[#This Row],[Imp cobrado]]</f>
        <v>3500</v>
      </c>
      <c r="K272" s="3"/>
      <c r="L272" s="3"/>
      <c r="M272" s="55">
        <v>46185</v>
      </c>
      <c r="N272" s="106" t="s">
        <v>353</v>
      </c>
      <c r="O272" s="34"/>
      <c r="P272" s="33"/>
      <c r="Q272" s="6"/>
      <c r="R272" s="110"/>
    </row>
    <row r="273" spans="1:18" ht="15" customHeight="1">
      <c r="A273" s="86" t="s">
        <v>823</v>
      </c>
      <c r="B273" s="86" t="s">
        <v>824</v>
      </c>
      <c r="C273" s="13">
        <v>46185</v>
      </c>
      <c r="D273" s="12" t="s">
        <v>723</v>
      </c>
      <c r="E273" s="94" t="s">
        <v>825</v>
      </c>
      <c r="F273" s="94" t="s">
        <v>653</v>
      </c>
      <c r="G273" s="105" t="s">
        <v>419</v>
      </c>
      <c r="H273" s="97">
        <v>41085.370000000003</v>
      </c>
      <c r="I273" s="76">
        <v>41085.370000000003</v>
      </c>
      <c r="J273" s="76">
        <f>CobrosPendientes[[#This Row],[Importe]]-CobrosPendientes[[#This Row],[Imp cobrado]]</f>
        <v>0</v>
      </c>
      <c r="K273" s="40">
        <v>46206</v>
      </c>
      <c r="L273" s="69" t="s">
        <v>22</v>
      </c>
      <c r="M273" s="55">
        <v>46192</v>
      </c>
      <c r="N273" s="106" t="s">
        <v>353</v>
      </c>
      <c r="O273" s="34"/>
      <c r="P273" s="33"/>
      <c r="Q273" s="6"/>
      <c r="R273" s="110"/>
    </row>
    <row r="274" spans="1:18" ht="15" customHeight="1">
      <c r="A274" s="86" t="s">
        <v>826</v>
      </c>
      <c r="B274" s="86" t="s">
        <v>827</v>
      </c>
      <c r="C274" s="13">
        <v>46188</v>
      </c>
      <c r="D274" s="12" t="s">
        <v>723</v>
      </c>
      <c r="E274" s="94" t="s">
        <v>828</v>
      </c>
      <c r="F274" s="94" t="s">
        <v>653</v>
      </c>
      <c r="G274" s="105" t="s">
        <v>419</v>
      </c>
      <c r="H274" s="97">
        <v>41469.879999999997</v>
      </c>
      <c r="I274" s="76">
        <v>41469.879999999997</v>
      </c>
      <c r="J274" s="76">
        <f>CobrosPendientes[[#This Row],[Importe]]-CobrosPendientes[[#This Row],[Imp cobrado]]</f>
        <v>0</v>
      </c>
      <c r="K274" s="40">
        <v>46206</v>
      </c>
      <c r="L274" s="69" t="s">
        <v>22</v>
      </c>
      <c r="M274" s="55">
        <v>46195</v>
      </c>
      <c r="N274" s="106" t="s">
        <v>353</v>
      </c>
      <c r="O274" s="34"/>
      <c r="P274" s="33"/>
      <c r="Q274" s="6"/>
      <c r="R274" s="110"/>
    </row>
    <row r="275" spans="1:18" ht="15" customHeight="1">
      <c r="A275" s="86" t="s">
        <v>829</v>
      </c>
      <c r="B275" s="86" t="s">
        <v>830</v>
      </c>
      <c r="C275" s="13">
        <v>46188</v>
      </c>
      <c r="D275" s="12" t="s">
        <v>723</v>
      </c>
      <c r="E275" s="94" t="s">
        <v>831</v>
      </c>
      <c r="F275" s="94" t="s">
        <v>653</v>
      </c>
      <c r="G275" s="105" t="s">
        <v>419</v>
      </c>
      <c r="H275" s="97">
        <v>43650.53</v>
      </c>
      <c r="I275" s="76">
        <v>43650.53</v>
      </c>
      <c r="J275" s="76">
        <f>CobrosPendientes[[#This Row],[Importe]]-CobrosPendientes[[#This Row],[Imp cobrado]]</f>
        <v>0</v>
      </c>
      <c r="K275" s="40">
        <v>46206</v>
      </c>
      <c r="L275" s="69" t="s">
        <v>22</v>
      </c>
      <c r="M275" s="55">
        <v>46195</v>
      </c>
      <c r="N275" s="106" t="s">
        <v>353</v>
      </c>
      <c r="O275" s="34"/>
      <c r="P275" s="33"/>
      <c r="Q275" s="6"/>
      <c r="R275" s="60"/>
    </row>
    <row r="276" spans="1:18" ht="15" customHeight="1">
      <c r="A276" s="86" t="s">
        <v>832</v>
      </c>
      <c r="B276" s="86" t="s">
        <v>833</v>
      </c>
      <c r="C276" s="13">
        <v>46188</v>
      </c>
      <c r="D276" s="111" t="s">
        <v>834</v>
      </c>
      <c r="E276" s="94" t="s">
        <v>835</v>
      </c>
      <c r="F276" s="94" t="s">
        <v>487</v>
      </c>
      <c r="G276" s="112" t="s">
        <v>377</v>
      </c>
      <c r="H276" s="97">
        <v>20000</v>
      </c>
      <c r="I276" s="35">
        <v>20000</v>
      </c>
      <c r="J276" s="76">
        <f>CobrosPendientes[[#This Row],[Importe]]-CobrosPendientes[[#This Row],[Imp cobrado]]</f>
        <v>0</v>
      </c>
      <c r="K276" s="40">
        <v>46198</v>
      </c>
      <c r="L276" s="69" t="s">
        <v>22</v>
      </c>
      <c r="M276" s="55">
        <v>46191</v>
      </c>
      <c r="N276" s="106" t="s">
        <v>353</v>
      </c>
      <c r="O276" s="34"/>
      <c r="P276" s="33"/>
      <c r="Q276" s="6"/>
      <c r="R276" s="60"/>
    </row>
    <row r="277" spans="1:18" ht="15" customHeight="1">
      <c r="A277" s="86" t="s">
        <v>836</v>
      </c>
      <c r="B277" s="86" t="s">
        <v>837</v>
      </c>
      <c r="C277" s="13">
        <v>46188</v>
      </c>
      <c r="D277" s="111" t="s">
        <v>723</v>
      </c>
      <c r="E277" s="94" t="s">
        <v>838</v>
      </c>
      <c r="F277" s="94" t="s">
        <v>653</v>
      </c>
      <c r="G277" s="112" t="s">
        <v>419</v>
      </c>
      <c r="H277" s="97">
        <v>24622.73</v>
      </c>
      <c r="I277" s="35">
        <v>24622.73</v>
      </c>
      <c r="J277" s="76">
        <f>CobrosPendientes[[#This Row],[Importe]]-CobrosPendientes[[#This Row],[Imp cobrado]]</f>
        <v>0</v>
      </c>
      <c r="K277" s="40">
        <v>46206</v>
      </c>
      <c r="L277" s="69" t="s">
        <v>22</v>
      </c>
      <c r="M277" s="55">
        <v>46195</v>
      </c>
      <c r="N277" s="106" t="s">
        <v>353</v>
      </c>
      <c r="O277" s="34"/>
      <c r="P277" s="33"/>
      <c r="Q277" s="6"/>
      <c r="R277" s="110"/>
    </row>
    <row r="278" spans="1:18" ht="15" customHeight="1">
      <c r="A278" s="86" t="s">
        <v>839</v>
      </c>
      <c r="B278" s="86" t="s">
        <v>840</v>
      </c>
      <c r="C278" s="13">
        <v>46188</v>
      </c>
      <c r="D278" s="111" t="s">
        <v>723</v>
      </c>
      <c r="E278" s="94" t="s">
        <v>841</v>
      </c>
      <c r="F278" s="94" t="s">
        <v>653</v>
      </c>
      <c r="G278" s="112" t="s">
        <v>419</v>
      </c>
      <c r="H278" s="97">
        <v>50858.74</v>
      </c>
      <c r="I278" s="35">
        <v>50858.74</v>
      </c>
      <c r="J278" s="76">
        <f>CobrosPendientes[[#This Row],[Importe]]-CobrosPendientes[[#This Row],[Imp cobrado]]</f>
        <v>0</v>
      </c>
      <c r="K278" s="40">
        <v>46206</v>
      </c>
      <c r="L278" s="69" t="s">
        <v>22</v>
      </c>
      <c r="M278" s="55">
        <v>46195</v>
      </c>
      <c r="N278" s="106" t="s">
        <v>353</v>
      </c>
      <c r="O278" s="34"/>
      <c r="P278" s="33"/>
      <c r="Q278" s="6"/>
      <c r="R278" s="110"/>
    </row>
    <row r="279" spans="1:18" ht="15" customHeight="1">
      <c r="A279" s="86" t="s">
        <v>842</v>
      </c>
      <c r="B279" s="86" t="s">
        <v>843</v>
      </c>
      <c r="C279" s="13">
        <v>46188</v>
      </c>
      <c r="D279" s="111" t="s">
        <v>723</v>
      </c>
      <c r="E279" s="94" t="s">
        <v>844</v>
      </c>
      <c r="F279" s="94" t="s">
        <v>653</v>
      </c>
      <c r="G279" s="112" t="s">
        <v>419</v>
      </c>
      <c r="H279" s="97">
        <v>68102.64</v>
      </c>
      <c r="I279" s="35">
        <v>68102.64</v>
      </c>
      <c r="J279" s="76">
        <f>CobrosPendientes[[#This Row],[Importe]]-CobrosPendientes[[#This Row],[Imp cobrado]]</f>
        <v>0</v>
      </c>
      <c r="K279" s="40">
        <v>46206</v>
      </c>
      <c r="L279" s="69" t="s">
        <v>22</v>
      </c>
      <c r="M279" s="55">
        <v>46195</v>
      </c>
      <c r="N279" s="106" t="s">
        <v>353</v>
      </c>
      <c r="O279" s="34"/>
      <c r="P279" s="33"/>
      <c r="Q279" s="6"/>
      <c r="R279" s="60"/>
    </row>
    <row r="280" spans="1:18" ht="15" customHeight="1">
      <c r="A280" s="86" t="s">
        <v>845</v>
      </c>
      <c r="B280" s="86" t="s">
        <v>846</v>
      </c>
      <c r="C280" s="13">
        <v>46188</v>
      </c>
      <c r="D280" s="111" t="s">
        <v>723</v>
      </c>
      <c r="E280" s="94" t="s">
        <v>847</v>
      </c>
      <c r="F280" s="94" t="s">
        <v>653</v>
      </c>
      <c r="G280" s="112" t="s">
        <v>419</v>
      </c>
      <c r="H280" s="97">
        <v>43624.49</v>
      </c>
      <c r="I280" s="35">
        <v>43624.49</v>
      </c>
      <c r="J280" s="76">
        <f>CobrosPendientes[[#This Row],[Importe]]-CobrosPendientes[[#This Row],[Imp cobrado]]</f>
        <v>0</v>
      </c>
      <c r="K280" s="40">
        <v>46206</v>
      </c>
      <c r="L280" s="69" t="s">
        <v>22</v>
      </c>
      <c r="M280" s="55">
        <v>46195</v>
      </c>
      <c r="N280" s="106" t="s">
        <v>353</v>
      </c>
      <c r="O280" s="34"/>
      <c r="P280" s="33"/>
      <c r="Q280" s="6"/>
      <c r="R280" s="60"/>
    </row>
    <row r="281" spans="1:18" ht="15" customHeight="1">
      <c r="A281" s="86" t="s">
        <v>848</v>
      </c>
      <c r="B281" s="86" t="s">
        <v>849</v>
      </c>
      <c r="C281" s="13">
        <v>46188</v>
      </c>
      <c r="D281" s="111" t="s">
        <v>723</v>
      </c>
      <c r="E281" s="94" t="s">
        <v>850</v>
      </c>
      <c r="F281" s="94" t="s">
        <v>653</v>
      </c>
      <c r="G281" s="112" t="s">
        <v>419</v>
      </c>
      <c r="H281" s="97">
        <v>40614.379999999997</v>
      </c>
      <c r="I281" s="35">
        <v>40614.379999999997</v>
      </c>
      <c r="J281" s="76">
        <f>CobrosPendientes[[#This Row],[Importe]]-CobrosPendientes[[#This Row],[Imp cobrado]]</f>
        <v>0</v>
      </c>
      <c r="K281" s="40">
        <v>46206</v>
      </c>
      <c r="L281" s="69" t="s">
        <v>22</v>
      </c>
      <c r="M281" s="55">
        <v>46195</v>
      </c>
      <c r="N281" s="106" t="s">
        <v>353</v>
      </c>
      <c r="O281" s="34"/>
      <c r="P281" s="33"/>
      <c r="Q281" s="6"/>
      <c r="R281" s="60"/>
    </row>
    <row r="282" spans="1:18" ht="15" customHeight="1">
      <c r="A282" s="25" t="s">
        <v>851</v>
      </c>
      <c r="B282" s="25" t="s">
        <v>852</v>
      </c>
      <c r="C282" s="20">
        <v>46189</v>
      </c>
      <c r="D282" s="123" t="s">
        <v>585</v>
      </c>
      <c r="E282" s="98" t="s">
        <v>853</v>
      </c>
      <c r="F282" s="98" t="s">
        <v>402</v>
      </c>
      <c r="G282" s="124" t="s">
        <v>392</v>
      </c>
      <c r="H282" s="108">
        <v>800</v>
      </c>
      <c r="I282" s="7"/>
      <c r="J282" s="7">
        <f>CobrosPendientes[[#This Row],[Importe]]-CobrosPendientes[[#This Row],[Imp cobrado]]</f>
        <v>800</v>
      </c>
      <c r="K282" s="3"/>
      <c r="L282" s="3"/>
      <c r="M282" s="55">
        <v>46189</v>
      </c>
      <c r="N282" s="106" t="s">
        <v>353</v>
      </c>
      <c r="O282" s="34"/>
      <c r="P282" s="33"/>
      <c r="Q282" s="6"/>
      <c r="R282" s="60"/>
    </row>
    <row r="283" spans="1:18" ht="15" customHeight="1">
      <c r="A283" s="25" t="s">
        <v>854</v>
      </c>
      <c r="B283" s="25" t="s">
        <v>855</v>
      </c>
      <c r="C283" s="20">
        <v>46189</v>
      </c>
      <c r="D283" s="123" t="s">
        <v>585</v>
      </c>
      <c r="E283" s="98" t="s">
        <v>856</v>
      </c>
      <c r="F283" s="98" t="s">
        <v>402</v>
      </c>
      <c r="G283" s="124" t="s">
        <v>392</v>
      </c>
      <c r="H283" s="108">
        <v>1300</v>
      </c>
      <c r="I283" s="7"/>
      <c r="J283" s="7">
        <f>CobrosPendientes[[#This Row],[Importe]]-CobrosPendientes[[#This Row],[Imp cobrado]]</f>
        <v>1300</v>
      </c>
      <c r="K283" s="3"/>
      <c r="L283" s="3"/>
      <c r="M283" s="55">
        <v>46189</v>
      </c>
      <c r="N283" s="106" t="s">
        <v>353</v>
      </c>
      <c r="O283" s="34"/>
      <c r="P283" s="33"/>
      <c r="Q283" s="6"/>
      <c r="R283" s="60"/>
    </row>
    <row r="284" spans="1:18" ht="15" customHeight="1">
      <c r="A284" s="25" t="s">
        <v>857</v>
      </c>
      <c r="B284" s="25" t="s">
        <v>858</v>
      </c>
      <c r="C284" s="20">
        <v>46189</v>
      </c>
      <c r="D284" s="123" t="s">
        <v>585</v>
      </c>
      <c r="E284" s="98" t="s">
        <v>859</v>
      </c>
      <c r="F284" s="98" t="s">
        <v>402</v>
      </c>
      <c r="G284" s="124" t="s">
        <v>392</v>
      </c>
      <c r="H284" s="108">
        <v>800</v>
      </c>
      <c r="I284" s="7"/>
      <c r="J284" s="7">
        <f>CobrosPendientes[[#This Row],[Importe]]-CobrosPendientes[[#This Row],[Imp cobrado]]</f>
        <v>800</v>
      </c>
      <c r="K284" s="3"/>
      <c r="L284" s="3"/>
      <c r="M284" s="55">
        <v>46189</v>
      </c>
      <c r="N284" s="106" t="s">
        <v>353</v>
      </c>
      <c r="O284" s="34"/>
      <c r="P284" s="33"/>
      <c r="Q284" s="6"/>
      <c r="R284" s="60"/>
    </row>
    <row r="285" spans="1:18" ht="15" customHeight="1">
      <c r="A285" s="25" t="s">
        <v>860</v>
      </c>
      <c r="B285" s="25" t="s">
        <v>861</v>
      </c>
      <c r="C285" s="20">
        <v>46189</v>
      </c>
      <c r="D285" s="123" t="s">
        <v>585</v>
      </c>
      <c r="E285" s="98" t="s">
        <v>862</v>
      </c>
      <c r="F285" s="98" t="s">
        <v>402</v>
      </c>
      <c r="G285" s="124" t="s">
        <v>392</v>
      </c>
      <c r="H285" s="108">
        <v>800</v>
      </c>
      <c r="I285" s="7"/>
      <c r="J285" s="7">
        <f>CobrosPendientes[[#This Row],[Importe]]-CobrosPendientes[[#This Row],[Imp cobrado]]</f>
        <v>800</v>
      </c>
      <c r="K285" s="3"/>
      <c r="L285" s="3"/>
      <c r="M285" s="55">
        <v>46189</v>
      </c>
      <c r="N285" s="106" t="s">
        <v>353</v>
      </c>
      <c r="O285" s="34"/>
      <c r="P285" s="33"/>
      <c r="Q285" s="6"/>
      <c r="R285" s="60"/>
    </row>
    <row r="286" spans="1:18" ht="15" customHeight="1">
      <c r="A286" s="86" t="s">
        <v>863</v>
      </c>
      <c r="B286" s="86" t="s">
        <v>864</v>
      </c>
      <c r="C286" s="13">
        <v>46189</v>
      </c>
      <c r="D286" s="111" t="s">
        <v>723</v>
      </c>
      <c r="E286" s="94" t="s">
        <v>865</v>
      </c>
      <c r="F286" s="94" t="s">
        <v>653</v>
      </c>
      <c r="G286" s="112" t="s">
        <v>419</v>
      </c>
      <c r="H286" s="97">
        <v>31190.75</v>
      </c>
      <c r="I286" s="35">
        <v>31190.75</v>
      </c>
      <c r="J286" s="35">
        <f>CobrosPendientes[[#This Row],[Importe]]-CobrosPendientes[[#This Row],[Imp cobrado]]</f>
        <v>0</v>
      </c>
      <c r="K286" s="40">
        <v>46206</v>
      </c>
      <c r="L286" s="69" t="s">
        <v>22</v>
      </c>
      <c r="M286" s="55">
        <v>46196</v>
      </c>
      <c r="N286" s="106" t="s">
        <v>353</v>
      </c>
      <c r="O286" s="34"/>
      <c r="P286" s="33"/>
      <c r="Q286" s="6"/>
      <c r="R286" s="60"/>
    </row>
    <row r="287" spans="1:18" ht="15" customHeight="1">
      <c r="A287" s="25" t="s">
        <v>866</v>
      </c>
      <c r="B287" s="25" t="s">
        <v>867</v>
      </c>
      <c r="C287" s="20">
        <v>46190</v>
      </c>
      <c r="D287" s="21" t="s">
        <v>570</v>
      </c>
      <c r="E287" s="98" t="s">
        <v>869</v>
      </c>
      <c r="F287" s="98" t="s">
        <v>750</v>
      </c>
      <c r="G287" s="124" t="s">
        <v>392</v>
      </c>
      <c r="H287" s="108">
        <v>15513.52</v>
      </c>
      <c r="I287" s="7"/>
      <c r="J287" s="7">
        <f>CobrosPendientes[[#This Row],[Importe]]-CobrosPendientes[[#This Row],[Imp cobrado]]</f>
        <v>15513.52</v>
      </c>
      <c r="K287" s="3"/>
      <c r="L287" s="3"/>
      <c r="M287" s="55">
        <v>46190</v>
      </c>
      <c r="N287" s="30" t="s">
        <v>353</v>
      </c>
      <c r="O287" s="34"/>
      <c r="P287" s="33"/>
      <c r="Q287" s="6"/>
      <c r="R287" s="60"/>
    </row>
    <row r="288" spans="1:18" ht="15" customHeight="1">
      <c r="A288" s="25" t="s">
        <v>870</v>
      </c>
      <c r="B288" s="25" t="s">
        <v>871</v>
      </c>
      <c r="C288" s="20">
        <v>46190</v>
      </c>
      <c r="D288" s="123" t="s">
        <v>585</v>
      </c>
      <c r="E288" s="98" t="s">
        <v>872</v>
      </c>
      <c r="F288" s="98" t="s">
        <v>873</v>
      </c>
      <c r="G288" s="124" t="s">
        <v>392</v>
      </c>
      <c r="H288" s="97">
        <v>1200</v>
      </c>
      <c r="I288" s="35">
        <v>1200</v>
      </c>
      <c r="J288" s="35">
        <f>CobrosPendientes[[#This Row],[Importe]]-CobrosPendientes[[#This Row],[Imp cobrado]]</f>
        <v>0</v>
      </c>
      <c r="K288" s="40">
        <v>46195</v>
      </c>
      <c r="L288" s="69" t="s">
        <v>22</v>
      </c>
      <c r="M288" s="55">
        <v>46190</v>
      </c>
      <c r="N288" s="30"/>
      <c r="O288" s="34"/>
      <c r="P288" s="33"/>
      <c r="Q288" s="6"/>
      <c r="R288" s="60"/>
    </row>
    <row r="289" spans="1:18" ht="15" customHeight="1">
      <c r="A289" s="25" t="s">
        <v>874</v>
      </c>
      <c r="B289" s="25" t="s">
        <v>875</v>
      </c>
      <c r="C289" s="20">
        <v>46190</v>
      </c>
      <c r="D289" s="123" t="s">
        <v>585</v>
      </c>
      <c r="E289" s="98" t="s">
        <v>876</v>
      </c>
      <c r="F289" s="98" t="s">
        <v>873</v>
      </c>
      <c r="G289" s="124" t="s">
        <v>392</v>
      </c>
      <c r="H289" s="97">
        <v>1400</v>
      </c>
      <c r="I289" s="35">
        <v>1400</v>
      </c>
      <c r="J289" s="35">
        <f>CobrosPendientes[[#This Row],[Importe]]-CobrosPendientes[[#This Row],[Imp cobrado]]</f>
        <v>0</v>
      </c>
      <c r="K289" s="40">
        <v>46195</v>
      </c>
      <c r="L289" s="69" t="s">
        <v>22</v>
      </c>
      <c r="M289" s="55">
        <v>46190</v>
      </c>
      <c r="N289" s="30"/>
      <c r="O289" s="34"/>
      <c r="P289" s="33"/>
      <c r="Q289" s="6"/>
      <c r="R289" s="60"/>
    </row>
    <row r="290" spans="1:18" ht="15" customHeight="1">
      <c r="A290" s="86" t="s">
        <v>877</v>
      </c>
      <c r="B290" s="86" t="s">
        <v>878</v>
      </c>
      <c r="C290" s="13">
        <v>46191</v>
      </c>
      <c r="D290" s="111" t="s">
        <v>738</v>
      </c>
      <c r="E290" s="94" t="s">
        <v>546</v>
      </c>
      <c r="F290" s="94" t="s">
        <v>575</v>
      </c>
      <c r="G290" s="112">
        <v>25</v>
      </c>
      <c r="H290" s="97">
        <v>89066.91</v>
      </c>
      <c r="I290" s="35">
        <v>89066.91</v>
      </c>
      <c r="J290" s="35">
        <f>CobrosPendientes[[#This Row],[Importe]]-CobrosPendientes[[#This Row],[Imp cobrado]]</f>
        <v>0</v>
      </c>
      <c r="K290" s="40">
        <v>46195</v>
      </c>
      <c r="L290" s="69" t="s">
        <v>22</v>
      </c>
      <c r="M290" s="55" t="s">
        <v>879</v>
      </c>
      <c r="N290" s="30"/>
      <c r="O290" s="34"/>
      <c r="P290" s="33"/>
      <c r="Q290" s="6"/>
      <c r="R290" s="60"/>
    </row>
    <row r="291" spans="1:18" ht="15" customHeight="1">
      <c r="A291" s="12" t="s">
        <v>371</v>
      </c>
      <c r="B291" s="12" t="s">
        <v>880</v>
      </c>
      <c r="C291" s="13">
        <v>46078</v>
      </c>
      <c r="D291" s="12" t="s">
        <v>881</v>
      </c>
      <c r="E291" s="12" t="s">
        <v>176</v>
      </c>
      <c r="F291" s="12" t="s">
        <v>21</v>
      </c>
      <c r="G291" s="14">
        <v>50</v>
      </c>
      <c r="H291" s="35">
        <v>63671.07</v>
      </c>
      <c r="I291" s="35">
        <v>63671.07</v>
      </c>
      <c r="J291" s="35">
        <f>CobrosPendientes[[#This Row],[Importe]]-CobrosPendientes[[#This Row],[Imp cobrado]]</f>
        <v>0</v>
      </c>
      <c r="K291" s="40">
        <v>46101</v>
      </c>
      <c r="L291" s="69" t="s">
        <v>22</v>
      </c>
      <c r="M291" s="55">
        <v>46083</v>
      </c>
      <c r="N291" s="30"/>
      <c r="O291" s="34"/>
      <c r="P291" s="118"/>
      <c r="Q291" s="119"/>
      <c r="R291" s="117"/>
    </row>
    <row r="292" spans="1:18" ht="15" customHeight="1">
      <c r="A292" s="12" t="s">
        <v>882</v>
      </c>
      <c r="B292" s="12" t="s">
        <v>883</v>
      </c>
      <c r="C292" s="13">
        <v>46192</v>
      </c>
      <c r="D292" s="12" t="s">
        <v>373</v>
      </c>
      <c r="E292" s="12" t="s">
        <v>176</v>
      </c>
      <c r="F292" s="12" t="s">
        <v>225</v>
      </c>
      <c r="G292" s="12">
        <v>100</v>
      </c>
      <c r="H292" s="35">
        <v>4080.38</v>
      </c>
      <c r="I292" s="35"/>
      <c r="J292" s="35">
        <f>CobrosPendientes[[#This Row],[Importe]]-CobrosPendientes[[#This Row],[Imp cobrado]]</f>
        <v>4080.38</v>
      </c>
      <c r="K292" s="40">
        <v>46086</v>
      </c>
      <c r="L292" s="69" t="s">
        <v>22</v>
      </c>
      <c r="M292" s="55"/>
      <c r="N292" s="30" t="s">
        <v>884</v>
      </c>
      <c r="O292" s="34"/>
      <c r="P292" s="33"/>
      <c r="Q292" s="6"/>
      <c r="R292" s="60"/>
    </row>
    <row r="293" spans="1:18" ht="15" customHeight="1">
      <c r="A293" s="12" t="s">
        <v>885</v>
      </c>
      <c r="B293" s="12" t="s">
        <v>883</v>
      </c>
      <c r="C293" s="13">
        <v>46192</v>
      </c>
      <c r="D293" s="12" t="s">
        <v>373</v>
      </c>
      <c r="E293" s="12" t="s">
        <v>176</v>
      </c>
      <c r="F293" s="12" t="s">
        <v>67</v>
      </c>
      <c r="G293" s="14" t="s">
        <v>385</v>
      </c>
      <c r="H293" s="35">
        <v>31835.54</v>
      </c>
      <c r="I293" s="35"/>
      <c r="J293" s="35">
        <f>CobrosPendientes[[#This Row],[Importe]]-CobrosPendientes[[#This Row],[Imp cobrado]]</f>
        <v>31835.54</v>
      </c>
      <c r="K293" s="40">
        <v>46044</v>
      </c>
      <c r="L293" s="69" t="s">
        <v>22</v>
      </c>
      <c r="M293" s="55"/>
      <c r="N293" s="30" t="s">
        <v>884</v>
      </c>
      <c r="O293" s="34"/>
      <c r="P293" s="33"/>
      <c r="Q293" s="6"/>
      <c r="R293" s="60"/>
    </row>
    <row r="294" spans="1:18" ht="15" customHeight="1">
      <c r="A294" s="21" t="s">
        <v>886</v>
      </c>
      <c r="B294" s="21" t="s">
        <v>887</v>
      </c>
      <c r="C294" s="20">
        <v>46196</v>
      </c>
      <c r="D294" s="21" t="s">
        <v>526</v>
      </c>
      <c r="E294" s="21" t="s">
        <v>397</v>
      </c>
      <c r="F294" s="21" t="s">
        <v>706</v>
      </c>
      <c r="G294" s="22" t="s">
        <v>468</v>
      </c>
      <c r="H294" s="35">
        <v>31075.74</v>
      </c>
      <c r="I294" s="35">
        <v>31075.74</v>
      </c>
      <c r="J294" s="35">
        <f>CobrosPendientes[[#This Row],[Importe]]-CobrosPendientes[[#This Row],[Imp cobrado]]</f>
        <v>0</v>
      </c>
      <c r="K294" s="40">
        <v>46197</v>
      </c>
      <c r="L294" s="69" t="s">
        <v>22</v>
      </c>
      <c r="M294" s="55">
        <v>46199</v>
      </c>
      <c r="N294" s="30"/>
      <c r="O294" s="34"/>
      <c r="P294" s="33"/>
      <c r="Q294" s="6"/>
      <c r="R294" s="60"/>
    </row>
    <row r="295" spans="1:18" ht="15" customHeight="1">
      <c r="A295" s="21" t="s">
        <v>888</v>
      </c>
      <c r="B295" s="21" t="s">
        <v>889</v>
      </c>
      <c r="C295" s="20">
        <v>46196</v>
      </c>
      <c r="D295" s="21" t="s">
        <v>30</v>
      </c>
      <c r="E295" s="21" t="s">
        <v>890</v>
      </c>
      <c r="F295" s="93" t="s">
        <v>891</v>
      </c>
      <c r="G295" s="22" t="s">
        <v>392</v>
      </c>
      <c r="H295" s="35">
        <v>3077.63</v>
      </c>
      <c r="I295" s="35">
        <v>3077.63</v>
      </c>
      <c r="J295" s="35">
        <f>CobrosPendientes[[#This Row],[Importe]]-CobrosPendientes[[#This Row],[Imp cobrado]]</f>
        <v>0</v>
      </c>
      <c r="K295" s="40">
        <v>46198</v>
      </c>
      <c r="L295" s="69" t="s">
        <v>22</v>
      </c>
      <c r="M295" s="55">
        <v>46196</v>
      </c>
      <c r="N295" s="30"/>
      <c r="O295" s="34"/>
      <c r="P295" s="33"/>
      <c r="Q295" s="6"/>
      <c r="R295" s="60"/>
    </row>
    <row r="296" spans="1:18" ht="14.25" customHeight="1">
      <c r="A296" s="21" t="s">
        <v>892</v>
      </c>
      <c r="B296" s="21" t="s">
        <v>893</v>
      </c>
      <c r="C296" s="20">
        <v>46197</v>
      </c>
      <c r="D296" s="21" t="s">
        <v>167</v>
      </c>
      <c r="E296" s="21" t="s">
        <v>168</v>
      </c>
      <c r="F296" s="21" t="s">
        <v>575</v>
      </c>
      <c r="G296" s="22" t="s">
        <v>382</v>
      </c>
      <c r="H296" s="7">
        <v>13800</v>
      </c>
      <c r="I296" s="7"/>
      <c r="J296" s="7">
        <f>CobrosPendientes[[#This Row],[Importe]]-CobrosPendientes[[#This Row],[Imp cobrado]]</f>
        <v>13800</v>
      </c>
      <c r="K296" s="55"/>
      <c r="L296" s="3"/>
      <c r="M296" s="55">
        <v>46212</v>
      </c>
      <c r="N296" s="30"/>
      <c r="O296" s="34"/>
      <c r="P296" s="33"/>
      <c r="Q296" s="6"/>
      <c r="R296" s="60"/>
    </row>
    <row r="297" spans="1:18" ht="15" customHeight="1">
      <c r="A297" s="21" t="s">
        <v>894</v>
      </c>
      <c r="B297" s="21" t="s">
        <v>895</v>
      </c>
      <c r="C297" s="20">
        <v>46197</v>
      </c>
      <c r="D297" s="21" t="s">
        <v>307</v>
      </c>
      <c r="E297" s="21" t="s">
        <v>308</v>
      </c>
      <c r="F297" s="21" t="s">
        <v>896</v>
      </c>
      <c r="G297" s="22" t="s">
        <v>377</v>
      </c>
      <c r="H297" s="7">
        <v>7064.93</v>
      </c>
      <c r="I297" s="7"/>
      <c r="J297" s="7">
        <f>CobrosPendientes[[#This Row],[Importe]]-CobrosPendientes[[#This Row],[Imp cobrado]]</f>
        <v>7064.93</v>
      </c>
      <c r="K297" s="55"/>
      <c r="L297" s="3"/>
      <c r="M297" s="55">
        <v>46200</v>
      </c>
      <c r="N297" s="30"/>
      <c r="O297" s="34"/>
      <c r="P297" s="33"/>
      <c r="Q297" s="6"/>
      <c r="R297" s="60"/>
    </row>
    <row r="298" spans="1:18" ht="15" customHeight="1">
      <c r="A298" s="12" t="s">
        <v>897</v>
      </c>
      <c r="B298" s="12" t="s">
        <v>898</v>
      </c>
      <c r="C298" s="13">
        <v>46203</v>
      </c>
      <c r="D298" s="12" t="s">
        <v>400</v>
      </c>
      <c r="E298" s="12" t="s">
        <v>899</v>
      </c>
      <c r="F298" s="12" t="s">
        <v>225</v>
      </c>
      <c r="G298" s="14" t="s">
        <v>392</v>
      </c>
      <c r="H298" s="7">
        <v>16579.68</v>
      </c>
      <c r="I298" s="7"/>
      <c r="J298" s="7">
        <f>CobrosPendientes[[#This Row],[Importe]]-CobrosPendientes[[#This Row],[Imp cobrado]]</f>
        <v>16579.68</v>
      </c>
      <c r="L298" s="3"/>
      <c r="M298" s="55">
        <v>46203</v>
      </c>
      <c r="N298" s="30"/>
      <c r="O298" s="34"/>
      <c r="P298" s="33"/>
      <c r="Q298" s="6"/>
      <c r="R298" s="60"/>
    </row>
    <row r="299" spans="1:18" ht="15" customHeight="1">
      <c r="A299" s="12" t="s">
        <v>900</v>
      </c>
      <c r="B299" s="12" t="s">
        <v>901</v>
      </c>
      <c r="C299" s="13">
        <v>46203</v>
      </c>
      <c r="D299" s="12" t="s">
        <v>902</v>
      </c>
      <c r="E299" s="12" t="s">
        <v>903</v>
      </c>
      <c r="F299" s="12" t="s">
        <v>904</v>
      </c>
      <c r="G299" s="14" t="s">
        <v>392</v>
      </c>
      <c r="H299" s="7">
        <v>789</v>
      </c>
      <c r="I299" s="7"/>
      <c r="J299" s="7">
        <f>CobrosPendientes[[#This Row],[Importe]]-CobrosPendientes[[#This Row],[Imp cobrado]]</f>
        <v>789</v>
      </c>
      <c r="K299" s="55"/>
      <c r="L299" s="3"/>
      <c r="M299" s="55">
        <v>46203</v>
      </c>
      <c r="N299" s="30"/>
      <c r="O299" s="34"/>
      <c r="P299" s="33"/>
      <c r="Q299" s="6"/>
      <c r="R299" s="60"/>
    </row>
    <row r="300" spans="1:18" ht="15" customHeight="1">
      <c r="A300" s="21" t="s">
        <v>905</v>
      </c>
      <c r="B300" s="21" t="s">
        <v>906</v>
      </c>
      <c r="C300" s="20">
        <v>46203</v>
      </c>
      <c r="D300" s="21" t="s">
        <v>907</v>
      </c>
      <c r="E300" s="21" t="s">
        <v>91</v>
      </c>
      <c r="F300" s="21" t="s">
        <v>127</v>
      </c>
      <c r="G300" s="22">
        <v>5</v>
      </c>
      <c r="H300" s="7">
        <v>16955.05</v>
      </c>
      <c r="I300" s="7"/>
      <c r="J300" s="7">
        <f>CobrosPendientes[[#This Row],[Importe]]-CobrosPendientes[[#This Row],[Imp cobrado]]</f>
        <v>16955.05</v>
      </c>
      <c r="K300" s="3"/>
      <c r="L300" s="3"/>
      <c r="M300" s="55">
        <v>46233</v>
      </c>
      <c r="N300" s="30"/>
      <c r="O300" s="34"/>
      <c r="P300" s="33"/>
      <c r="Q300" s="6"/>
      <c r="R300" s="60"/>
    </row>
    <row r="301" spans="1:18" ht="15" customHeight="1">
      <c r="A301" s="21" t="s">
        <v>908</v>
      </c>
      <c r="B301" s="21" t="s">
        <v>909</v>
      </c>
      <c r="C301" s="20">
        <v>46203</v>
      </c>
      <c r="D301" s="21" t="s">
        <v>167</v>
      </c>
      <c r="E301" s="21" t="s">
        <v>638</v>
      </c>
      <c r="F301" s="21" t="s">
        <v>24</v>
      </c>
      <c r="G301" s="22">
        <v>10</v>
      </c>
      <c r="H301" s="7">
        <v>2399</v>
      </c>
      <c r="I301" s="7"/>
      <c r="J301" s="7">
        <f>CobrosPendientes[[#This Row],[Importe]]-CobrosPendientes[[#This Row],[Imp cobrado]]</f>
        <v>2399</v>
      </c>
      <c r="K301" s="3"/>
      <c r="L301" s="3"/>
      <c r="M301" s="55">
        <v>46218</v>
      </c>
      <c r="N301" s="30"/>
      <c r="O301" s="34"/>
      <c r="P301" s="33"/>
      <c r="Q301" s="6"/>
      <c r="R301" s="60"/>
    </row>
    <row r="302" spans="1:18" ht="15" customHeight="1">
      <c r="A302" s="21" t="s">
        <v>910</v>
      </c>
      <c r="B302" s="21" t="s">
        <v>911</v>
      </c>
      <c r="C302" s="20">
        <v>46203</v>
      </c>
      <c r="D302" s="21" t="s">
        <v>167</v>
      </c>
      <c r="E302" s="21" t="s">
        <v>511</v>
      </c>
      <c r="F302" s="21" t="s">
        <v>912</v>
      </c>
      <c r="G302" s="22">
        <v>10</v>
      </c>
      <c r="H302" s="35">
        <v>22800</v>
      </c>
      <c r="I302" s="35">
        <v>22800</v>
      </c>
      <c r="J302" s="35">
        <f>CobrosPendientes[[#This Row],[Importe]]-CobrosPendientes[[#This Row],[Imp cobrado]]</f>
        <v>0</v>
      </c>
      <c r="K302" s="40">
        <v>46217</v>
      </c>
      <c r="L302" s="69" t="s">
        <v>22</v>
      </c>
      <c r="M302" s="55">
        <v>46218</v>
      </c>
      <c r="N302" s="30"/>
      <c r="O302" s="34"/>
      <c r="P302" s="33"/>
      <c r="Q302" s="6"/>
      <c r="R302" s="60"/>
    </row>
    <row r="303" spans="1:18" ht="15" customHeight="1">
      <c r="A303" s="21" t="s">
        <v>913</v>
      </c>
      <c r="B303" s="21" t="s">
        <v>914</v>
      </c>
      <c r="C303" s="20">
        <v>46203</v>
      </c>
      <c r="D303" s="21" t="s">
        <v>545</v>
      </c>
      <c r="E303" s="21" t="s">
        <v>550</v>
      </c>
      <c r="F303" s="21" t="s">
        <v>575</v>
      </c>
      <c r="G303" s="22">
        <v>5</v>
      </c>
      <c r="H303" s="35">
        <v>6383.04</v>
      </c>
      <c r="I303" s="35">
        <v>6383.04</v>
      </c>
      <c r="J303" s="35">
        <f>CobrosPendientes[[#This Row],[Importe]]-CobrosPendientes[[#This Row],[Imp cobrado]]</f>
        <v>0</v>
      </c>
      <c r="K303" s="40">
        <v>46205</v>
      </c>
      <c r="L303" s="69" t="s">
        <v>22</v>
      </c>
      <c r="M303" s="55">
        <v>46233</v>
      </c>
      <c r="N303" s="106" t="s">
        <v>353</v>
      </c>
      <c r="O303" s="34"/>
      <c r="P303" s="33"/>
      <c r="Q303" s="6"/>
      <c r="R303" s="60"/>
    </row>
    <row r="304" spans="1:18" ht="15.75">
      <c r="A304" s="12" t="s">
        <v>915</v>
      </c>
      <c r="B304" s="12" t="s">
        <v>916</v>
      </c>
      <c r="C304" s="13">
        <v>46205</v>
      </c>
      <c r="D304" s="12" t="s">
        <v>779</v>
      </c>
      <c r="E304" s="12" t="s">
        <v>780</v>
      </c>
      <c r="F304" s="12" t="s">
        <v>917</v>
      </c>
      <c r="G304" s="14" t="s">
        <v>385</v>
      </c>
      <c r="H304" s="35">
        <v>88963.16</v>
      </c>
      <c r="I304" s="35">
        <v>88963.16</v>
      </c>
      <c r="J304" s="35">
        <f>CobrosPendientes[[#This Row],[Importe]]-CobrosPendientes[[#This Row],[Imp cobrado]]</f>
        <v>0</v>
      </c>
      <c r="K304" s="40">
        <v>46210</v>
      </c>
      <c r="L304" s="69" t="s">
        <v>22</v>
      </c>
      <c r="M304" s="55">
        <v>46208</v>
      </c>
      <c r="N304" s="30" t="s">
        <v>918</v>
      </c>
      <c r="O304" s="34"/>
      <c r="P304" s="33"/>
      <c r="Q304" s="6"/>
      <c r="R304" s="60"/>
    </row>
    <row r="305" spans="1:18" ht="15" customHeight="1">
      <c r="A305" s="12" t="s">
        <v>919</v>
      </c>
      <c r="B305" s="12" t="s">
        <v>920</v>
      </c>
      <c r="C305" s="13">
        <v>46205</v>
      </c>
      <c r="D305" s="12" t="s">
        <v>921</v>
      </c>
      <c r="E305" s="12" t="s">
        <v>922</v>
      </c>
      <c r="F305" s="12" t="s">
        <v>662</v>
      </c>
      <c r="G305" s="14" t="s">
        <v>419</v>
      </c>
      <c r="H305" s="7">
        <v>43242.73</v>
      </c>
      <c r="I305" s="7"/>
      <c r="J305" s="7">
        <f>CobrosPendientes[[#This Row],[Importe]]-CobrosPendientes[[#This Row],[Imp cobrado]]</f>
        <v>43242.73</v>
      </c>
      <c r="K305" s="55"/>
      <c r="L305" s="3"/>
      <c r="M305" s="55">
        <v>46208</v>
      </c>
      <c r="N305" s="30" t="s">
        <v>923</v>
      </c>
      <c r="O305" s="34"/>
      <c r="P305" s="33"/>
      <c r="Q305" s="6"/>
      <c r="R305" s="60"/>
    </row>
    <row r="306" spans="1:18" ht="15" customHeight="1">
      <c r="A306" s="12" t="s">
        <v>924</v>
      </c>
      <c r="B306" s="12" t="s">
        <v>925</v>
      </c>
      <c r="C306" s="13">
        <v>46205</v>
      </c>
      <c r="D306" s="12" t="s">
        <v>545</v>
      </c>
      <c r="E306" s="12" t="s">
        <v>550</v>
      </c>
      <c r="F306" s="12" t="s">
        <v>926</v>
      </c>
      <c r="G306" s="14" t="s">
        <v>392</v>
      </c>
      <c r="H306" s="35">
        <v>23000</v>
      </c>
      <c r="I306" s="35">
        <v>23000</v>
      </c>
      <c r="J306" s="35">
        <f>CobrosPendientes[[#This Row],[Importe]]-CobrosPendientes[[#This Row],[Imp cobrado]]</f>
        <v>0</v>
      </c>
      <c r="K306" s="40">
        <v>46210</v>
      </c>
      <c r="L306" s="69" t="s">
        <v>22</v>
      </c>
      <c r="M306" s="55">
        <v>46208</v>
      </c>
      <c r="N306" s="30"/>
      <c r="O306" s="34"/>
      <c r="P306" s="33"/>
      <c r="Q306" s="6"/>
      <c r="R306" s="60"/>
    </row>
    <row r="307" spans="1:18" ht="15" customHeight="1">
      <c r="A307" s="12" t="s">
        <v>927</v>
      </c>
      <c r="B307" s="12" t="s">
        <v>928</v>
      </c>
      <c r="C307" s="13">
        <v>46210</v>
      </c>
      <c r="D307" s="12" t="s">
        <v>167</v>
      </c>
      <c r="E307" s="12" t="s">
        <v>206</v>
      </c>
      <c r="F307" s="12" t="s">
        <v>706</v>
      </c>
      <c r="G307" s="14">
        <v>10</v>
      </c>
      <c r="H307" s="7">
        <v>6290</v>
      </c>
      <c r="I307" s="7"/>
      <c r="J307" s="7">
        <f>CobrosPendientes[[#This Row],[Importe]]-CobrosPendientes[[#This Row],[Imp cobrado]]</f>
        <v>6290</v>
      </c>
      <c r="K307" s="55"/>
      <c r="L307" s="3"/>
      <c r="M307" s="55">
        <v>46225</v>
      </c>
      <c r="N307" s="30"/>
      <c r="O307" s="34"/>
      <c r="P307" s="33"/>
      <c r="Q307" s="6"/>
      <c r="R307" s="60"/>
    </row>
    <row r="308" spans="1:18" ht="15" customHeight="1">
      <c r="A308" s="12" t="s">
        <v>929</v>
      </c>
      <c r="B308" s="12" t="s">
        <v>930</v>
      </c>
      <c r="C308" s="13">
        <v>46212</v>
      </c>
      <c r="D308" s="12" t="s">
        <v>931</v>
      </c>
      <c r="E308" s="12" t="s">
        <v>932</v>
      </c>
      <c r="F308" s="12" t="s">
        <v>933</v>
      </c>
      <c r="G308" s="14">
        <v>10</v>
      </c>
      <c r="H308" s="7">
        <v>106198.57</v>
      </c>
      <c r="I308" s="7"/>
      <c r="J308" s="7">
        <f>CobrosPendientes[[#This Row],[Importe]]-CobrosPendientes[[#This Row],[Imp cobrado]]</f>
        <v>106198.57</v>
      </c>
      <c r="K308" s="55"/>
      <c r="L308" s="3"/>
      <c r="M308" s="55">
        <v>46222</v>
      </c>
      <c r="N308" s="30"/>
      <c r="O308" s="34"/>
      <c r="P308" s="33"/>
      <c r="Q308" s="6"/>
      <c r="R308" s="60"/>
    </row>
    <row r="309" spans="1:18" ht="15" customHeight="1">
      <c r="A309" s="12" t="s">
        <v>934</v>
      </c>
      <c r="B309" s="12" t="s">
        <v>935</v>
      </c>
      <c r="C309" s="13">
        <v>46212</v>
      </c>
      <c r="D309" s="12" t="s">
        <v>931</v>
      </c>
      <c r="E309" s="12" t="s">
        <v>936</v>
      </c>
      <c r="F309" s="12" t="s">
        <v>653</v>
      </c>
      <c r="G309" s="14">
        <v>10</v>
      </c>
      <c r="H309" s="7">
        <v>113362.64</v>
      </c>
      <c r="I309" s="92"/>
      <c r="J309" s="7">
        <f>CobrosPendientes[[#This Row],[Importe]]-CobrosPendientes[[#This Row],[Imp cobrado]]</f>
        <v>113362.64</v>
      </c>
      <c r="K309" s="55"/>
      <c r="L309" s="3"/>
      <c r="M309" s="55">
        <v>46222</v>
      </c>
      <c r="N309" s="30"/>
      <c r="O309" s="34"/>
      <c r="P309" s="33"/>
      <c r="Q309" s="6"/>
      <c r="R309" s="60"/>
    </row>
    <row r="310" spans="1:18" ht="15" customHeight="1">
      <c r="A310" s="12" t="s">
        <v>937</v>
      </c>
      <c r="B310" s="12" t="s">
        <v>938</v>
      </c>
      <c r="C310" s="13">
        <v>46213</v>
      </c>
      <c r="D310" s="12" t="s">
        <v>665</v>
      </c>
      <c r="E310" s="12" t="s">
        <v>666</v>
      </c>
      <c r="F310" s="12" t="s">
        <v>939</v>
      </c>
      <c r="G310" s="14">
        <v>50</v>
      </c>
      <c r="H310" s="92">
        <v>33916.9</v>
      </c>
      <c r="I310" s="92"/>
      <c r="J310" s="92">
        <f>CobrosPendientes[[#This Row],[Importe]]-CobrosPendientes[[#This Row],[Imp cobrado]]</f>
        <v>33916.9</v>
      </c>
      <c r="K310" s="55"/>
      <c r="L310" s="3"/>
      <c r="M310" s="55">
        <v>46216</v>
      </c>
      <c r="N310" s="30"/>
      <c r="O310" s="34"/>
      <c r="P310" s="33"/>
      <c r="Q310" s="6"/>
      <c r="R310" s="60"/>
    </row>
    <row r="311" spans="1:18" ht="15" customHeight="1">
      <c r="A311" s="12" t="s">
        <v>940</v>
      </c>
      <c r="B311" s="12" t="s">
        <v>941</v>
      </c>
      <c r="C311" s="13">
        <v>46213</v>
      </c>
      <c r="D311" s="12" t="s">
        <v>665</v>
      </c>
      <c r="E311" s="12" t="s">
        <v>669</v>
      </c>
      <c r="F311" s="12" t="s">
        <v>939</v>
      </c>
      <c r="G311" s="14">
        <v>50</v>
      </c>
      <c r="H311" s="92">
        <v>16550.91</v>
      </c>
      <c r="I311" s="92"/>
      <c r="J311" s="92">
        <f>CobrosPendientes[[#This Row],[Importe]]-CobrosPendientes[[#This Row],[Imp cobrado]]</f>
        <v>16550.91</v>
      </c>
      <c r="K311" s="55"/>
      <c r="L311" s="3"/>
      <c r="M311" s="55">
        <v>46216</v>
      </c>
      <c r="N311" s="30"/>
      <c r="O311" s="34"/>
      <c r="P311" s="33"/>
      <c r="Q311" s="6"/>
      <c r="R311" s="60"/>
    </row>
    <row r="312" spans="1:18" ht="15" customHeight="1">
      <c r="A312" s="12" t="s">
        <v>947</v>
      </c>
      <c r="B312" s="12" t="s">
        <v>948</v>
      </c>
      <c r="C312" s="13">
        <v>46216</v>
      </c>
      <c r="D312" s="12" t="s">
        <v>949</v>
      </c>
      <c r="E312" s="12" t="s">
        <v>950</v>
      </c>
      <c r="F312" s="12" t="s">
        <v>653</v>
      </c>
      <c r="G312" s="14">
        <v>30</v>
      </c>
      <c r="H312" s="92">
        <v>42328.81</v>
      </c>
      <c r="I312" s="92"/>
      <c r="J312" s="92">
        <f>CobrosPendientes[[#This Row],[Importe]]-CobrosPendientes[[#This Row],[Imp cobrado]]</f>
        <v>42328.81</v>
      </c>
      <c r="K312" s="55"/>
      <c r="L312" s="3"/>
      <c r="N312" s="30"/>
      <c r="O312" s="34"/>
      <c r="P312" s="33"/>
    </row>
    <row r="313" spans="1:18" s="45" customFormat="1" ht="15" customHeight="1">
      <c r="A313" s="39" t="s">
        <v>951</v>
      </c>
      <c r="B313" s="145" t="s">
        <v>952</v>
      </c>
      <c r="C313" s="38">
        <v>46216</v>
      </c>
      <c r="D313" s="39" t="s">
        <v>436</v>
      </c>
      <c r="E313" s="39" t="s">
        <v>953</v>
      </c>
      <c r="F313" s="39" t="s">
        <v>926</v>
      </c>
      <c r="G313" s="77">
        <v>100</v>
      </c>
      <c r="H313" s="132">
        <v>4159.5</v>
      </c>
      <c r="I313" s="132"/>
      <c r="J313" s="132">
        <f>CobrosPendientes[[#This Row],[Importe]]-CobrosPendientes[[#This Row],[Imp cobrado]]</f>
        <v>4159.5</v>
      </c>
      <c r="K313" s="82"/>
      <c r="L313" s="44"/>
      <c r="M313" s="82">
        <v>46219</v>
      </c>
      <c r="N313" s="51" t="s">
        <v>954</v>
      </c>
      <c r="O313" s="49"/>
      <c r="P313" s="33"/>
      <c r="Q313" s="6"/>
      <c r="R313" s="60"/>
    </row>
    <row r="314" spans="1:18" ht="15" customHeight="1">
      <c r="A314" s="12" t="s">
        <v>955</v>
      </c>
      <c r="B314" s="12"/>
      <c r="C314" s="13">
        <v>46217</v>
      </c>
      <c r="D314" s="12" t="s">
        <v>436</v>
      </c>
      <c r="E314" s="12" t="s">
        <v>953</v>
      </c>
      <c r="F314" s="12" t="s">
        <v>926</v>
      </c>
      <c r="G314" s="14">
        <v>100</v>
      </c>
      <c r="H314" s="133">
        <v>2845.64</v>
      </c>
      <c r="I314" s="92"/>
      <c r="J314" s="92">
        <f>CobrosPendientes[[#This Row],[Importe]]-CobrosPendientes[[#This Row],[Imp cobrado]]</f>
        <v>2845.64</v>
      </c>
      <c r="K314" s="55"/>
      <c r="L314" s="3"/>
      <c r="M314" s="55">
        <v>46220</v>
      </c>
      <c r="N314" s="30"/>
      <c r="O314" s="34"/>
      <c r="P314" s="33"/>
      <c r="Q314" s="6"/>
      <c r="R314" s="60"/>
    </row>
    <row r="315" spans="1:18" s="144" customFormat="1" ht="15" customHeight="1">
      <c r="A315" s="21" t="s">
        <v>956</v>
      </c>
      <c r="B315" s="146"/>
      <c r="C315" s="20">
        <v>46217</v>
      </c>
      <c r="D315" s="21" t="s">
        <v>755</v>
      </c>
      <c r="E315" s="21" t="s">
        <v>467</v>
      </c>
      <c r="F315" s="21" t="s">
        <v>54</v>
      </c>
      <c r="G315" s="22">
        <v>5</v>
      </c>
      <c r="H315" s="133">
        <v>6038.59</v>
      </c>
      <c r="I315" s="92"/>
      <c r="J315" s="92">
        <f>CobrosPendientes[[#This Row],[Importe]]-CobrosPendientes[[#This Row],[Imp cobrado]]</f>
        <v>6038.59</v>
      </c>
      <c r="K315" s="139"/>
      <c r="L315" s="140"/>
      <c r="M315" s="55">
        <v>46247</v>
      </c>
      <c r="N315" s="141"/>
      <c r="P315" s="142"/>
    </row>
    <row r="316" spans="1:18" ht="15" customHeight="1">
      <c r="B316" s="135"/>
      <c r="C316" s="136"/>
      <c r="D316" s="135"/>
      <c r="E316" s="135"/>
      <c r="F316" s="135"/>
      <c r="G316" s="137"/>
      <c r="H316" s="91"/>
      <c r="I316" s="91"/>
      <c r="J316" s="138">
        <f>CobrosPendientes[[#This Row],[Importe]]-CobrosPendientes[[#This Row],[Imp cobrado]]</f>
        <v>0</v>
      </c>
      <c r="K316" s="139"/>
      <c r="L316" s="140"/>
      <c r="M316" s="139"/>
      <c r="N316" s="141"/>
      <c r="O316" s="134"/>
      <c r="P316" s="142"/>
      <c r="Q316" s="143"/>
      <c r="R316" s="110"/>
    </row>
    <row r="317" spans="1:18" ht="15" customHeight="1">
      <c r="B317" s="135"/>
      <c r="C317" s="136"/>
      <c r="D317" s="135"/>
      <c r="E317" s="135"/>
      <c r="F317" s="135"/>
      <c r="G317" s="137"/>
      <c r="H317" s="91"/>
      <c r="I317" s="91"/>
      <c r="J317" s="138">
        <f>CobrosPendientes[[#This Row],[Importe]]-CobrosPendientes[[#This Row],[Imp cobrado]]</f>
        <v>0</v>
      </c>
      <c r="K317" s="139"/>
      <c r="L317" s="140"/>
      <c r="M317" s="139"/>
      <c r="N317" s="141"/>
      <c r="O317" s="134"/>
      <c r="P317" s="142"/>
      <c r="Q317" s="143"/>
      <c r="R317" s="110"/>
    </row>
    <row r="318" spans="1:18" ht="15" customHeight="1">
      <c r="B318" s="135"/>
      <c r="C318" s="136"/>
      <c r="D318" s="135"/>
      <c r="E318" s="135"/>
      <c r="F318" s="135"/>
      <c r="G318" s="137"/>
      <c r="H318" s="91"/>
      <c r="I318" s="91"/>
      <c r="J318" s="138">
        <f>CobrosPendientes[[#This Row],[Importe]]-CobrosPendientes[[#This Row],[Imp cobrado]]</f>
        <v>0</v>
      </c>
      <c r="K318" s="139"/>
      <c r="L318" s="140"/>
      <c r="M318" s="139"/>
      <c r="N318" s="141"/>
      <c r="O318" s="134"/>
      <c r="P318" s="142"/>
      <c r="Q318" s="143"/>
      <c r="R318" s="110"/>
    </row>
    <row r="319" spans="1:18" ht="15" customHeight="1">
      <c r="B319" s="135"/>
      <c r="C319" s="136"/>
      <c r="D319" s="135"/>
      <c r="E319" s="135"/>
      <c r="F319" s="135"/>
      <c r="G319" s="137"/>
      <c r="H319" s="91"/>
      <c r="I319" s="91"/>
      <c r="J319" s="138">
        <f>CobrosPendientes[[#This Row],[Importe]]-CobrosPendientes[[#This Row],[Imp cobrado]]</f>
        <v>0</v>
      </c>
      <c r="K319" s="139"/>
      <c r="L319" s="140"/>
      <c r="M319" s="139"/>
      <c r="N319" s="141"/>
      <c r="O319" s="134"/>
      <c r="P319" s="142"/>
      <c r="Q319" s="143"/>
      <c r="R319" s="110"/>
    </row>
    <row r="320" spans="1:18" ht="15" customHeight="1">
      <c r="A320" s="12"/>
      <c r="B320" s="12"/>
      <c r="C320" s="13"/>
      <c r="D320" s="12"/>
      <c r="E320" s="12"/>
      <c r="F320" s="12"/>
      <c r="G320" s="14"/>
      <c r="H320" s="7"/>
      <c r="I320" s="7"/>
      <c r="J320" s="7">
        <f>CobrosPendientes[[#This Row],[Importe]]-CobrosPendientes[[#This Row],[Imp cobrado]]</f>
        <v>0</v>
      </c>
      <c r="K320" s="55"/>
      <c r="L320" s="3"/>
      <c r="M320" s="55"/>
      <c r="N320" s="30"/>
      <c r="O320" s="34"/>
      <c r="P320" s="33"/>
      <c r="Q320" s="6"/>
      <c r="R320" s="60"/>
    </row>
    <row r="321" spans="1:18" ht="15" customHeight="1">
      <c r="A321" s="12"/>
      <c r="B321" s="12"/>
      <c r="C321" s="13"/>
      <c r="D321" s="12"/>
      <c r="E321" s="12"/>
      <c r="F321" s="12"/>
      <c r="G321" s="14"/>
      <c r="H321" s="7"/>
      <c r="I321" s="7"/>
      <c r="J321" s="7"/>
      <c r="K321" s="13"/>
      <c r="L321" s="12"/>
      <c r="M321" s="13"/>
      <c r="N321" s="12"/>
      <c r="O321" s="12"/>
      <c r="P321" s="6"/>
      <c r="Q321" s="6"/>
      <c r="R321" s="60"/>
    </row>
    <row r="322" spans="1:18" ht="15" customHeight="1">
      <c r="A322" s="12"/>
      <c r="B322" s="12"/>
      <c r="C322" s="13"/>
      <c r="D322" s="12"/>
      <c r="E322" s="12"/>
      <c r="F322" s="12"/>
      <c r="G322" s="14"/>
      <c r="H322" s="7"/>
      <c r="I322" s="7"/>
      <c r="J322" s="7"/>
      <c r="K322" s="13"/>
      <c r="L322" s="12"/>
      <c r="M322" s="13"/>
      <c r="N322" s="12"/>
      <c r="O322" s="12"/>
      <c r="P322" s="6"/>
      <c r="Q322" s="6"/>
      <c r="R322" s="60"/>
    </row>
    <row r="323" spans="1:18" ht="15.75">
      <c r="A323" s="12"/>
      <c r="B323" s="12"/>
      <c r="C323" s="13"/>
      <c r="D323" s="111"/>
      <c r="G323" s="112"/>
      <c r="H323" s="5"/>
      <c r="I323" s="7"/>
      <c r="J323" s="7"/>
      <c r="K323" s="12"/>
      <c r="L323" s="12"/>
      <c r="M323" s="13"/>
      <c r="N323" s="12"/>
      <c r="O323" s="12"/>
      <c r="P323" s="6"/>
      <c r="Q323" s="6"/>
      <c r="R323" s="60"/>
    </row>
    <row r="324" spans="1:18" ht="15" customHeight="1">
      <c r="D324" s="111"/>
      <c r="G324" s="8" t="s">
        <v>942</v>
      </c>
      <c r="H324" s="125">
        <f>SUM(H2:H320)</f>
        <v>21523123.384500004</v>
      </c>
      <c r="I324" s="9"/>
      <c r="J324" s="9"/>
      <c r="Q324" s="8"/>
      <c r="R324" s="120"/>
    </row>
    <row r="325" spans="1:18" ht="15" customHeight="1">
      <c r="D325" s="111"/>
      <c r="G325" s="8" t="s">
        <v>943</v>
      </c>
      <c r="H325" s="120">
        <f>SUM(R3:R323)</f>
        <v>2849681.0799999996</v>
      </c>
    </row>
    <row r="326" spans="1:18" ht="15" customHeight="1">
      <c r="D326" s="111"/>
    </row>
    <row r="327" spans="1:18" ht="15" customHeight="1">
      <c r="D327" s="111"/>
      <c r="G327" s="121" t="s">
        <v>944</v>
      </c>
      <c r="H327" s="122">
        <f>H324-H325</f>
        <v>18673442.304500006</v>
      </c>
    </row>
    <row r="329" spans="1:18" ht="15" customHeight="1">
      <c r="H329" s="113"/>
    </row>
  </sheetData>
  <phoneticPr fontId="6" type="noConversion"/>
  <pageMargins left="0.23622047244094491" right="0.23622047244094491" top="0.74803149606299213" bottom="0.74803149606299213" header="0.31496062992125984" footer="0.31496062992125984"/>
  <pageSetup paperSize="9" scale="63" fitToHeight="4" orientation="landscape" blackAndWhite="1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Andrea Perez Delgado - Alphatracker</cp:lastModifiedBy>
  <cp:revision/>
  <dcterms:created xsi:type="dcterms:W3CDTF">2025-01-21T08:26:08Z</dcterms:created>
  <dcterms:modified xsi:type="dcterms:W3CDTF">2026-07-14T16:14:20Z</dcterms:modified>
  <cp:category/>
  <cp:contentStatus/>
</cp:coreProperties>
</file>