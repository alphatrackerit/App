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namedSheetViews/namedSheetView2.xml" ContentType="application/vnd.ms-excel.namedsheetviews+xml"/>
  <Override PartName="/xl/tables/table3.xml" ContentType="application/vnd.openxmlformats-officedocument.spreadsheetml.table+xml"/>
  <Override PartName="/xl/namedSheetViews/namedSheetView3.xml" ContentType="application/vnd.ms-excel.namedsheetview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lphatracker1-my.sharepoint.com/personal/valentinatundis_alphatracker_eu/Documents/DOC ADMIN/FINANCIERO/ALPHATRACKER/2026/Facturas/"/>
    </mc:Choice>
  </mc:AlternateContent>
  <xr:revisionPtr revIDLastSave="31502" documentId="8_{0EDA0565-9F5C-49C5-939A-9DFB7BB282F2}" xr6:coauthVersionLast="47" xr6:coauthVersionMax="47" xr10:uidLastSave="{1EA86B4C-A968-49ED-819B-93F19F7E137A}"/>
  <bookViews>
    <workbookView xWindow="-120" yWindow="-120" windowWidth="29040" windowHeight="15720" tabRatio="681" xr2:uid="{F6A58B71-53D0-486D-8270-E60D247B3870}"/>
  </bookViews>
  <sheets>
    <sheet name="ALPHATRACKER LDA" sheetId="1" r:id="rId1"/>
    <sheet name="ALPHATRACKER SOLUTIONS" sheetId="3" r:id="rId2"/>
    <sheet name="ALPHATRACKER SOLUTIONS ITALIA S" sheetId="18" r:id="rId3"/>
    <sheet name="Alphatracker Smart Solutions LD" sheetId="17" r:id="rId4"/>
    <sheet name="NEXT ALPHA" sheetId="8" r:id="rId5"/>
    <sheet name="HORUS INFINITY" sheetId="6" r:id="rId6"/>
    <sheet name="SUSTAPOWER" sheetId="4" r:id="rId7"/>
    <sheet name="DEROX ALPINE" sheetId="7" r:id="rId8"/>
    <sheet name="JAM" sheetId="5" r:id="rId9"/>
    <sheet name="HORUS ALPINE" sheetId="9" r:id="rId10"/>
    <sheet name="SERVICIOS CORPORATIVOS" sheetId="19" r:id="rId11"/>
    <sheet name="SONIC" sheetId="10" r:id="rId12"/>
    <sheet name="NIKKAS OLEO SL" sheetId="14" r:id="rId13"/>
    <sheet name="MAFESOL " sheetId="11" r:id="rId14"/>
    <sheet name="MARI CARMEN MALDONADO JIMENEZ" sheetId="15" r:id="rId15"/>
    <sheet name="ESAPOWER" sheetId="16" r:id="rId16"/>
    <sheet name="D" sheetId="2" r:id="rId17"/>
  </sheets>
  <definedNames>
    <definedName name="_xlnm._FilterDatabase" localSheetId="0" hidden="1">'ALPHATRACKER LDA'!$M$733:$M$733</definedName>
    <definedName name="_xlnm.Print_Area" localSheetId="0">'ALPHATRACKER LDA'!$B$1:$U$713</definedName>
    <definedName name="_xlnm.Print_Area" localSheetId="1">'ALPHATRACKER SOLUTIONS'!$D$1:$N$632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90" i="1" l="1"/>
  <c r="N1490" i="1"/>
  <c r="O1490" i="1"/>
  <c r="K1489" i="1"/>
  <c r="N1489" i="1"/>
  <c r="O1489" i="1"/>
  <c r="K1488" i="1"/>
  <c r="N1488" i="1"/>
  <c r="O1488" i="1"/>
  <c r="K1487" i="1"/>
  <c r="N1487" i="1"/>
  <c r="O1487" i="1"/>
  <c r="J632" i="3"/>
  <c r="K632" i="3"/>
  <c r="J631" i="3"/>
  <c r="K631" i="3"/>
  <c r="K1486" i="1"/>
  <c r="N1486" i="1"/>
  <c r="O1486" i="1"/>
  <c r="K1485" i="1"/>
  <c r="N1485" i="1"/>
  <c r="O1485" i="1"/>
  <c r="K1484" i="1"/>
  <c r="N1484" i="1"/>
  <c r="O1484" i="1"/>
  <c r="J630" i="3"/>
  <c r="K630" i="3"/>
  <c r="K1483" i="1"/>
  <c r="N1483" i="1"/>
  <c r="O1483" i="1"/>
  <c r="K1482" i="1"/>
  <c r="N1482" i="1"/>
  <c r="O1482" i="1"/>
  <c r="K1481" i="1"/>
  <c r="N1481" i="1"/>
  <c r="O1481" i="1"/>
  <c r="K1480" i="1"/>
  <c r="N1480" i="1"/>
  <c r="O1480" i="1"/>
  <c r="K1479" i="1"/>
  <c r="N1479" i="1"/>
  <c r="O1479" i="1"/>
  <c r="J629" i="3"/>
  <c r="K629" i="3"/>
  <c r="J628" i="3"/>
  <c r="K628" i="3"/>
  <c r="J627" i="3"/>
  <c r="K627" i="3"/>
  <c r="J626" i="3"/>
  <c r="K626" i="3"/>
  <c r="J625" i="3"/>
  <c r="K625" i="3"/>
  <c r="J624" i="3"/>
  <c r="J8" i="17"/>
  <c r="K8" i="17"/>
  <c r="J623" i="3"/>
  <c r="K623" i="3"/>
  <c r="K1478" i="1"/>
  <c r="N1478" i="1"/>
  <c r="O1478" i="1"/>
  <c r="K1477" i="1"/>
  <c r="N1477" i="1"/>
  <c r="O1477" i="1"/>
  <c r="K1476" i="1"/>
  <c r="N1476" i="1"/>
  <c r="O1476" i="1"/>
  <c r="K1475" i="1"/>
  <c r="N1475" i="1"/>
  <c r="O1475" i="1"/>
  <c r="K1474" i="1"/>
  <c r="N1474" i="1"/>
  <c r="O1474" i="1"/>
  <c r="K1473" i="1"/>
  <c r="N1473" i="1"/>
  <c r="O1473" i="1"/>
  <c r="K1472" i="1"/>
  <c r="N1472" i="1"/>
  <c r="O1472" i="1"/>
  <c r="K1471" i="1"/>
  <c r="N1471" i="1"/>
  <c r="O1471" i="1"/>
  <c r="K1470" i="1"/>
  <c r="N1470" i="1"/>
  <c r="O1470" i="1"/>
  <c r="K1469" i="1"/>
  <c r="N1469" i="1"/>
  <c r="O1469" i="1"/>
  <c r="K1468" i="1"/>
  <c r="N1468" i="1"/>
  <c r="O1468" i="1"/>
  <c r="J622" i="3"/>
  <c r="K622" i="3"/>
  <c r="J621" i="3"/>
  <c r="K621" i="3"/>
  <c r="K1467" i="1"/>
  <c r="N1467" i="1"/>
  <c r="O1467" i="1"/>
  <c r="K1466" i="1"/>
  <c r="N1466" i="1"/>
  <c r="O1466" i="1"/>
  <c r="J620" i="3"/>
  <c r="K620" i="3"/>
  <c r="J619" i="3"/>
  <c r="K619" i="3"/>
  <c r="J618" i="3"/>
  <c r="K618" i="3"/>
  <c r="J617" i="3"/>
  <c r="K617" i="3"/>
  <c r="K1465" i="1"/>
  <c r="N1465" i="1"/>
  <c r="O1465" i="1"/>
  <c r="K1464" i="1"/>
  <c r="N1464" i="1"/>
  <c r="O1464" i="1"/>
  <c r="K1463" i="1"/>
  <c r="N1463" i="1"/>
  <c r="O1463" i="1"/>
  <c r="K1462" i="1"/>
  <c r="N1462" i="1"/>
  <c r="O1462" i="1"/>
  <c r="K1461" i="1"/>
  <c r="N1461" i="1"/>
  <c r="O1461" i="1"/>
  <c r="K1460" i="1"/>
  <c r="N1460" i="1"/>
  <c r="O1460" i="1"/>
  <c r="K1459" i="1"/>
  <c r="N1459" i="1"/>
  <c r="O1459" i="1"/>
  <c r="K1458" i="1"/>
  <c r="N1458" i="1"/>
  <c r="O1458" i="1"/>
  <c r="K1457" i="1"/>
  <c r="N1457" i="1"/>
  <c r="O1457" i="1"/>
  <c r="J616" i="3"/>
  <c r="K616" i="3"/>
  <c r="K1456" i="1"/>
  <c r="N1456" i="1"/>
  <c r="O1456" i="1"/>
  <c r="K1455" i="1"/>
  <c r="N1455" i="1"/>
  <c r="O1455" i="1"/>
  <c r="K1454" i="1"/>
  <c r="N1454" i="1"/>
  <c r="O1454" i="1"/>
  <c r="K1453" i="1"/>
  <c r="N1453" i="1"/>
  <c r="O1453" i="1"/>
  <c r="J615" i="3"/>
  <c r="K615" i="3"/>
  <c r="J614" i="3"/>
  <c r="K614" i="3"/>
  <c r="K1452" i="1"/>
  <c r="N1452" i="1"/>
  <c r="O1452" i="1"/>
  <c r="J613" i="3"/>
  <c r="K613" i="3"/>
  <c r="J612" i="3"/>
  <c r="K612" i="3"/>
  <c r="J7" i="17"/>
  <c r="J611" i="3"/>
  <c r="K611" i="3"/>
  <c r="J610" i="3"/>
  <c r="K610" i="3"/>
  <c r="J609" i="3"/>
  <c r="K609" i="3"/>
  <c r="K1451" i="1"/>
  <c r="N1451" i="1"/>
  <c r="O1451" i="1"/>
  <c r="J608" i="3"/>
  <c r="K608" i="3"/>
  <c r="K1450" i="1"/>
  <c r="N1450" i="1"/>
  <c r="O1450" i="1"/>
  <c r="K1449" i="1"/>
  <c r="N1449" i="1"/>
  <c r="O1449" i="1"/>
  <c r="K1448" i="1"/>
  <c r="N1448" i="1"/>
  <c r="O1448" i="1"/>
  <c r="K1447" i="1"/>
  <c r="N1447" i="1"/>
  <c r="O1447" i="1"/>
  <c r="J25" i="6"/>
  <c r="K25" i="6"/>
  <c r="K1446" i="1"/>
  <c r="N1446" i="1"/>
  <c r="O1446" i="1"/>
  <c r="J607" i="3"/>
  <c r="K607" i="3"/>
  <c r="J606" i="3"/>
  <c r="K606" i="3"/>
  <c r="K1445" i="1"/>
  <c r="N1445" i="1"/>
  <c r="O1445" i="1"/>
  <c r="J605" i="3"/>
  <c r="K605" i="3"/>
  <c r="J604" i="3"/>
  <c r="K604" i="3"/>
  <c r="K1444" i="1"/>
  <c r="N1444" i="1"/>
  <c r="O1444" i="1"/>
  <c r="K1443" i="1"/>
  <c r="N1443" i="1"/>
  <c r="O1443" i="1"/>
  <c r="K1442" i="1"/>
  <c r="N1442" i="1"/>
  <c r="O1442" i="1"/>
  <c r="K1441" i="1"/>
  <c r="N1441" i="1"/>
  <c r="O1441" i="1"/>
  <c r="K1440" i="1"/>
  <c r="N1440" i="1"/>
  <c r="O1440" i="1"/>
  <c r="K1439" i="1"/>
  <c r="N1439" i="1"/>
  <c r="O1439" i="1"/>
  <c r="K1438" i="1"/>
  <c r="N1438" i="1"/>
  <c r="O1438" i="1"/>
  <c r="K1437" i="1"/>
  <c r="N1437" i="1"/>
  <c r="O1437" i="1"/>
  <c r="J603" i="3"/>
  <c r="K603" i="3"/>
  <c r="J602" i="3"/>
  <c r="K602" i="3"/>
  <c r="K1436" i="1"/>
  <c r="N1436" i="1"/>
  <c r="O1436" i="1"/>
  <c r="J65" i="4"/>
  <c r="K65" i="4"/>
  <c r="J64" i="4"/>
  <c r="K64" i="4"/>
  <c r="J63" i="4"/>
  <c r="K63" i="4"/>
  <c r="K1435" i="1"/>
  <c r="N1435" i="1"/>
  <c r="O1435" i="1"/>
  <c r="K1434" i="1"/>
  <c r="N1434" i="1"/>
  <c r="O1434" i="1"/>
  <c r="J62" i="4"/>
  <c r="K62" i="4"/>
  <c r="K1433" i="1"/>
  <c r="N1433" i="1"/>
  <c r="O1433" i="1"/>
  <c r="J601" i="3"/>
  <c r="K601" i="3"/>
  <c r="K600" i="3"/>
  <c r="J600" i="3"/>
  <c r="K1416" i="1"/>
  <c r="N1416" i="1"/>
  <c r="O1416" i="1"/>
  <c r="K156" i="1"/>
  <c r="N156" i="1"/>
  <c r="O156" i="1"/>
  <c r="K1431" i="1"/>
  <c r="N1431" i="1"/>
  <c r="O1431" i="1"/>
  <c r="K1429" i="1"/>
  <c r="N1429" i="1"/>
  <c r="O1429" i="1"/>
  <c r="J599" i="3"/>
  <c r="K599" i="3"/>
  <c r="K1428" i="1"/>
  <c r="N1428" i="1"/>
  <c r="O1428" i="1"/>
  <c r="K441" i="1"/>
  <c r="N441" i="1"/>
  <c r="O441" i="1"/>
  <c r="J598" i="3"/>
  <c r="K598" i="3"/>
  <c r="K1426" i="1"/>
  <c r="N1426" i="1"/>
  <c r="O1426" i="1"/>
  <c r="J597" i="3"/>
  <c r="K597" i="3"/>
  <c r="K1425" i="1"/>
  <c r="N1425" i="1"/>
  <c r="O1425" i="1"/>
  <c r="J596" i="3"/>
  <c r="K596" i="3"/>
  <c r="J273" i="3"/>
  <c r="K273" i="3"/>
  <c r="K1432" i="1"/>
  <c r="N1432" i="1"/>
  <c r="O1432" i="1"/>
  <c r="K438" i="1"/>
  <c r="N438" i="1"/>
  <c r="O438" i="1"/>
  <c r="K439" i="1"/>
  <c r="N439" i="1"/>
  <c r="O439" i="1"/>
  <c r="K436" i="1"/>
  <c r="N436" i="1"/>
  <c r="O436" i="1"/>
  <c r="K440" i="1"/>
  <c r="N440" i="1"/>
  <c r="O440" i="1"/>
  <c r="K1419" i="1"/>
  <c r="N1419" i="1"/>
  <c r="O1419" i="1"/>
  <c r="K1418" i="1"/>
  <c r="N1418" i="1"/>
  <c r="O1418" i="1"/>
  <c r="K1417" i="1"/>
  <c r="N1417" i="1"/>
  <c r="O1417" i="1"/>
  <c r="J594" i="3"/>
  <c r="K594" i="3"/>
  <c r="K437" i="1"/>
  <c r="N437" i="1"/>
  <c r="O437" i="1"/>
  <c r="K676" i="1"/>
  <c r="N676" i="1"/>
  <c r="O676" i="1"/>
  <c r="J381" i="3"/>
  <c r="K381" i="3"/>
  <c r="J144" i="3"/>
  <c r="K144" i="3"/>
  <c r="J172" i="3"/>
  <c r="K172" i="3"/>
  <c r="J439" i="3"/>
  <c r="K439" i="3"/>
  <c r="J168" i="3"/>
  <c r="K168" i="3"/>
  <c r="J588" i="3"/>
  <c r="K588" i="3"/>
  <c r="K1414" i="1"/>
  <c r="N1414" i="1"/>
  <c r="O1414" i="1"/>
  <c r="K1412" i="1"/>
  <c r="N1412" i="1"/>
  <c r="O1412" i="1"/>
  <c r="K1411" i="1"/>
  <c r="N1411" i="1"/>
  <c r="O1411" i="1"/>
  <c r="K625" i="1"/>
  <c r="N625" i="1"/>
  <c r="O625" i="1"/>
  <c r="K588" i="1"/>
  <c r="N588" i="1"/>
  <c r="O588" i="1"/>
  <c r="K1409" i="1"/>
  <c r="N1409" i="1"/>
  <c r="O1409" i="1"/>
  <c r="K1408" i="1"/>
  <c r="N1408" i="1"/>
  <c r="O1408" i="1"/>
  <c r="K1407" i="1"/>
  <c r="N1407" i="1"/>
  <c r="O1407" i="1"/>
  <c r="K1406" i="1"/>
  <c r="N1406" i="1"/>
  <c r="O1406" i="1"/>
  <c r="K1405" i="1"/>
  <c r="N1405" i="1"/>
  <c r="O1405" i="1"/>
  <c r="K1404" i="1"/>
  <c r="N1404" i="1"/>
  <c r="O1404" i="1"/>
  <c r="K1403" i="1"/>
  <c r="N1403" i="1"/>
  <c r="O1403" i="1"/>
  <c r="K1402" i="1"/>
  <c r="N1402" i="1"/>
  <c r="O1402" i="1"/>
  <c r="J587" i="3"/>
  <c r="K587" i="3"/>
  <c r="K1401" i="1"/>
  <c r="N1401" i="1"/>
  <c r="O1401" i="1"/>
  <c r="J123" i="3"/>
  <c r="K380" i="3"/>
  <c r="J380" i="3"/>
  <c r="J267" i="3"/>
  <c r="K267" i="3"/>
  <c r="K396" i="3"/>
  <c r="K1400" i="1"/>
  <c r="N1400" i="1"/>
  <c r="O1400" i="1"/>
  <c r="J584" i="3"/>
  <c r="K584" i="3"/>
  <c r="J583" i="3"/>
  <c r="K583" i="3"/>
  <c r="J582" i="3"/>
  <c r="K582" i="3"/>
  <c r="J501" i="3"/>
  <c r="K501" i="3"/>
  <c r="J202" i="3"/>
  <c r="K202" i="3"/>
  <c r="J24" i="6"/>
  <c r="K24" i="6"/>
  <c r="J23" i="6"/>
  <c r="K23" i="6"/>
  <c r="J61" i="4"/>
  <c r="K61" i="4"/>
  <c r="J60" i="4"/>
  <c r="K60" i="4"/>
  <c r="J579" i="3"/>
  <c r="K579" i="3"/>
  <c r="J578" i="3"/>
  <c r="K578" i="3"/>
  <c r="J577" i="3"/>
  <c r="K577" i="3"/>
  <c r="J576" i="3"/>
  <c r="K576" i="3"/>
  <c r="J575" i="3"/>
  <c r="K575" i="3"/>
  <c r="J574" i="3"/>
  <c r="K574" i="3"/>
  <c r="J573" i="3"/>
  <c r="K573" i="3"/>
  <c r="J572" i="3"/>
  <c r="N223" i="1"/>
  <c r="J558" i="3"/>
  <c r="K558" i="3"/>
  <c r="K16" i="7"/>
  <c r="J16" i="7"/>
  <c r="J15" i="7"/>
  <c r="K15" i="7"/>
  <c r="K572" i="3"/>
  <c r="J7" i="19"/>
  <c r="J6" i="19"/>
  <c r="J3" i="10"/>
  <c r="J9" i="14"/>
  <c r="K9" i="14"/>
  <c r="J8" i="14"/>
  <c r="K8" i="14"/>
  <c r="J7" i="14"/>
  <c r="K7" i="14"/>
  <c r="J6" i="14"/>
  <c r="K6" i="14"/>
  <c r="J6" i="18"/>
  <c r="J3" i="18"/>
  <c r="J4" i="18"/>
  <c r="J5" i="18"/>
  <c r="J525" i="3"/>
  <c r="J571" i="3"/>
  <c r="K571" i="3"/>
  <c r="K1399" i="1"/>
  <c r="N1399" i="1"/>
  <c r="O1399" i="1"/>
  <c r="K1398" i="1"/>
  <c r="N1398" i="1"/>
  <c r="O1398" i="1"/>
  <c r="J570" i="3"/>
  <c r="K570" i="3"/>
  <c r="J569" i="3"/>
  <c r="K569" i="3"/>
  <c r="K1422" i="1"/>
  <c r="N1422" i="1"/>
  <c r="O1422" i="1"/>
  <c r="K1397" i="1"/>
  <c r="N1397" i="1"/>
  <c r="O1397" i="1"/>
  <c r="K1396" i="1"/>
  <c r="N1396" i="1"/>
  <c r="O1396" i="1"/>
  <c r="K251" i="1"/>
  <c r="N251" i="1"/>
  <c r="O251" i="1"/>
  <c r="J568" i="3"/>
  <c r="K568" i="3"/>
  <c r="J567" i="3"/>
  <c r="K567" i="3"/>
  <c r="J566" i="3"/>
  <c r="K566" i="3"/>
  <c r="J565" i="3"/>
  <c r="K565" i="3"/>
  <c r="K1392" i="1"/>
  <c r="N1392" i="1"/>
  <c r="O1392" i="1"/>
  <c r="K1387" i="1"/>
  <c r="N1387" i="1"/>
  <c r="O1387" i="1"/>
  <c r="K1394" i="1"/>
  <c r="N1394" i="1"/>
  <c r="O1394" i="1"/>
  <c r="K250" i="1"/>
  <c r="N250" i="1"/>
  <c r="O250" i="1"/>
  <c r="K249" i="1"/>
  <c r="N249" i="1"/>
  <c r="O249" i="1"/>
  <c r="K248" i="1"/>
  <c r="N248" i="1"/>
  <c r="O248" i="1"/>
  <c r="K247" i="1"/>
  <c r="N247" i="1"/>
  <c r="O247" i="1"/>
  <c r="K246" i="1"/>
  <c r="N246" i="1"/>
  <c r="O246" i="1"/>
  <c r="K245" i="1"/>
  <c r="N245" i="1"/>
  <c r="O245" i="1"/>
  <c r="K244" i="1"/>
  <c r="N244" i="1"/>
  <c r="O244" i="1"/>
  <c r="K243" i="1"/>
  <c r="N243" i="1"/>
  <c r="O243" i="1"/>
  <c r="K242" i="1"/>
  <c r="N242" i="1"/>
  <c r="O242" i="1"/>
  <c r="J383" i="3"/>
  <c r="K383" i="3"/>
  <c r="J520" i="3"/>
  <c r="K520" i="3"/>
  <c r="K123" i="3"/>
  <c r="J388" i="3"/>
  <c r="K388" i="3"/>
  <c r="K241" i="1"/>
  <c r="N241" i="1"/>
  <c r="O241" i="1"/>
  <c r="K240" i="1"/>
  <c r="N240" i="1"/>
  <c r="O240" i="1"/>
  <c r="K239" i="1"/>
  <c r="N239" i="1"/>
  <c r="O239" i="1"/>
  <c r="K238" i="1"/>
  <c r="N238" i="1"/>
  <c r="O238" i="1"/>
  <c r="K237" i="1"/>
  <c r="N237" i="1"/>
  <c r="O237" i="1"/>
  <c r="K236" i="1"/>
  <c r="N236" i="1"/>
  <c r="O236" i="1"/>
  <c r="K235" i="1"/>
  <c r="N235" i="1"/>
  <c r="O235" i="1"/>
  <c r="K234" i="1"/>
  <c r="N234" i="1"/>
  <c r="O234" i="1"/>
  <c r="K1410" i="1"/>
  <c r="N1410" i="1"/>
  <c r="O1410" i="1"/>
  <c r="K1348" i="1"/>
  <c r="N1348" i="1"/>
  <c r="O1348" i="1"/>
  <c r="K233" i="1"/>
  <c r="N233" i="1"/>
  <c r="O233" i="1"/>
  <c r="K230" i="1"/>
  <c r="N230" i="1"/>
  <c r="O230" i="1"/>
  <c r="K229" i="1"/>
  <c r="N229" i="1"/>
  <c r="O229" i="1"/>
  <c r="K228" i="1"/>
  <c r="N228" i="1"/>
  <c r="O228" i="1"/>
  <c r="K227" i="1"/>
  <c r="N227" i="1"/>
  <c r="O227" i="1"/>
  <c r="K226" i="1"/>
  <c r="N226" i="1"/>
  <c r="O226" i="1"/>
  <c r="K232" i="1"/>
  <c r="N232" i="1"/>
  <c r="O232" i="1"/>
  <c r="J560" i="3"/>
  <c r="K560" i="3"/>
  <c r="J559" i="3"/>
  <c r="K559" i="3"/>
  <c r="K224" i="1"/>
  <c r="N224" i="1"/>
  <c r="O224" i="1"/>
  <c r="K223" i="1"/>
  <c r="O223" i="1"/>
  <c r="K222" i="1"/>
  <c r="N222" i="1"/>
  <c r="J557" i="3"/>
  <c r="K557" i="3"/>
  <c r="J431" i="3"/>
  <c r="K431" i="3"/>
  <c r="K221" i="1"/>
  <c r="N221" i="1"/>
  <c r="O221" i="1"/>
  <c r="O435" i="1"/>
  <c r="N435" i="1"/>
  <c r="K435" i="1"/>
  <c r="J555" i="3"/>
  <c r="K555" i="3"/>
  <c r="K554" i="3"/>
  <c r="J554" i="3"/>
  <c r="J553" i="3"/>
  <c r="K553" i="3"/>
  <c r="K1391" i="1"/>
  <c r="N1391" i="1"/>
  <c r="O1391" i="1"/>
  <c r="K1390" i="1"/>
  <c r="N1390" i="1"/>
  <c r="O1390" i="1"/>
  <c r="K1389" i="1"/>
  <c r="N1389" i="1"/>
  <c r="O1389" i="1"/>
  <c r="K219" i="1"/>
  <c r="N219" i="1"/>
  <c r="O219" i="1"/>
  <c r="K218" i="1"/>
  <c r="N218" i="1"/>
  <c r="O218" i="1"/>
  <c r="K217" i="1"/>
  <c r="N217" i="1"/>
  <c r="O217" i="1"/>
  <c r="K216" i="1"/>
  <c r="N216" i="1"/>
  <c r="O216" i="1"/>
  <c r="K215" i="1"/>
  <c r="N215" i="1"/>
  <c r="O215" i="1"/>
  <c r="K1388" i="1"/>
  <c r="N1388" i="1"/>
  <c r="O1388" i="1"/>
  <c r="K214" i="1"/>
  <c r="N214" i="1"/>
  <c r="O214" i="1"/>
  <c r="K213" i="1"/>
  <c r="N213" i="1"/>
  <c r="O213" i="1"/>
  <c r="K212" i="1"/>
  <c r="N212" i="1"/>
  <c r="O212" i="1"/>
  <c r="J552" i="3"/>
  <c r="K552" i="3"/>
  <c r="K551" i="3"/>
  <c r="J551" i="3"/>
  <c r="K1105" i="1"/>
  <c r="N1105" i="1"/>
  <c r="O1105" i="1"/>
  <c r="J550" i="3"/>
  <c r="J549" i="3"/>
  <c r="K549" i="3"/>
  <c r="J548" i="3"/>
  <c r="K548" i="3"/>
  <c r="J547" i="3"/>
  <c r="K547" i="3"/>
  <c r="J546" i="3"/>
  <c r="K546" i="3"/>
  <c r="J545" i="3"/>
  <c r="K545" i="3"/>
  <c r="K1386" i="1"/>
  <c r="N1386" i="1"/>
  <c r="O1386" i="1"/>
  <c r="J544" i="3"/>
  <c r="K544" i="3"/>
  <c r="J543" i="3"/>
  <c r="K543" i="3"/>
  <c r="K211" i="1"/>
  <c r="N211" i="1"/>
  <c r="O211" i="1"/>
  <c r="K32" i="1"/>
  <c r="N32" i="1"/>
  <c r="O32" i="1"/>
  <c r="K434" i="1"/>
  <c r="N434" i="1"/>
  <c r="O434" i="1"/>
  <c r="K1364" i="1"/>
  <c r="N1364" i="1"/>
  <c r="O1364" i="1"/>
  <c r="N1384" i="1"/>
  <c r="N1383" i="1"/>
  <c r="K433" i="1"/>
  <c r="N433" i="1"/>
  <c r="O433" i="1"/>
  <c r="K432" i="1"/>
  <c r="N432" i="1"/>
  <c r="O432" i="1"/>
  <c r="J542" i="3"/>
  <c r="K542" i="3"/>
  <c r="K209" i="1"/>
  <c r="N209" i="1"/>
  <c r="O209" i="1"/>
  <c r="K208" i="1"/>
  <c r="N208" i="1"/>
  <c r="O208" i="1"/>
  <c r="K207" i="1"/>
  <c r="N207" i="1"/>
  <c r="O207" i="1"/>
  <c r="K206" i="1"/>
  <c r="N206" i="1"/>
  <c r="O206" i="1"/>
  <c r="K204" i="1"/>
  <c r="K205" i="1"/>
  <c r="N204" i="1"/>
  <c r="N205" i="1"/>
  <c r="O204" i="1"/>
  <c r="O205" i="1"/>
  <c r="K200" i="1"/>
  <c r="K201" i="1"/>
  <c r="K202" i="1"/>
  <c r="K203" i="1"/>
  <c r="N200" i="1"/>
  <c r="N201" i="1"/>
  <c r="N202" i="1"/>
  <c r="N203" i="1"/>
  <c r="O200" i="1"/>
  <c r="O201" i="1"/>
  <c r="O202" i="1"/>
  <c r="O203" i="1"/>
  <c r="K194" i="1"/>
  <c r="K195" i="1"/>
  <c r="K196" i="1"/>
  <c r="K197" i="1"/>
  <c r="K198" i="1"/>
  <c r="K199" i="1"/>
  <c r="N194" i="1"/>
  <c r="N195" i="1"/>
  <c r="N196" i="1"/>
  <c r="N197" i="1"/>
  <c r="N198" i="1"/>
  <c r="N199" i="1"/>
  <c r="O194" i="1"/>
  <c r="O195" i="1"/>
  <c r="O196" i="1"/>
  <c r="O197" i="1"/>
  <c r="O198" i="1"/>
  <c r="O199" i="1"/>
  <c r="K1381" i="1"/>
  <c r="N1381" i="1"/>
  <c r="O1381" i="1"/>
  <c r="K682" i="1"/>
  <c r="N682" i="1"/>
  <c r="O682" i="1"/>
  <c r="K679" i="1"/>
  <c r="N679" i="1"/>
  <c r="O679" i="1"/>
  <c r="K1395" i="1"/>
  <c r="N1395" i="1"/>
  <c r="O1395" i="1"/>
  <c r="K1385" i="1"/>
  <c r="N1385" i="1"/>
  <c r="O1385" i="1"/>
  <c r="K1337" i="1"/>
  <c r="K1340" i="1"/>
  <c r="N1337" i="1"/>
  <c r="N1340" i="1"/>
  <c r="O1337" i="1"/>
  <c r="O1340" i="1"/>
  <c r="K1336" i="1"/>
  <c r="N1336" i="1"/>
  <c r="O1336" i="1"/>
  <c r="J541" i="3"/>
  <c r="K541" i="3"/>
  <c r="J540" i="3"/>
  <c r="K540" i="3"/>
  <c r="K1375" i="1"/>
  <c r="N1375" i="1"/>
  <c r="O1375" i="1"/>
  <c r="K1145" i="1"/>
  <c r="N1145" i="1"/>
  <c r="O1145" i="1"/>
  <c r="K887" i="1"/>
  <c r="N887" i="1"/>
  <c r="O887" i="1"/>
  <c r="K1372" i="1"/>
  <c r="N1372" i="1"/>
  <c r="O1372" i="1"/>
  <c r="J539" i="3"/>
  <c r="K539" i="3"/>
  <c r="K189" i="1"/>
  <c r="N189" i="1"/>
  <c r="O189" i="1"/>
  <c r="K186" i="1"/>
  <c r="K187" i="1"/>
  <c r="K188" i="1"/>
  <c r="N186" i="1"/>
  <c r="N187" i="1"/>
  <c r="N188" i="1"/>
  <c r="O186" i="1"/>
  <c r="O187" i="1"/>
  <c r="O188" i="1"/>
  <c r="K155" i="1"/>
  <c r="K185" i="1"/>
  <c r="N155" i="1"/>
  <c r="N185" i="1"/>
  <c r="O155" i="1"/>
  <c r="O185" i="1"/>
  <c r="K431" i="1"/>
  <c r="N431" i="1"/>
  <c r="O431" i="1"/>
  <c r="K1141" i="1"/>
  <c r="N1141" i="1"/>
  <c r="O1141" i="1"/>
  <c r="K1371" i="1"/>
  <c r="N1371" i="1"/>
  <c r="O1371" i="1"/>
  <c r="K1370" i="1"/>
  <c r="N1370" i="1"/>
  <c r="O1370" i="1"/>
  <c r="N171" i="1"/>
  <c r="J13" i="5"/>
  <c r="K13" i="5"/>
  <c r="J538" i="3"/>
  <c r="K538" i="3"/>
  <c r="J537" i="3"/>
  <c r="K537" i="3"/>
  <c r="K1142" i="1"/>
  <c r="N1142" i="1"/>
  <c r="O1142" i="1"/>
  <c r="K5" i="19"/>
  <c r="K4" i="19"/>
  <c r="K3" i="19"/>
  <c r="K3" i="9"/>
  <c r="J4" i="19"/>
  <c r="J3" i="19"/>
  <c r="K1368" i="1"/>
  <c r="N1368" i="1"/>
  <c r="O1368" i="1"/>
  <c r="K1367" i="1"/>
  <c r="N1367" i="1"/>
  <c r="O1367" i="1"/>
  <c r="K181" i="1"/>
  <c r="N181" i="1"/>
  <c r="O181" i="1"/>
  <c r="K180" i="1"/>
  <c r="N180" i="1"/>
  <c r="O180" i="1"/>
  <c r="K179" i="1"/>
  <c r="N179" i="1"/>
  <c r="O179" i="1"/>
  <c r="K178" i="1"/>
  <c r="N178" i="1"/>
  <c r="O178" i="1"/>
  <c r="K177" i="1"/>
  <c r="N177" i="1"/>
  <c r="O177" i="1"/>
  <c r="J536" i="3"/>
  <c r="K536" i="3"/>
  <c r="K176" i="1"/>
  <c r="N176" i="1"/>
  <c r="O176" i="1"/>
  <c r="K1366" i="1"/>
  <c r="N1366" i="1"/>
  <c r="O1366" i="1"/>
  <c r="K1365" i="1"/>
  <c r="N1365" i="1"/>
  <c r="O1365" i="1"/>
  <c r="K1140" i="1"/>
  <c r="N1140" i="1"/>
  <c r="O1140" i="1"/>
  <c r="K28" i="1"/>
  <c r="N28" i="1"/>
  <c r="O28" i="1"/>
  <c r="K1362" i="1"/>
  <c r="N1362" i="1"/>
  <c r="O1362" i="1"/>
  <c r="O175" i="1"/>
  <c r="N175" i="1"/>
  <c r="K175" i="1"/>
  <c r="O174" i="1"/>
  <c r="N174" i="1"/>
  <c r="K174" i="1"/>
  <c r="O173" i="1"/>
  <c r="N173" i="1"/>
  <c r="K173" i="1"/>
  <c r="O172" i="1"/>
  <c r="N172" i="1"/>
  <c r="K172" i="1"/>
  <c r="O171" i="1"/>
  <c r="K171" i="1"/>
  <c r="O170" i="1"/>
  <c r="N170" i="1"/>
  <c r="K170" i="1"/>
  <c r="K169" i="1"/>
  <c r="N169" i="1"/>
  <c r="O169" i="1"/>
  <c r="K168" i="1"/>
  <c r="N168" i="1"/>
  <c r="O168" i="1"/>
  <c r="O163" i="1"/>
  <c r="N163" i="1"/>
  <c r="K164" i="1"/>
  <c r="N164" i="1"/>
  <c r="O164" i="1"/>
  <c r="K165" i="1"/>
  <c r="N165" i="1"/>
  <c r="O165" i="1"/>
  <c r="K166" i="1"/>
  <c r="N166" i="1"/>
  <c r="O166" i="1"/>
  <c r="O162" i="1"/>
  <c r="N162" i="1"/>
  <c r="K162" i="1"/>
  <c r="K167" i="1"/>
  <c r="N167" i="1"/>
  <c r="O167" i="1"/>
  <c r="J5" i="11"/>
  <c r="K5" i="11"/>
  <c r="J444" i="3"/>
  <c r="O430" i="1"/>
  <c r="N430" i="1"/>
  <c r="K430" i="1"/>
  <c r="K151" i="1"/>
  <c r="N151" i="1"/>
  <c r="O151" i="1"/>
  <c r="K3" i="18"/>
  <c r="J535" i="3"/>
  <c r="K535" i="3"/>
  <c r="J534" i="3"/>
  <c r="K534" i="3"/>
  <c r="K1358" i="1"/>
  <c r="N1358" i="1"/>
  <c r="O1358" i="1"/>
  <c r="K1357" i="1"/>
  <c r="N1357" i="1"/>
  <c r="O1357" i="1"/>
  <c r="O161" i="1"/>
  <c r="N161" i="1"/>
  <c r="K161" i="1"/>
  <c r="J21" i="9"/>
  <c r="K21" i="9"/>
  <c r="O132" i="1"/>
  <c r="K160" i="1"/>
  <c r="N160" i="1"/>
  <c r="O160" i="1"/>
  <c r="K159" i="1"/>
  <c r="N159" i="1"/>
  <c r="O159" i="1"/>
  <c r="J533" i="3"/>
  <c r="K533" i="3"/>
  <c r="K1427" i="1"/>
  <c r="N1427" i="1"/>
  <c r="O1427" i="1"/>
  <c r="K1424" i="1"/>
  <c r="N1424" i="1"/>
  <c r="O1424" i="1"/>
  <c r="K1423" i="1"/>
  <c r="N1423" i="1"/>
  <c r="O1423" i="1"/>
  <c r="K1356" i="1"/>
  <c r="N1356" i="1"/>
  <c r="O1356" i="1"/>
  <c r="K1421" i="1"/>
  <c r="N1421" i="1"/>
  <c r="O1421" i="1"/>
  <c r="K1355" i="1"/>
  <c r="N1355" i="1"/>
  <c r="O1355" i="1"/>
  <c r="J532" i="3"/>
  <c r="K532" i="3"/>
  <c r="K1354" i="1"/>
  <c r="N1354" i="1"/>
  <c r="O1354" i="1"/>
  <c r="K1378" i="1"/>
  <c r="N1378" i="1"/>
  <c r="O1378" i="1"/>
  <c r="K1363" i="1"/>
  <c r="N1363" i="1"/>
  <c r="O1363" i="1"/>
  <c r="K1349" i="1"/>
  <c r="N1349" i="1"/>
  <c r="O1349" i="1"/>
  <c r="K1350" i="1"/>
  <c r="N1350" i="1"/>
  <c r="O1350" i="1"/>
  <c r="K1351" i="1"/>
  <c r="N1351" i="1"/>
  <c r="O1351" i="1"/>
  <c r="K154" i="1"/>
  <c r="N154" i="1"/>
  <c r="O154" i="1"/>
  <c r="K153" i="1"/>
  <c r="N153" i="1"/>
  <c r="O153" i="1"/>
  <c r="K1420" i="1"/>
  <c r="N1420" i="1"/>
  <c r="O1420" i="1"/>
  <c r="K1430" i="1"/>
  <c r="N1430" i="1"/>
  <c r="O1430" i="1"/>
  <c r="K149" i="1"/>
  <c r="N149" i="1"/>
  <c r="O149" i="1"/>
  <c r="J531" i="3"/>
  <c r="K531" i="3"/>
  <c r="J530" i="3"/>
  <c r="K530" i="3"/>
  <c r="K150" i="1"/>
  <c r="N150" i="1"/>
  <c r="O150" i="1"/>
  <c r="J171" i="3"/>
  <c r="K171" i="3"/>
  <c r="K1361" i="1"/>
  <c r="N1361" i="1"/>
  <c r="O1361" i="1"/>
  <c r="K1360" i="1"/>
  <c r="N1360" i="1"/>
  <c r="O1360" i="1"/>
  <c r="K1359" i="1"/>
  <c r="N1359" i="1"/>
  <c r="O1359" i="1"/>
  <c r="K1352" i="1"/>
  <c r="N1352" i="1"/>
  <c r="O1352" i="1"/>
  <c r="N1347" i="1"/>
  <c r="K1347" i="1"/>
  <c r="O1347" i="1"/>
  <c r="K1346" i="1"/>
  <c r="N1346" i="1"/>
  <c r="O1346" i="1"/>
  <c r="K1345" i="1"/>
  <c r="N1345" i="1"/>
  <c r="O1345" i="1"/>
  <c r="K1344" i="1"/>
  <c r="N1344" i="1"/>
  <c r="O1344" i="1"/>
  <c r="K1339" i="1"/>
  <c r="N1339" i="1"/>
  <c r="O1339" i="1"/>
  <c r="J528" i="3"/>
  <c r="K528" i="3"/>
  <c r="K1338" i="1"/>
  <c r="N1338" i="1"/>
  <c r="O1338" i="1"/>
  <c r="K1343" i="1"/>
  <c r="N1343" i="1"/>
  <c r="O1343" i="1"/>
  <c r="K1342" i="1"/>
  <c r="N1342" i="1"/>
  <c r="O1342" i="1"/>
  <c r="K1341" i="1"/>
  <c r="N1341" i="1"/>
  <c r="O1341" i="1"/>
  <c r="K1040" i="1"/>
  <c r="N1040" i="1"/>
  <c r="O1040" i="1"/>
  <c r="J527" i="3"/>
  <c r="K527" i="3"/>
  <c r="K133" i="1"/>
  <c r="N133" i="1"/>
  <c r="O133" i="1"/>
  <c r="K1333" i="1"/>
  <c r="N1333" i="1"/>
  <c r="O1333" i="1"/>
  <c r="K1332" i="1"/>
  <c r="N1332" i="1"/>
  <c r="O1332" i="1"/>
  <c r="K1331" i="1"/>
  <c r="N1331" i="1"/>
  <c r="O1331" i="1"/>
  <c r="K1330" i="1"/>
  <c r="N1330" i="1"/>
  <c r="O1330" i="1"/>
  <c r="K1329" i="1"/>
  <c r="N1329" i="1"/>
  <c r="O1329" i="1"/>
  <c r="K183" i="1"/>
  <c r="N183" i="1"/>
  <c r="O183" i="1"/>
  <c r="K1327" i="1"/>
  <c r="N1327" i="1"/>
  <c r="O1327" i="1"/>
  <c r="K1326" i="1"/>
  <c r="N1326" i="1"/>
  <c r="O1326" i="1"/>
  <c r="K1325" i="1"/>
  <c r="N1325" i="1"/>
  <c r="O1325" i="1"/>
  <c r="J526" i="3"/>
  <c r="K526" i="3"/>
  <c r="K525" i="3"/>
  <c r="K148" i="1"/>
  <c r="N148" i="1"/>
  <c r="O148" i="1"/>
  <c r="J524" i="3"/>
  <c r="K524" i="3"/>
  <c r="J523" i="3"/>
  <c r="K523" i="3"/>
  <c r="J522" i="3"/>
  <c r="K522" i="3"/>
  <c r="J20" i="9"/>
  <c r="K20" i="9"/>
  <c r="N672" i="1"/>
  <c r="K429" i="1"/>
  <c r="N429" i="1"/>
  <c r="O429" i="1"/>
  <c r="J521" i="3"/>
  <c r="K521" i="3"/>
  <c r="J386" i="3"/>
  <c r="K386" i="3"/>
  <c r="J385" i="3"/>
  <c r="K385" i="3"/>
  <c r="J518" i="3"/>
  <c r="K518" i="3"/>
  <c r="J517" i="3"/>
  <c r="K517" i="3"/>
  <c r="J516" i="3"/>
  <c r="K516" i="3"/>
  <c r="J515" i="3"/>
  <c r="K515" i="3"/>
  <c r="J292" i="3"/>
  <c r="K292" i="3"/>
  <c r="J121" i="3"/>
  <c r="K121" i="3"/>
  <c r="O1323" i="1"/>
  <c r="N1323" i="1"/>
  <c r="K1323" i="1"/>
  <c r="K59" i="4"/>
  <c r="J59" i="4"/>
  <c r="K58" i="4"/>
  <c r="J58" i="4"/>
  <c r="O37" i="1"/>
  <c r="J19" i="9"/>
  <c r="K19" i="9"/>
  <c r="K1322" i="1"/>
  <c r="N1322" i="1"/>
  <c r="O1322" i="1"/>
  <c r="K1321" i="1"/>
  <c r="N1321" i="1"/>
  <c r="O1321" i="1"/>
  <c r="J510" i="3"/>
  <c r="K510" i="3"/>
  <c r="J512" i="3"/>
  <c r="K512" i="3"/>
  <c r="O182" i="1"/>
  <c r="K182" i="1"/>
  <c r="N182" i="1"/>
  <c r="K132" i="1"/>
  <c r="N132" i="1"/>
  <c r="J511" i="3"/>
  <c r="K511" i="3"/>
  <c r="J487" i="3"/>
  <c r="K487" i="3"/>
  <c r="J509" i="3"/>
  <c r="K509" i="3"/>
  <c r="K1318" i="1"/>
  <c r="N1318" i="1"/>
  <c r="O1318" i="1"/>
  <c r="K1317" i="1"/>
  <c r="N1317" i="1"/>
  <c r="O1317" i="1"/>
  <c r="J508" i="3"/>
  <c r="K508" i="3"/>
  <c r="K147" i="1"/>
  <c r="N147" i="1"/>
  <c r="O147" i="1"/>
  <c r="K146" i="1"/>
  <c r="N146" i="1"/>
  <c r="O146" i="1"/>
  <c r="J507" i="3"/>
  <c r="K507" i="3"/>
  <c r="K1316" i="1"/>
  <c r="N1316" i="1"/>
  <c r="O1316" i="1"/>
  <c r="N1315" i="1"/>
  <c r="O1315" i="1"/>
  <c r="K1314" i="1"/>
  <c r="N1314" i="1"/>
  <c r="O1314" i="1"/>
  <c r="K1313" i="1"/>
  <c r="N1313" i="1"/>
  <c r="O1313" i="1"/>
  <c r="K1312" i="1"/>
  <c r="N1312" i="1"/>
  <c r="O1312" i="1"/>
  <c r="K1311" i="1"/>
  <c r="N1311" i="1"/>
  <c r="O1311" i="1"/>
  <c r="K1310" i="1"/>
  <c r="N1310" i="1"/>
  <c r="O1310" i="1"/>
  <c r="K1309" i="1"/>
  <c r="N1309" i="1"/>
  <c r="O1309" i="1"/>
  <c r="K1308" i="1"/>
  <c r="N1308" i="1"/>
  <c r="O1308" i="1"/>
  <c r="J505" i="3"/>
  <c r="K505" i="3"/>
  <c r="J410" i="3"/>
  <c r="K410" i="3"/>
  <c r="J288" i="3"/>
  <c r="K288" i="3"/>
  <c r="J503" i="3"/>
  <c r="K503" i="3"/>
  <c r="J432" i="3"/>
  <c r="K432" i="3"/>
  <c r="J237" i="3"/>
  <c r="K237" i="3"/>
  <c r="J18" i="9"/>
  <c r="K18" i="9"/>
  <c r="J57" i="4"/>
  <c r="K57" i="4"/>
  <c r="J500" i="3"/>
  <c r="K500" i="3"/>
  <c r="J499" i="3"/>
  <c r="K499" i="3"/>
  <c r="J498" i="3"/>
  <c r="K498" i="3"/>
  <c r="K1384" i="1"/>
  <c r="O1384" i="1"/>
  <c r="K1383" i="1"/>
  <c r="O1383" i="1"/>
  <c r="K1335" i="1"/>
  <c r="N1335" i="1"/>
  <c r="O1335" i="1"/>
  <c r="K145" i="1"/>
  <c r="N145" i="1"/>
  <c r="O145" i="1"/>
  <c r="K144" i="1"/>
  <c r="N144" i="1"/>
  <c r="O144" i="1"/>
  <c r="K143" i="1"/>
  <c r="N143" i="1"/>
  <c r="O143" i="1"/>
  <c r="K142" i="1"/>
  <c r="N142" i="1"/>
  <c r="O142" i="1"/>
  <c r="K141" i="1"/>
  <c r="N141" i="1"/>
  <c r="O141" i="1"/>
  <c r="K140" i="1"/>
  <c r="N140" i="1"/>
  <c r="O140" i="1"/>
  <c r="K139" i="1"/>
  <c r="N139" i="1"/>
  <c r="O139" i="1"/>
  <c r="K138" i="1"/>
  <c r="N138" i="1"/>
  <c r="O138" i="1"/>
  <c r="K137" i="1"/>
  <c r="N137" i="1"/>
  <c r="O137" i="1"/>
  <c r="K136" i="1"/>
  <c r="N136" i="1"/>
  <c r="O136" i="1"/>
  <c r="K135" i="1"/>
  <c r="N135" i="1"/>
  <c r="O135" i="1"/>
  <c r="K134" i="1"/>
  <c r="N134" i="1"/>
  <c r="O134" i="1"/>
  <c r="K1294" i="1"/>
  <c r="N1294" i="1"/>
  <c r="O1294" i="1"/>
  <c r="J488" i="3"/>
  <c r="K488" i="3"/>
  <c r="J461" i="3"/>
  <c r="K461" i="3"/>
  <c r="J460" i="3"/>
  <c r="K460" i="3"/>
  <c r="J494" i="3"/>
  <c r="K494" i="3"/>
  <c r="J22" i="6"/>
  <c r="K22" i="6"/>
  <c r="K1304" i="1"/>
  <c r="N1304" i="1"/>
  <c r="O1304" i="1"/>
  <c r="K1324" i="1"/>
  <c r="N1324" i="1"/>
  <c r="O1324" i="1"/>
  <c r="K1320" i="1"/>
  <c r="N1320" i="1"/>
  <c r="O1320" i="1"/>
  <c r="K1307" i="1"/>
  <c r="N1307" i="1"/>
  <c r="O1307" i="1"/>
  <c r="J493" i="3"/>
  <c r="K493" i="3"/>
  <c r="K130" i="1"/>
  <c r="N130" i="1"/>
  <c r="O130" i="1"/>
  <c r="K129" i="1"/>
  <c r="N129" i="1"/>
  <c r="O129" i="1"/>
  <c r="K128" i="1"/>
  <c r="N128" i="1"/>
  <c r="O128" i="1"/>
  <c r="K127" i="1"/>
  <c r="N127" i="1"/>
  <c r="O127" i="1"/>
  <c r="K126" i="1"/>
  <c r="N126" i="1"/>
  <c r="O126" i="1"/>
  <c r="K1302" i="1"/>
  <c r="N1302" i="1"/>
  <c r="O1302" i="1"/>
  <c r="K9" i="1"/>
  <c r="N9" i="1"/>
  <c r="O9" i="1"/>
  <c r="K1300" i="1"/>
  <c r="N1300" i="1"/>
  <c r="O1300" i="1"/>
  <c r="K1299" i="1"/>
  <c r="N1299" i="1"/>
  <c r="O1299" i="1"/>
  <c r="K827" i="1"/>
  <c r="N827" i="1"/>
  <c r="O827" i="1"/>
  <c r="K125" i="1"/>
  <c r="N125" i="1"/>
  <c r="O125" i="1"/>
  <c r="J492" i="3"/>
  <c r="K492" i="3"/>
  <c r="K850" i="1"/>
  <c r="N850" i="1"/>
  <c r="O850" i="1"/>
  <c r="K1296" i="1"/>
  <c r="N1296" i="1"/>
  <c r="O1296" i="1"/>
  <c r="K1295" i="1"/>
  <c r="N1295" i="1"/>
  <c r="O1295" i="1"/>
  <c r="J491" i="3"/>
  <c r="K491" i="3"/>
  <c r="K1288" i="1"/>
  <c r="N1288" i="1"/>
  <c r="O1288" i="1"/>
  <c r="J20" i="6"/>
  <c r="J21" i="6"/>
  <c r="K21" i="6"/>
  <c r="K20" i="6"/>
  <c r="J56" i="4"/>
  <c r="K56" i="4"/>
  <c r="J55" i="4"/>
  <c r="K55" i="4"/>
  <c r="O1293" i="1"/>
  <c r="N1293" i="1"/>
  <c r="K1293" i="1"/>
  <c r="O1292" i="1"/>
  <c r="N1292" i="1"/>
  <c r="K1292" i="1"/>
  <c r="K1291" i="1"/>
  <c r="N1291" i="1"/>
  <c r="O1291" i="1"/>
  <c r="K1290" i="1"/>
  <c r="N1290" i="1"/>
  <c r="O1290" i="1"/>
  <c r="K1289" i="1"/>
  <c r="N1289" i="1"/>
  <c r="O1289" i="1"/>
  <c r="K1249" i="1"/>
  <c r="N1249" i="1"/>
  <c r="O1249" i="1"/>
  <c r="J490" i="3"/>
  <c r="K490" i="3"/>
  <c r="K1202" i="1"/>
  <c r="N1202" i="1"/>
  <c r="O1202" i="1"/>
  <c r="K828" i="1"/>
  <c r="N828" i="1"/>
  <c r="O828" i="1"/>
  <c r="J489" i="3"/>
  <c r="K489" i="3"/>
  <c r="J291" i="3"/>
  <c r="K291" i="3"/>
  <c r="K412" i="1"/>
  <c r="N412" i="1"/>
  <c r="O412" i="1"/>
  <c r="K513" i="3"/>
  <c r="J513" i="3"/>
  <c r="J486" i="3"/>
  <c r="K486" i="3"/>
  <c r="J485" i="3"/>
  <c r="K485" i="3"/>
  <c r="J484" i="3"/>
  <c r="K484" i="3"/>
  <c r="J483" i="3"/>
  <c r="K483" i="3"/>
  <c r="J482" i="3"/>
  <c r="K482" i="3"/>
  <c r="J54" i="4"/>
  <c r="K54" i="4"/>
  <c r="K98" i="1"/>
  <c r="N98" i="1"/>
  <c r="O98" i="1"/>
  <c r="K85" i="1"/>
  <c r="N85" i="1"/>
  <c r="O85" i="1"/>
  <c r="K84" i="1"/>
  <c r="N84" i="1"/>
  <c r="O84" i="1"/>
  <c r="K1282" i="1"/>
  <c r="N1282" i="1"/>
  <c r="O1282" i="1"/>
  <c r="K1281" i="1"/>
  <c r="N1281" i="1"/>
  <c r="O1281" i="1"/>
  <c r="K1280" i="1"/>
  <c r="N1280" i="1"/>
  <c r="O1280" i="1"/>
  <c r="K1279" i="1"/>
  <c r="N1279" i="1"/>
  <c r="O1279" i="1"/>
  <c r="N122" i="1"/>
  <c r="N123" i="1"/>
  <c r="N124" i="1"/>
  <c r="K123" i="1"/>
  <c r="K124" i="1"/>
  <c r="O123" i="1"/>
  <c r="O124" i="1"/>
  <c r="O122" i="1"/>
  <c r="K122" i="1"/>
  <c r="O121" i="1"/>
  <c r="N121" i="1"/>
  <c r="K121" i="1"/>
  <c r="O120" i="1"/>
  <c r="N120" i="1"/>
  <c r="K120" i="1"/>
  <c r="O1144" i="1"/>
  <c r="N1144" i="1"/>
  <c r="K1144" i="1"/>
  <c r="O1277" i="1"/>
  <c r="N1277" i="1"/>
  <c r="K1277" i="1"/>
  <c r="O1276" i="1"/>
  <c r="N1276" i="1"/>
  <c r="K1276" i="1"/>
  <c r="K1275" i="1"/>
  <c r="N1275" i="1"/>
  <c r="O1275" i="1"/>
  <c r="K481" i="3"/>
  <c r="J481" i="3"/>
  <c r="K1274" i="1"/>
  <c r="N1274" i="1"/>
  <c r="O1274" i="1"/>
  <c r="K1273" i="1"/>
  <c r="N1273" i="1"/>
  <c r="O1273" i="1"/>
  <c r="N1201" i="1"/>
  <c r="K1272" i="1"/>
  <c r="N1272" i="1"/>
  <c r="O1272" i="1"/>
  <c r="J12" i="5"/>
  <c r="K12" i="5"/>
  <c r="J11" i="5"/>
  <c r="K11" i="5"/>
  <c r="J10" i="5"/>
  <c r="K10" i="5"/>
  <c r="K411" i="1"/>
  <c r="N411" i="1"/>
  <c r="O411" i="1"/>
  <c r="K1270" i="1"/>
  <c r="N1270" i="1"/>
  <c r="O1270" i="1"/>
  <c r="J480" i="3"/>
  <c r="K480" i="3"/>
  <c r="J479" i="3"/>
  <c r="K479" i="3"/>
  <c r="N131" i="1"/>
  <c r="O671" i="1"/>
  <c r="J478" i="3"/>
  <c r="K478" i="3"/>
  <c r="J477" i="3"/>
  <c r="K477" i="3"/>
  <c r="J53" i="4"/>
  <c r="K53" i="4"/>
  <c r="K1269" i="1"/>
  <c r="N1269" i="1"/>
  <c r="O1269" i="1"/>
  <c r="K1268" i="1"/>
  <c r="N1268" i="1"/>
  <c r="O1268" i="1"/>
  <c r="J9" i="5"/>
  <c r="K9" i="5"/>
  <c r="J476" i="3"/>
  <c r="K476" i="3"/>
  <c r="K119" i="1"/>
  <c r="N119" i="1"/>
  <c r="O119" i="1"/>
  <c r="K118" i="1"/>
  <c r="N118" i="1"/>
  <c r="O118" i="1"/>
  <c r="K46" i="1"/>
  <c r="N46" i="1"/>
  <c r="O46" i="1"/>
  <c r="K1266" i="1"/>
  <c r="N1266" i="1"/>
  <c r="O1266" i="1"/>
  <c r="J475" i="3"/>
  <c r="K475" i="3"/>
  <c r="J474" i="3"/>
  <c r="K474" i="3"/>
  <c r="J473" i="3"/>
  <c r="K473" i="3"/>
  <c r="K131" i="1"/>
  <c r="O131" i="1"/>
  <c r="J19" i="6"/>
  <c r="K19" i="6"/>
  <c r="K1265" i="1"/>
  <c r="N1265" i="1"/>
  <c r="O1265" i="1"/>
  <c r="J472" i="3"/>
  <c r="K472" i="3"/>
  <c r="K116" i="1"/>
  <c r="N116" i="1"/>
  <c r="O116" i="1"/>
  <c r="K115" i="1"/>
  <c r="N115" i="1"/>
  <c r="O115" i="1"/>
  <c r="K114" i="1"/>
  <c r="N114" i="1"/>
  <c r="O114" i="1"/>
  <c r="K113" i="1"/>
  <c r="N113" i="1"/>
  <c r="O113" i="1"/>
  <c r="K112" i="1"/>
  <c r="N112" i="1"/>
  <c r="O112" i="1"/>
  <c r="K111" i="1"/>
  <c r="N111" i="1"/>
  <c r="O111" i="1"/>
  <c r="K110" i="1"/>
  <c r="N110" i="1"/>
  <c r="O110" i="1"/>
  <c r="K109" i="1"/>
  <c r="N109" i="1"/>
  <c r="O109" i="1"/>
  <c r="K108" i="1"/>
  <c r="N108" i="1"/>
  <c r="O108" i="1"/>
  <c r="K107" i="1"/>
  <c r="N107" i="1"/>
  <c r="O107" i="1"/>
  <c r="K106" i="1"/>
  <c r="N106" i="1"/>
  <c r="O106" i="1"/>
  <c r="K105" i="1"/>
  <c r="N105" i="1"/>
  <c r="O105" i="1"/>
  <c r="J471" i="3"/>
  <c r="K471" i="3"/>
  <c r="J470" i="3"/>
  <c r="K470" i="3"/>
  <c r="J469" i="3"/>
  <c r="K469" i="3"/>
  <c r="K1198" i="1"/>
  <c r="N1198" i="1"/>
  <c r="O1198" i="1"/>
  <c r="K48" i="1"/>
  <c r="N48" i="1"/>
  <c r="O48" i="1"/>
  <c r="K49" i="1"/>
  <c r="N49" i="1"/>
  <c r="O49" i="1"/>
  <c r="K50" i="1"/>
  <c r="N50" i="1"/>
  <c r="O50" i="1"/>
  <c r="K51" i="1"/>
  <c r="N51" i="1"/>
  <c r="O51" i="1"/>
  <c r="K52" i="1"/>
  <c r="N52" i="1"/>
  <c r="O52" i="1"/>
  <c r="K53" i="1"/>
  <c r="N53" i="1"/>
  <c r="O53" i="1"/>
  <c r="J468" i="3"/>
  <c r="K468" i="3"/>
  <c r="J467" i="3"/>
  <c r="K467" i="3"/>
  <c r="J466" i="3"/>
  <c r="K466" i="3"/>
  <c r="J465" i="3"/>
  <c r="K465" i="3"/>
  <c r="J464" i="3"/>
  <c r="K464" i="3"/>
  <c r="J463" i="3"/>
  <c r="K463" i="3"/>
  <c r="J462" i="3"/>
  <c r="K462" i="3"/>
  <c r="J125" i="3"/>
  <c r="K125" i="3"/>
  <c r="J338" i="3"/>
  <c r="K1264" i="1"/>
  <c r="N1264" i="1"/>
  <c r="O1264" i="1"/>
  <c r="J133" i="3"/>
  <c r="K133" i="3"/>
  <c r="J334" i="3"/>
  <c r="K334" i="3"/>
  <c r="K338" i="3"/>
  <c r="K1263" i="1"/>
  <c r="N1263" i="1"/>
  <c r="O1263" i="1"/>
  <c r="K387" i="1"/>
  <c r="N387" i="1"/>
  <c r="O387" i="1"/>
  <c r="K104" i="1"/>
  <c r="N104" i="1"/>
  <c r="O104" i="1"/>
  <c r="K103" i="1"/>
  <c r="N103" i="1"/>
  <c r="O103" i="1"/>
  <c r="K1261" i="1"/>
  <c r="N1261" i="1"/>
  <c r="O1261" i="1"/>
  <c r="K1260" i="1"/>
  <c r="N1260" i="1"/>
  <c r="O1260" i="1"/>
  <c r="J227" i="3"/>
  <c r="K227" i="3"/>
  <c r="J406" i="3"/>
  <c r="J272" i="3"/>
  <c r="K272" i="3"/>
  <c r="O301" i="1"/>
  <c r="O677" i="1"/>
  <c r="O644" i="1"/>
  <c r="O296" i="1"/>
  <c r="J455" i="3"/>
  <c r="K455" i="3"/>
  <c r="J454" i="3"/>
  <c r="K454" i="3"/>
  <c r="J453" i="3"/>
  <c r="K453" i="3"/>
  <c r="K1284" i="1"/>
  <c r="N1284" i="1"/>
  <c r="O1284" i="1"/>
  <c r="N1306" i="1"/>
  <c r="O1306" i="1"/>
  <c r="K1297" i="1"/>
  <c r="N1297" i="1"/>
  <c r="O1297" i="1"/>
  <c r="K1287" i="1"/>
  <c r="N1287" i="1"/>
  <c r="O1287" i="1"/>
  <c r="K1286" i="1"/>
  <c r="N1286" i="1"/>
  <c r="O1286" i="1"/>
  <c r="K1285" i="1"/>
  <c r="N1285" i="1"/>
  <c r="O1285" i="1"/>
  <c r="K1104" i="1"/>
  <c r="N1104" i="1"/>
  <c r="O1104" i="1"/>
  <c r="K1252" i="1"/>
  <c r="N1252" i="1"/>
  <c r="O1252" i="1"/>
  <c r="K1251" i="1"/>
  <c r="N1251" i="1"/>
  <c r="O1251" i="1"/>
  <c r="K102" i="1"/>
  <c r="N102" i="1"/>
  <c r="O102" i="1"/>
  <c r="K1250" i="1"/>
  <c r="N1250" i="1"/>
  <c r="O1250" i="1"/>
  <c r="J51" i="4"/>
  <c r="J52" i="4"/>
  <c r="K51" i="4"/>
  <c r="K52" i="4"/>
  <c r="J451" i="3"/>
  <c r="J452" i="3"/>
  <c r="K451" i="3"/>
  <c r="K452" i="3"/>
  <c r="J450" i="3"/>
  <c r="K450" i="3"/>
  <c r="J502" i="3"/>
  <c r="K502" i="3"/>
  <c r="J442" i="3"/>
  <c r="K442" i="3"/>
  <c r="K1248" i="1"/>
  <c r="N1248" i="1"/>
  <c r="O1248" i="1"/>
  <c r="J447" i="3"/>
  <c r="K447" i="3"/>
  <c r="J390" i="3"/>
  <c r="K390" i="3"/>
  <c r="K1283" i="1"/>
  <c r="N1283" i="1"/>
  <c r="O1283" i="1"/>
  <c r="K1278" i="1"/>
  <c r="N1278" i="1"/>
  <c r="O1278" i="1"/>
  <c r="K1271" i="1"/>
  <c r="N1271" i="1"/>
  <c r="O1271" i="1"/>
  <c r="K1267" i="1"/>
  <c r="N1267" i="1"/>
  <c r="O1267" i="1"/>
  <c r="K1262" i="1"/>
  <c r="N1262" i="1"/>
  <c r="O1262" i="1"/>
  <c r="K101" i="1"/>
  <c r="N101" i="1"/>
  <c r="O101" i="1"/>
  <c r="K1242" i="1"/>
  <c r="N1242" i="1"/>
  <c r="O1242" i="1"/>
  <c r="J443" i="3"/>
  <c r="K443" i="3"/>
  <c r="K444" i="3"/>
  <c r="J205" i="3"/>
  <c r="K205" i="3"/>
  <c r="J445" i="3"/>
  <c r="K445" i="3"/>
  <c r="K117" i="1"/>
  <c r="N117" i="1"/>
  <c r="O117" i="1"/>
  <c r="K100" i="1"/>
  <c r="N100" i="1"/>
  <c r="O100" i="1"/>
  <c r="K11" i="1"/>
  <c r="N11" i="1"/>
  <c r="O11" i="1"/>
  <c r="K1259" i="1"/>
  <c r="N1259" i="1"/>
  <c r="O1259" i="1"/>
  <c r="J8" i="8"/>
  <c r="K8" i="8"/>
  <c r="J7" i="8"/>
  <c r="K7" i="8"/>
  <c r="J441" i="3"/>
  <c r="K441" i="3"/>
  <c r="J428" i="3"/>
  <c r="K428" i="3"/>
  <c r="K1240" i="1"/>
  <c r="N1240" i="1"/>
  <c r="O1240" i="1"/>
  <c r="K1239" i="1"/>
  <c r="N1239" i="1"/>
  <c r="O1239" i="1"/>
  <c r="K1238" i="1"/>
  <c r="N1238" i="1"/>
  <c r="O1238" i="1"/>
  <c r="K1237" i="1"/>
  <c r="N1237" i="1"/>
  <c r="O1237" i="1"/>
  <c r="K1236" i="1"/>
  <c r="N1236" i="1"/>
  <c r="O1236" i="1"/>
  <c r="K1235" i="1"/>
  <c r="N1235" i="1"/>
  <c r="O1235" i="1"/>
  <c r="K1234" i="1"/>
  <c r="N1234" i="1"/>
  <c r="O1234" i="1"/>
  <c r="J122" i="3"/>
  <c r="K122" i="3"/>
  <c r="J440" i="3"/>
  <c r="K440" i="3"/>
  <c r="J407" i="3"/>
  <c r="K407" i="3"/>
  <c r="K436" i="3"/>
  <c r="J436" i="3"/>
  <c r="J435" i="3"/>
  <c r="K435" i="3"/>
  <c r="J434" i="3"/>
  <c r="K1233" i="1"/>
  <c r="N1233" i="1"/>
  <c r="O1233" i="1"/>
  <c r="J409" i="3"/>
  <c r="K409" i="3"/>
  <c r="J332" i="3"/>
  <c r="K332" i="3"/>
  <c r="J433" i="3"/>
  <c r="K433" i="3"/>
  <c r="J459" i="3"/>
  <c r="K459" i="3"/>
  <c r="K97" i="1"/>
  <c r="N97" i="1"/>
  <c r="O97" i="1"/>
  <c r="K96" i="1"/>
  <c r="N96" i="1"/>
  <c r="O96" i="1"/>
  <c r="K95" i="1"/>
  <c r="N95" i="1"/>
  <c r="O95" i="1"/>
  <c r="K94" i="1"/>
  <c r="N94" i="1"/>
  <c r="O94" i="1"/>
  <c r="K93" i="1"/>
  <c r="N93" i="1"/>
  <c r="O93" i="1"/>
  <c r="K92" i="1"/>
  <c r="N92" i="1"/>
  <c r="O92" i="1"/>
  <c r="K91" i="1"/>
  <c r="N91" i="1"/>
  <c r="O91" i="1"/>
  <c r="K90" i="1"/>
  <c r="N90" i="1"/>
  <c r="O90" i="1"/>
  <c r="K89" i="1"/>
  <c r="N89" i="1"/>
  <c r="O89" i="1"/>
  <c r="K88" i="1"/>
  <c r="N88" i="1"/>
  <c r="O88" i="1"/>
  <c r="K87" i="1"/>
  <c r="N87" i="1"/>
  <c r="O87" i="1"/>
  <c r="K86" i="1"/>
  <c r="N86" i="1"/>
  <c r="O86" i="1"/>
  <c r="J429" i="3"/>
  <c r="O1232" i="1"/>
  <c r="N1232" i="1"/>
  <c r="K1232" i="1"/>
  <c r="O1231" i="1"/>
  <c r="N1231" i="1"/>
  <c r="K1231" i="1"/>
  <c r="K1230" i="1"/>
  <c r="N1230" i="1"/>
  <c r="O1230" i="1"/>
  <c r="K1229" i="1"/>
  <c r="N1229" i="1"/>
  <c r="O1229" i="1"/>
  <c r="K1228" i="1"/>
  <c r="N1228" i="1"/>
  <c r="O1228" i="1"/>
  <c r="J448" i="3"/>
  <c r="K448" i="3"/>
  <c r="J17" i="9"/>
  <c r="K17" i="9"/>
  <c r="K16" i="9"/>
  <c r="J16" i="9"/>
  <c r="J15" i="9"/>
  <c r="K15" i="9"/>
  <c r="J14" i="9"/>
  <c r="K14" i="9"/>
  <c r="J8" i="5"/>
  <c r="K8" i="5"/>
  <c r="K43" i="1"/>
  <c r="N43" i="1"/>
  <c r="O43" i="1"/>
  <c r="K36" i="1"/>
  <c r="N36" i="1"/>
  <c r="O36" i="1"/>
  <c r="O1413" i="1"/>
  <c r="K1227" i="1"/>
  <c r="N1227" i="1"/>
  <c r="O1227" i="1"/>
  <c r="K1226" i="1"/>
  <c r="N1226" i="1"/>
  <c r="O1226" i="1"/>
  <c r="K1225" i="1"/>
  <c r="N1225" i="1"/>
  <c r="O1225" i="1"/>
  <c r="K1224" i="1"/>
  <c r="N1224" i="1"/>
  <c r="O1224" i="1"/>
  <c r="K1223" i="1"/>
  <c r="N1223" i="1"/>
  <c r="O1223" i="1"/>
  <c r="J427" i="3"/>
  <c r="K427" i="3"/>
  <c r="J426" i="3"/>
  <c r="K426" i="3"/>
  <c r="J425" i="3"/>
  <c r="K425" i="3"/>
  <c r="J424" i="3"/>
  <c r="K424" i="3"/>
  <c r="J423" i="3"/>
  <c r="K423" i="3"/>
  <c r="J422" i="3"/>
  <c r="K422" i="3"/>
  <c r="J421" i="3"/>
  <c r="K421" i="3"/>
  <c r="K401" i="1"/>
  <c r="N401" i="1"/>
  <c r="O401" i="1"/>
  <c r="K396" i="1"/>
  <c r="N396" i="1"/>
  <c r="O396" i="1"/>
  <c r="K394" i="1"/>
  <c r="N394" i="1"/>
  <c r="O394" i="1"/>
  <c r="K393" i="1"/>
  <c r="N393" i="1"/>
  <c r="O393" i="1"/>
  <c r="J420" i="3"/>
  <c r="K1221" i="1"/>
  <c r="N1221" i="1"/>
  <c r="O1221" i="1"/>
  <c r="K1219" i="1"/>
  <c r="K1220" i="1"/>
  <c r="N1219" i="1"/>
  <c r="N1220" i="1"/>
  <c r="O1219" i="1"/>
  <c r="O1220" i="1"/>
  <c r="K1218" i="1"/>
  <c r="N1218" i="1"/>
  <c r="O1218" i="1"/>
  <c r="K1216" i="1"/>
  <c r="K1217" i="1"/>
  <c r="N1216" i="1"/>
  <c r="N1217" i="1"/>
  <c r="O1216" i="1"/>
  <c r="O1217" i="1"/>
  <c r="K1215" i="1"/>
  <c r="N1215" i="1"/>
  <c r="O1215" i="1"/>
  <c r="K1214" i="1"/>
  <c r="N1214" i="1"/>
  <c r="O1214" i="1"/>
  <c r="J419" i="3"/>
  <c r="K419" i="3"/>
  <c r="K1213" i="1"/>
  <c r="N1213" i="1"/>
  <c r="O1213" i="1"/>
  <c r="K1212" i="1"/>
  <c r="N1212" i="1"/>
  <c r="O1212" i="1"/>
  <c r="J408" i="3"/>
  <c r="K408" i="3"/>
  <c r="J124" i="3"/>
  <c r="K124" i="3"/>
  <c r="J177" i="3"/>
  <c r="K177" i="3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1305" i="1"/>
  <c r="O1305" i="1"/>
  <c r="N1319" i="1"/>
  <c r="O1319" i="1"/>
  <c r="N281" i="1"/>
  <c r="O281" i="1"/>
  <c r="N282" i="1"/>
  <c r="O282" i="1"/>
  <c r="N283" i="1"/>
  <c r="O283" i="1"/>
  <c r="N284" i="1"/>
  <c r="O284" i="1"/>
  <c r="N285" i="1"/>
  <c r="O285" i="1"/>
  <c r="N663" i="1"/>
  <c r="O663" i="1"/>
  <c r="N576" i="1"/>
  <c r="O576" i="1"/>
  <c r="N577" i="1"/>
  <c r="O577" i="1"/>
  <c r="N818" i="1"/>
  <c r="O818" i="1"/>
  <c r="N1194" i="1"/>
  <c r="O1194" i="1"/>
  <c r="N291" i="1"/>
  <c r="O291" i="1"/>
  <c r="N505" i="1"/>
  <c r="O505" i="1"/>
  <c r="N696" i="1"/>
  <c r="O696" i="1"/>
  <c r="N231" i="1"/>
  <c r="O231" i="1"/>
  <c r="N1180" i="1"/>
  <c r="O1180" i="1"/>
  <c r="N296" i="1"/>
  <c r="N698" i="1"/>
  <c r="O698" i="1"/>
  <c r="N298" i="1"/>
  <c r="O298" i="1"/>
  <c r="N390" i="1"/>
  <c r="O390" i="1"/>
  <c r="N1413" i="1"/>
  <c r="N301" i="1"/>
  <c r="N302" i="1"/>
  <c r="O302" i="1"/>
  <c r="N303" i="1"/>
  <c r="O303" i="1"/>
  <c r="N304" i="1"/>
  <c r="O304" i="1"/>
  <c r="N389" i="1"/>
  <c r="O389" i="1"/>
  <c r="N306" i="1"/>
  <c r="O306" i="1"/>
  <c r="N307" i="1"/>
  <c r="O307" i="1"/>
  <c r="N308" i="1"/>
  <c r="O308" i="1"/>
  <c r="N309" i="1"/>
  <c r="O309" i="1"/>
  <c r="N310" i="1"/>
  <c r="O310" i="1"/>
  <c r="N311" i="1"/>
  <c r="O311" i="1"/>
  <c r="N312" i="1"/>
  <c r="O312" i="1"/>
  <c r="N313" i="1"/>
  <c r="O313" i="1"/>
  <c r="N314" i="1"/>
  <c r="O314" i="1"/>
  <c r="N315" i="1"/>
  <c r="O315" i="1"/>
  <c r="N316" i="1"/>
  <c r="O316" i="1"/>
  <c r="N317" i="1"/>
  <c r="O317" i="1"/>
  <c r="N318" i="1"/>
  <c r="O318" i="1"/>
  <c r="N319" i="1"/>
  <c r="O319" i="1"/>
  <c r="N320" i="1"/>
  <c r="O320" i="1"/>
  <c r="N321" i="1"/>
  <c r="O321" i="1"/>
  <c r="N322" i="1"/>
  <c r="O322" i="1"/>
  <c r="N323" i="1"/>
  <c r="O323" i="1"/>
  <c r="N324" i="1"/>
  <c r="O324" i="1"/>
  <c r="N325" i="1"/>
  <c r="O325" i="1"/>
  <c r="N326" i="1"/>
  <c r="O326" i="1"/>
  <c r="N327" i="1"/>
  <c r="O327" i="1"/>
  <c r="N328" i="1"/>
  <c r="O328" i="1"/>
  <c r="N329" i="1"/>
  <c r="O329" i="1"/>
  <c r="N330" i="1"/>
  <c r="O330" i="1"/>
  <c r="N331" i="1"/>
  <c r="O331" i="1"/>
  <c r="N332" i="1"/>
  <c r="O332" i="1"/>
  <c r="N333" i="1"/>
  <c r="O333" i="1"/>
  <c r="N334" i="1"/>
  <c r="O334" i="1"/>
  <c r="N335" i="1"/>
  <c r="O335" i="1"/>
  <c r="N336" i="1"/>
  <c r="O336" i="1"/>
  <c r="N337" i="1"/>
  <c r="O337" i="1"/>
  <c r="N338" i="1"/>
  <c r="O338" i="1"/>
  <c r="N339" i="1"/>
  <c r="O339" i="1"/>
  <c r="N340" i="1"/>
  <c r="O340" i="1"/>
  <c r="N341" i="1"/>
  <c r="O341" i="1"/>
  <c r="N342" i="1"/>
  <c r="O342" i="1"/>
  <c r="N343" i="1"/>
  <c r="O343" i="1"/>
  <c r="N344" i="1"/>
  <c r="O344" i="1"/>
  <c r="N345" i="1"/>
  <c r="O345" i="1"/>
  <c r="N346" i="1"/>
  <c r="O346" i="1"/>
  <c r="N347" i="1"/>
  <c r="O347" i="1"/>
  <c r="N348" i="1"/>
  <c r="O348" i="1"/>
  <c r="N349" i="1"/>
  <c r="O349" i="1"/>
  <c r="N350" i="1"/>
  <c r="O350" i="1"/>
  <c r="N351" i="1"/>
  <c r="O351" i="1"/>
  <c r="N352" i="1"/>
  <c r="O352" i="1"/>
  <c r="N353" i="1"/>
  <c r="O353" i="1"/>
  <c r="N354" i="1"/>
  <c r="O354" i="1"/>
  <c r="N355" i="1"/>
  <c r="O355" i="1"/>
  <c r="N356" i="1"/>
  <c r="O356" i="1"/>
  <c r="N699" i="1"/>
  <c r="O699" i="1"/>
  <c r="N358" i="1"/>
  <c r="O358" i="1"/>
  <c r="N998" i="1"/>
  <c r="O998" i="1"/>
  <c r="N360" i="1"/>
  <c r="O360" i="1"/>
  <c r="N1303" i="1"/>
  <c r="O1303" i="1"/>
  <c r="N1328" i="1"/>
  <c r="O1328" i="1"/>
  <c r="N157" i="1"/>
  <c r="O157" i="1"/>
  <c r="N184" i="1"/>
  <c r="O184" i="1"/>
  <c r="N158" i="1"/>
  <c r="O158" i="1"/>
  <c r="N225" i="1"/>
  <c r="O225" i="1"/>
  <c r="N210" i="1"/>
  <c r="O210" i="1"/>
  <c r="N1374" i="1"/>
  <c r="O1374" i="1"/>
  <c r="N1376" i="1"/>
  <c r="O1376" i="1"/>
  <c r="N1377" i="1"/>
  <c r="O1377" i="1"/>
  <c r="N371" i="1"/>
  <c r="O371" i="1"/>
  <c r="N372" i="1"/>
  <c r="O372" i="1"/>
  <c r="N373" i="1"/>
  <c r="O373" i="1"/>
  <c r="N374" i="1"/>
  <c r="O374" i="1"/>
  <c r="N375" i="1"/>
  <c r="O375" i="1"/>
  <c r="N376" i="1"/>
  <c r="O376" i="1"/>
  <c r="N377" i="1"/>
  <c r="O377" i="1"/>
  <c r="N378" i="1"/>
  <c r="O378" i="1"/>
  <c r="N379" i="1"/>
  <c r="O379" i="1"/>
  <c r="N380" i="1"/>
  <c r="O380" i="1"/>
  <c r="N586" i="1"/>
  <c r="O586" i="1"/>
  <c r="N252" i="1"/>
  <c r="O252" i="1"/>
  <c r="N501" i="1"/>
  <c r="O501" i="1"/>
  <c r="N646" i="1"/>
  <c r="O646" i="1"/>
  <c r="N575" i="1"/>
  <c r="O575" i="1"/>
  <c r="N790" i="1"/>
  <c r="O790" i="1"/>
  <c r="N700" i="1"/>
  <c r="O700" i="1"/>
  <c r="N1382" i="1"/>
  <c r="O1382" i="1"/>
  <c r="N712" i="1"/>
  <c r="O712" i="1"/>
  <c r="N713" i="1"/>
  <c r="O713" i="1"/>
  <c r="N714" i="1"/>
  <c r="O714" i="1"/>
  <c r="N715" i="1"/>
  <c r="O715" i="1"/>
  <c r="N734" i="1"/>
  <c r="O734" i="1"/>
  <c r="N783" i="1"/>
  <c r="O783" i="1"/>
  <c r="N784" i="1"/>
  <c r="O784" i="1"/>
  <c r="N785" i="1"/>
  <c r="O785" i="1"/>
  <c r="N786" i="1"/>
  <c r="O786" i="1"/>
  <c r="N1379" i="1"/>
  <c r="O1379" i="1"/>
  <c r="N1380" i="1"/>
  <c r="O1380" i="1"/>
  <c r="N400" i="1"/>
  <c r="O400" i="1"/>
  <c r="N299" i="1"/>
  <c r="O299" i="1"/>
  <c r="N357" i="1"/>
  <c r="O357" i="1"/>
  <c r="N403" i="1"/>
  <c r="O403" i="1"/>
  <c r="N404" i="1"/>
  <c r="O404" i="1"/>
  <c r="N405" i="1"/>
  <c r="O405" i="1"/>
  <c r="N406" i="1"/>
  <c r="O406" i="1"/>
  <c r="N407" i="1"/>
  <c r="O407" i="1"/>
  <c r="N408" i="1"/>
  <c r="O408" i="1"/>
  <c r="N409" i="1"/>
  <c r="O409" i="1"/>
  <c r="N410" i="1"/>
  <c r="O410" i="1"/>
  <c r="N193" i="1"/>
  <c r="O193" i="1"/>
  <c r="N297" i="1"/>
  <c r="O297" i="1"/>
  <c r="N413" i="1"/>
  <c r="O413" i="1"/>
  <c r="N736" i="1"/>
  <c r="O736" i="1"/>
  <c r="N674" i="1"/>
  <c r="O674" i="1"/>
  <c r="N614" i="1"/>
  <c r="O614" i="1"/>
  <c r="N868" i="1"/>
  <c r="O868" i="1"/>
  <c r="N869" i="1"/>
  <c r="O869" i="1"/>
  <c r="N870" i="1"/>
  <c r="O870" i="1"/>
  <c r="O871" i="1"/>
  <c r="N872" i="1"/>
  <c r="O872" i="1"/>
  <c r="N882" i="1"/>
  <c r="O882" i="1"/>
  <c r="N423" i="1"/>
  <c r="O423" i="1"/>
  <c r="N424" i="1"/>
  <c r="O424" i="1"/>
  <c r="N425" i="1"/>
  <c r="O425" i="1"/>
  <c r="N426" i="1"/>
  <c r="O426" i="1"/>
  <c r="N427" i="1"/>
  <c r="O427" i="1"/>
  <c r="N428" i="1"/>
  <c r="O428" i="1"/>
  <c r="N787" i="1"/>
  <c r="O787" i="1"/>
  <c r="N809" i="1"/>
  <c r="O809" i="1"/>
  <c r="N810" i="1"/>
  <c r="O810" i="1"/>
  <c r="N811" i="1"/>
  <c r="O811" i="1"/>
  <c r="N812" i="1"/>
  <c r="O812" i="1"/>
  <c r="N813" i="1"/>
  <c r="O813" i="1"/>
  <c r="N814" i="1"/>
  <c r="O814" i="1"/>
  <c r="N815" i="1"/>
  <c r="O815" i="1"/>
  <c r="N816" i="1"/>
  <c r="O816" i="1"/>
  <c r="N817" i="1"/>
  <c r="O817" i="1"/>
  <c r="N830" i="1"/>
  <c r="O830" i="1"/>
  <c r="N831" i="1"/>
  <c r="O831" i="1"/>
  <c r="N832" i="1"/>
  <c r="O832" i="1"/>
  <c r="N833" i="1"/>
  <c r="O833" i="1"/>
  <c r="N442" i="1"/>
  <c r="O442" i="1"/>
  <c r="N671" i="1"/>
  <c r="O672" i="1"/>
  <c r="N673" i="1"/>
  <c r="O673" i="1"/>
  <c r="N573" i="1"/>
  <c r="O573" i="1"/>
  <c r="N571" i="1"/>
  <c r="O571" i="1"/>
  <c r="N574" i="1"/>
  <c r="O574" i="1"/>
  <c r="N725" i="1"/>
  <c r="O725" i="1"/>
  <c r="N615" i="1"/>
  <c r="O615" i="1"/>
  <c r="N451" i="1"/>
  <c r="O451" i="1"/>
  <c r="N452" i="1"/>
  <c r="O452" i="1"/>
  <c r="N453" i="1"/>
  <c r="O453" i="1"/>
  <c r="N454" i="1"/>
  <c r="O454" i="1"/>
  <c r="N455" i="1"/>
  <c r="O455" i="1"/>
  <c r="N456" i="1"/>
  <c r="O456" i="1"/>
  <c r="N457" i="1"/>
  <c r="O457" i="1"/>
  <c r="N458" i="1"/>
  <c r="O458" i="1"/>
  <c r="N459" i="1"/>
  <c r="O459" i="1"/>
  <c r="N460" i="1"/>
  <c r="O460" i="1"/>
  <c r="N461" i="1"/>
  <c r="O461" i="1"/>
  <c r="N462" i="1"/>
  <c r="O462" i="1"/>
  <c r="N463" i="1"/>
  <c r="O463" i="1"/>
  <c r="N464" i="1"/>
  <c r="O464" i="1"/>
  <c r="N465" i="1"/>
  <c r="O465" i="1"/>
  <c r="N466" i="1"/>
  <c r="O466" i="1"/>
  <c r="N467" i="1"/>
  <c r="O467" i="1"/>
  <c r="N468" i="1"/>
  <c r="O468" i="1"/>
  <c r="N469" i="1"/>
  <c r="O469" i="1"/>
  <c r="N470" i="1"/>
  <c r="O470" i="1"/>
  <c r="N471" i="1"/>
  <c r="O471" i="1"/>
  <c r="N472" i="1"/>
  <c r="O472" i="1"/>
  <c r="N473" i="1"/>
  <c r="O473" i="1"/>
  <c r="N474" i="1"/>
  <c r="O474" i="1"/>
  <c r="N475" i="1"/>
  <c r="O475" i="1"/>
  <c r="N999" i="1"/>
  <c r="O999" i="1"/>
  <c r="N718" i="1"/>
  <c r="O718" i="1"/>
  <c r="N495" i="1"/>
  <c r="O495" i="1"/>
  <c r="N1298" i="1"/>
  <c r="O1298" i="1"/>
  <c r="N484" i="1"/>
  <c r="O484" i="1"/>
  <c r="N485" i="1"/>
  <c r="O485" i="1"/>
  <c r="N494" i="1"/>
  <c r="O494" i="1"/>
  <c r="N486" i="1"/>
  <c r="O486" i="1"/>
  <c r="N496" i="1"/>
  <c r="O496" i="1"/>
  <c r="N497" i="1"/>
  <c r="O497" i="1"/>
  <c r="N498" i="1"/>
  <c r="O498" i="1"/>
  <c r="N510" i="1"/>
  <c r="O510" i="1"/>
  <c r="N570" i="1"/>
  <c r="O570" i="1"/>
  <c r="N489" i="1"/>
  <c r="O489" i="1"/>
  <c r="N220" i="1"/>
  <c r="O220" i="1"/>
  <c r="N578" i="1"/>
  <c r="O578" i="1"/>
  <c r="N834" i="1"/>
  <c r="O834" i="1"/>
  <c r="N835" i="1"/>
  <c r="O835" i="1"/>
  <c r="N619" i="1"/>
  <c r="O619" i="1"/>
  <c r="N645" i="1"/>
  <c r="O645" i="1"/>
  <c r="N662" i="1"/>
  <c r="O662" i="1"/>
  <c r="N667" i="1"/>
  <c r="O667" i="1"/>
  <c r="N668" i="1"/>
  <c r="O668" i="1"/>
  <c r="N499" i="1"/>
  <c r="O499" i="1"/>
  <c r="N500" i="1"/>
  <c r="O500" i="1"/>
  <c r="N669" i="1"/>
  <c r="O669" i="1"/>
  <c r="N1155" i="1"/>
  <c r="O1155" i="1"/>
  <c r="N564" i="1"/>
  <c r="O564" i="1"/>
  <c r="N1000" i="1"/>
  <c r="O1000" i="1"/>
  <c r="N723" i="1"/>
  <c r="O723" i="1"/>
  <c r="N720" i="1"/>
  <c r="O720" i="1"/>
  <c r="N507" i="1"/>
  <c r="O507" i="1"/>
  <c r="N508" i="1"/>
  <c r="O508" i="1"/>
  <c r="N509" i="1"/>
  <c r="O509" i="1"/>
  <c r="N613" i="1"/>
  <c r="O613" i="1"/>
  <c r="N511" i="1"/>
  <c r="O511" i="1"/>
  <c r="N512" i="1"/>
  <c r="O512" i="1"/>
  <c r="N513" i="1"/>
  <c r="O513" i="1"/>
  <c r="N514" i="1"/>
  <c r="O514" i="1"/>
  <c r="N515" i="1"/>
  <c r="O515" i="1"/>
  <c r="N516" i="1"/>
  <c r="O516" i="1"/>
  <c r="N517" i="1"/>
  <c r="O517" i="1"/>
  <c r="N518" i="1"/>
  <c r="O518" i="1"/>
  <c r="N519" i="1"/>
  <c r="O519" i="1"/>
  <c r="N520" i="1"/>
  <c r="O520" i="1"/>
  <c r="N521" i="1"/>
  <c r="O521" i="1"/>
  <c r="N522" i="1"/>
  <c r="O522" i="1"/>
  <c r="N523" i="1"/>
  <c r="O523" i="1"/>
  <c r="N524" i="1"/>
  <c r="O524" i="1"/>
  <c r="N525" i="1"/>
  <c r="O525" i="1"/>
  <c r="N526" i="1"/>
  <c r="O526" i="1"/>
  <c r="N527" i="1"/>
  <c r="O527" i="1"/>
  <c r="N528" i="1"/>
  <c r="O528" i="1"/>
  <c r="N529" i="1"/>
  <c r="O529" i="1"/>
  <c r="N530" i="1"/>
  <c r="O530" i="1"/>
  <c r="N531" i="1"/>
  <c r="O531" i="1"/>
  <c r="N532" i="1"/>
  <c r="O532" i="1"/>
  <c r="N533" i="1"/>
  <c r="O533" i="1"/>
  <c r="N534" i="1"/>
  <c r="O534" i="1"/>
  <c r="N535" i="1"/>
  <c r="O535" i="1"/>
  <c r="N536" i="1"/>
  <c r="O536" i="1"/>
  <c r="N537" i="1"/>
  <c r="O537" i="1"/>
  <c r="N538" i="1"/>
  <c r="O538" i="1"/>
  <c r="N539" i="1"/>
  <c r="O539" i="1"/>
  <c r="N540" i="1"/>
  <c r="O540" i="1"/>
  <c r="N541" i="1"/>
  <c r="O541" i="1"/>
  <c r="N542" i="1"/>
  <c r="O542" i="1"/>
  <c r="N543" i="1"/>
  <c r="O543" i="1"/>
  <c r="N544" i="1"/>
  <c r="O544" i="1"/>
  <c r="N545" i="1"/>
  <c r="O545" i="1"/>
  <c r="N546" i="1"/>
  <c r="O546" i="1"/>
  <c r="N547" i="1"/>
  <c r="O547" i="1"/>
  <c r="N548" i="1"/>
  <c r="O548" i="1"/>
  <c r="N549" i="1"/>
  <c r="O549" i="1"/>
  <c r="N550" i="1"/>
  <c r="O550" i="1"/>
  <c r="N551" i="1"/>
  <c r="O551" i="1"/>
  <c r="N552" i="1"/>
  <c r="O552" i="1"/>
  <c r="N553" i="1"/>
  <c r="O553" i="1"/>
  <c r="N554" i="1"/>
  <c r="O554" i="1"/>
  <c r="N555" i="1"/>
  <c r="O555" i="1"/>
  <c r="N556" i="1"/>
  <c r="O556" i="1"/>
  <c r="N557" i="1"/>
  <c r="O557" i="1"/>
  <c r="N558" i="1"/>
  <c r="O558" i="1"/>
  <c r="N559" i="1"/>
  <c r="O559" i="1"/>
  <c r="N560" i="1"/>
  <c r="O560" i="1"/>
  <c r="N561" i="1"/>
  <c r="O561" i="1"/>
  <c r="N562" i="1"/>
  <c r="O562" i="1"/>
  <c r="N563" i="1"/>
  <c r="O563" i="1"/>
  <c r="N1001" i="1"/>
  <c r="O1001" i="1"/>
  <c r="N1005" i="1"/>
  <c r="O1005" i="1"/>
  <c r="N568" i="1"/>
  <c r="O568" i="1"/>
  <c r="N289" i="1"/>
  <c r="O289" i="1"/>
  <c r="N569" i="1"/>
  <c r="O569" i="1"/>
  <c r="N359" i="1"/>
  <c r="O359" i="1"/>
  <c r="N420" i="1"/>
  <c r="O420" i="1"/>
  <c r="N421" i="1"/>
  <c r="O421" i="1"/>
  <c r="N422" i="1"/>
  <c r="O422" i="1"/>
  <c r="N446" i="1"/>
  <c r="O446" i="1"/>
  <c r="N447" i="1"/>
  <c r="O447" i="1"/>
  <c r="N448" i="1"/>
  <c r="O448" i="1"/>
  <c r="N487" i="1"/>
  <c r="O487" i="1"/>
  <c r="N488" i="1"/>
  <c r="O488" i="1"/>
  <c r="N491" i="1"/>
  <c r="O491" i="1"/>
  <c r="N579" i="1"/>
  <c r="O579" i="1"/>
  <c r="N580" i="1"/>
  <c r="O580" i="1"/>
  <c r="N581" i="1"/>
  <c r="O581" i="1"/>
  <c r="N37" i="1"/>
  <c r="N395" i="1"/>
  <c r="O395" i="1"/>
  <c r="N397" i="1"/>
  <c r="O397" i="1"/>
  <c r="N585" i="1"/>
  <c r="O585" i="1"/>
  <c r="N2" i="1"/>
  <c r="O2" i="1"/>
  <c r="N392" i="1"/>
  <c r="O392" i="1"/>
  <c r="N402" i="1"/>
  <c r="O402" i="1"/>
  <c r="N589" i="1"/>
  <c r="O589" i="1"/>
  <c r="N590" i="1"/>
  <c r="O590" i="1"/>
  <c r="N591" i="1"/>
  <c r="O591" i="1"/>
  <c r="N592" i="1"/>
  <c r="O592" i="1"/>
  <c r="N593" i="1"/>
  <c r="O593" i="1"/>
  <c r="N594" i="1"/>
  <c r="O594" i="1"/>
  <c r="N595" i="1"/>
  <c r="O595" i="1"/>
  <c r="N624" i="1"/>
  <c r="O624" i="1"/>
  <c r="N597" i="1"/>
  <c r="O597" i="1"/>
  <c r="N598" i="1"/>
  <c r="O598" i="1"/>
  <c r="N599" i="1"/>
  <c r="O599" i="1"/>
  <c r="N600" i="1"/>
  <c r="O600" i="1"/>
  <c r="N601" i="1"/>
  <c r="O601" i="1"/>
  <c r="N602" i="1"/>
  <c r="O602" i="1"/>
  <c r="N603" i="1"/>
  <c r="O603" i="1"/>
  <c r="N604" i="1"/>
  <c r="O604" i="1"/>
  <c r="N605" i="1"/>
  <c r="O605" i="1"/>
  <c r="N606" i="1"/>
  <c r="O606" i="1"/>
  <c r="N607" i="1"/>
  <c r="O607" i="1"/>
  <c r="N608" i="1"/>
  <c r="O608" i="1"/>
  <c r="N609" i="1"/>
  <c r="O609" i="1"/>
  <c r="N610" i="1"/>
  <c r="O610" i="1"/>
  <c r="N1158" i="1"/>
  <c r="O1158" i="1"/>
  <c r="N414" i="1"/>
  <c r="O414" i="1"/>
  <c r="N415" i="1"/>
  <c r="O415" i="1"/>
  <c r="N416" i="1"/>
  <c r="O416" i="1"/>
  <c r="N417" i="1"/>
  <c r="O417" i="1"/>
  <c r="N616" i="1"/>
  <c r="O616" i="1"/>
  <c r="N617" i="1"/>
  <c r="O617" i="1"/>
  <c r="N717" i="1"/>
  <c r="O717" i="1"/>
  <c r="N670" i="1"/>
  <c r="O670" i="1"/>
  <c r="N620" i="1"/>
  <c r="O620" i="1"/>
  <c r="N621" i="1"/>
  <c r="O621" i="1"/>
  <c r="N622" i="1"/>
  <c r="O622" i="1"/>
  <c r="N623" i="1"/>
  <c r="O623" i="1"/>
  <c r="N618" i="1"/>
  <c r="O618" i="1"/>
  <c r="N836" i="1"/>
  <c r="O836" i="1"/>
  <c r="N626" i="1"/>
  <c r="O626" i="1"/>
  <c r="N627" i="1"/>
  <c r="O627" i="1"/>
  <c r="N628" i="1"/>
  <c r="O628" i="1"/>
  <c r="N629" i="1"/>
  <c r="O629" i="1"/>
  <c r="N630" i="1"/>
  <c r="O630" i="1"/>
  <c r="N631" i="1"/>
  <c r="O631" i="1"/>
  <c r="N632" i="1"/>
  <c r="O632" i="1"/>
  <c r="N633" i="1"/>
  <c r="O633" i="1"/>
  <c r="N634" i="1"/>
  <c r="O634" i="1"/>
  <c r="N635" i="1"/>
  <c r="O635" i="1"/>
  <c r="N636" i="1"/>
  <c r="O636" i="1"/>
  <c r="N637" i="1"/>
  <c r="O637" i="1"/>
  <c r="N638" i="1"/>
  <c r="O638" i="1"/>
  <c r="N639" i="1"/>
  <c r="O639" i="1"/>
  <c r="N640" i="1"/>
  <c r="O640" i="1"/>
  <c r="N641" i="1"/>
  <c r="O641" i="1"/>
  <c r="N642" i="1"/>
  <c r="O642" i="1"/>
  <c r="N643" i="1"/>
  <c r="O643" i="1"/>
  <c r="N644" i="1"/>
  <c r="N361" i="1"/>
  <c r="O361" i="1"/>
  <c r="N362" i="1"/>
  <c r="O362" i="1"/>
  <c r="N647" i="1"/>
  <c r="O647" i="1"/>
  <c r="N648" i="1"/>
  <c r="O648" i="1"/>
  <c r="N649" i="1"/>
  <c r="O649" i="1"/>
  <c r="N650" i="1"/>
  <c r="O650" i="1"/>
  <c r="N651" i="1"/>
  <c r="O651" i="1"/>
  <c r="N652" i="1"/>
  <c r="O652" i="1"/>
  <c r="N653" i="1"/>
  <c r="O653" i="1"/>
  <c r="N654" i="1"/>
  <c r="O654" i="1"/>
  <c r="N655" i="1"/>
  <c r="O655" i="1"/>
  <c r="N656" i="1"/>
  <c r="O656" i="1"/>
  <c r="N657" i="1"/>
  <c r="O657" i="1"/>
  <c r="N666" i="1"/>
  <c r="O666" i="1"/>
  <c r="N659" i="1"/>
  <c r="O659" i="1"/>
  <c r="N478" i="1"/>
  <c r="O478" i="1"/>
  <c r="N479" i="1"/>
  <c r="O479" i="1"/>
  <c r="N480" i="1"/>
  <c r="O480" i="1"/>
  <c r="N481" i="1"/>
  <c r="O481" i="1"/>
  <c r="N482" i="1"/>
  <c r="O482" i="1"/>
  <c r="N363" i="1"/>
  <c r="O363" i="1"/>
  <c r="N364" i="1"/>
  <c r="O364" i="1"/>
  <c r="N365" i="1"/>
  <c r="O365" i="1"/>
  <c r="N366" i="1"/>
  <c r="O366" i="1"/>
  <c r="N367" i="1"/>
  <c r="O367" i="1"/>
  <c r="N381" i="1"/>
  <c r="O381" i="1"/>
  <c r="N383" i="1"/>
  <c r="O383" i="1"/>
  <c r="N384" i="1"/>
  <c r="O384" i="1"/>
  <c r="N444" i="1"/>
  <c r="O444" i="1"/>
  <c r="N445" i="1"/>
  <c r="O445" i="1"/>
  <c r="N398" i="1"/>
  <c r="O398" i="1"/>
  <c r="N675" i="1"/>
  <c r="O675" i="1"/>
  <c r="N837" i="1"/>
  <c r="O837" i="1"/>
  <c r="N677" i="1"/>
  <c r="N678" i="1"/>
  <c r="O678" i="1"/>
  <c r="N857" i="1"/>
  <c r="O857" i="1"/>
  <c r="N680" i="1"/>
  <c r="O680" i="1"/>
  <c r="N681" i="1"/>
  <c r="O681" i="1"/>
  <c r="N191" i="1"/>
  <c r="O191" i="1"/>
  <c r="N192" i="1"/>
  <c r="O192" i="1"/>
  <c r="N190" i="1"/>
  <c r="O190" i="1"/>
  <c r="N683" i="1"/>
  <c r="O683" i="1"/>
  <c r="N684" i="1"/>
  <c r="O684" i="1"/>
  <c r="N685" i="1"/>
  <c r="O685" i="1"/>
  <c r="N686" i="1"/>
  <c r="O686" i="1"/>
  <c r="N687" i="1"/>
  <c r="O687" i="1"/>
  <c r="N688" i="1"/>
  <c r="O688" i="1"/>
  <c r="N689" i="1"/>
  <c r="O689" i="1"/>
  <c r="N690" i="1"/>
  <c r="O690" i="1"/>
  <c r="N691" i="1"/>
  <c r="O691" i="1"/>
  <c r="N692" i="1"/>
  <c r="O692" i="1"/>
  <c r="N693" i="1"/>
  <c r="O693" i="1"/>
  <c r="N858" i="1"/>
  <c r="O858" i="1"/>
  <c r="N695" i="1"/>
  <c r="O695" i="1"/>
  <c r="N660" i="1"/>
  <c r="O660" i="1"/>
  <c r="N697" i="1"/>
  <c r="O697" i="1"/>
  <c r="N83" i="1"/>
  <c r="O83" i="1"/>
  <c r="N859" i="1"/>
  <c r="O859" i="1"/>
  <c r="N860" i="1"/>
  <c r="O860" i="1"/>
  <c r="N701" i="1"/>
  <c r="O701" i="1"/>
  <c r="N702" i="1"/>
  <c r="O702" i="1"/>
  <c r="N703" i="1"/>
  <c r="O703" i="1"/>
  <c r="N704" i="1"/>
  <c r="O704" i="1"/>
  <c r="N705" i="1"/>
  <c r="O705" i="1"/>
  <c r="N706" i="1"/>
  <c r="O706" i="1"/>
  <c r="N707" i="1"/>
  <c r="O707" i="1"/>
  <c r="N708" i="1"/>
  <c r="O708" i="1"/>
  <c r="N709" i="1"/>
  <c r="O709" i="1"/>
  <c r="N710" i="1"/>
  <c r="O710" i="1"/>
  <c r="N711" i="1"/>
  <c r="O711" i="1"/>
  <c r="N861" i="1"/>
  <c r="O861" i="1"/>
  <c r="N862" i="1"/>
  <c r="O862" i="1"/>
  <c r="N863" i="1"/>
  <c r="O863" i="1"/>
  <c r="N864" i="1"/>
  <c r="O864" i="1"/>
  <c r="N722" i="1"/>
  <c r="O722" i="1"/>
  <c r="N716" i="1"/>
  <c r="O716" i="1"/>
  <c r="N565" i="1"/>
  <c r="O565" i="1"/>
  <c r="N596" i="1"/>
  <c r="O596" i="1"/>
  <c r="N1003" i="1"/>
  <c r="O1003" i="1"/>
  <c r="N719" i="1"/>
  <c r="O719" i="1"/>
  <c r="N611" i="1"/>
  <c r="O611" i="1"/>
  <c r="N721" i="1"/>
  <c r="O721" i="1"/>
  <c r="N724" i="1"/>
  <c r="O724" i="1"/>
  <c r="N572" i="1"/>
  <c r="O572" i="1"/>
  <c r="N726" i="1"/>
  <c r="O726" i="1"/>
  <c r="N727" i="1"/>
  <c r="O727" i="1"/>
  <c r="N728" i="1"/>
  <c r="O728" i="1"/>
  <c r="N729" i="1"/>
  <c r="O729" i="1"/>
  <c r="N730" i="1"/>
  <c r="O730" i="1"/>
  <c r="N731" i="1"/>
  <c r="O731" i="1"/>
  <c r="N732" i="1"/>
  <c r="O732" i="1"/>
  <c r="N733" i="1"/>
  <c r="O733" i="1"/>
  <c r="N865" i="1"/>
  <c r="O865" i="1"/>
  <c r="N735" i="1"/>
  <c r="O735" i="1"/>
  <c r="N483" i="1"/>
  <c r="O483" i="1"/>
  <c r="N388" i="1"/>
  <c r="O388" i="1"/>
  <c r="N737" i="1"/>
  <c r="O737" i="1"/>
  <c r="N738" i="1"/>
  <c r="O738" i="1"/>
  <c r="N739" i="1"/>
  <c r="O739" i="1"/>
  <c r="N740" i="1"/>
  <c r="O740" i="1"/>
  <c r="N741" i="1"/>
  <c r="O741" i="1"/>
  <c r="N742" i="1"/>
  <c r="O742" i="1"/>
  <c r="N743" i="1"/>
  <c r="O743" i="1"/>
  <c r="N744" i="1"/>
  <c r="O744" i="1"/>
  <c r="N745" i="1"/>
  <c r="O745" i="1"/>
  <c r="N746" i="1"/>
  <c r="O746" i="1"/>
  <c r="N747" i="1"/>
  <c r="O747" i="1"/>
  <c r="N748" i="1"/>
  <c r="O748" i="1"/>
  <c r="N749" i="1"/>
  <c r="O749" i="1"/>
  <c r="N750" i="1"/>
  <c r="O750" i="1"/>
  <c r="N751" i="1"/>
  <c r="O751" i="1"/>
  <c r="N752" i="1"/>
  <c r="O752" i="1"/>
  <c r="N753" i="1"/>
  <c r="O753" i="1"/>
  <c r="N754" i="1"/>
  <c r="O754" i="1"/>
  <c r="N755" i="1"/>
  <c r="O755" i="1"/>
  <c r="N756" i="1"/>
  <c r="O756" i="1"/>
  <c r="N757" i="1"/>
  <c r="O757" i="1"/>
  <c r="N758" i="1"/>
  <c r="O758" i="1"/>
  <c r="N759" i="1"/>
  <c r="O759" i="1"/>
  <c r="N760" i="1"/>
  <c r="O760" i="1"/>
  <c r="N761" i="1"/>
  <c r="O761" i="1"/>
  <c r="N762" i="1"/>
  <c r="O762" i="1"/>
  <c r="N763" i="1"/>
  <c r="O763" i="1"/>
  <c r="N764" i="1"/>
  <c r="O764" i="1"/>
  <c r="N765" i="1"/>
  <c r="O765" i="1"/>
  <c r="N766" i="1"/>
  <c r="O766" i="1"/>
  <c r="N767" i="1"/>
  <c r="O767" i="1"/>
  <c r="N768" i="1"/>
  <c r="O768" i="1"/>
  <c r="N769" i="1"/>
  <c r="O769" i="1"/>
  <c r="N770" i="1"/>
  <c r="O770" i="1"/>
  <c r="N771" i="1"/>
  <c r="O771" i="1"/>
  <c r="N772" i="1"/>
  <c r="O772" i="1"/>
  <c r="N773" i="1"/>
  <c r="O773" i="1"/>
  <c r="N774" i="1"/>
  <c r="O774" i="1"/>
  <c r="N775" i="1"/>
  <c r="O775" i="1"/>
  <c r="N776" i="1"/>
  <c r="O776" i="1"/>
  <c r="N777" i="1"/>
  <c r="O777" i="1"/>
  <c r="N778" i="1"/>
  <c r="O778" i="1"/>
  <c r="N779" i="1"/>
  <c r="O779" i="1"/>
  <c r="N780" i="1"/>
  <c r="O780" i="1"/>
  <c r="N781" i="1"/>
  <c r="O781" i="1"/>
  <c r="N782" i="1"/>
  <c r="O782" i="1"/>
  <c r="N79" i="1"/>
  <c r="O79" i="1"/>
  <c r="N82" i="1"/>
  <c r="O82" i="1"/>
  <c r="N81" i="1"/>
  <c r="O81" i="1"/>
  <c r="N38" i="1"/>
  <c r="O38" i="1"/>
  <c r="N866" i="1"/>
  <c r="O866" i="1"/>
  <c r="N788" i="1"/>
  <c r="O788" i="1"/>
  <c r="N789" i="1"/>
  <c r="O789" i="1"/>
  <c r="N385" i="1"/>
  <c r="O385" i="1"/>
  <c r="N791" i="1"/>
  <c r="O791" i="1"/>
  <c r="N792" i="1"/>
  <c r="O792" i="1"/>
  <c r="N793" i="1"/>
  <c r="O793" i="1"/>
  <c r="N794" i="1"/>
  <c r="O794" i="1"/>
  <c r="N795" i="1"/>
  <c r="O795" i="1"/>
  <c r="N796" i="1"/>
  <c r="O796" i="1"/>
  <c r="N797" i="1"/>
  <c r="O797" i="1"/>
  <c r="N798" i="1"/>
  <c r="O798" i="1"/>
  <c r="N799" i="1"/>
  <c r="O799" i="1"/>
  <c r="N800" i="1"/>
  <c r="O800" i="1"/>
  <c r="N801" i="1"/>
  <c r="O801" i="1"/>
  <c r="N802" i="1"/>
  <c r="O802" i="1"/>
  <c r="N279" i="1"/>
  <c r="O279" i="1"/>
  <c r="N280" i="1"/>
  <c r="O280" i="1"/>
  <c r="N805" i="1"/>
  <c r="O805" i="1"/>
  <c r="N806" i="1"/>
  <c r="O806" i="1"/>
  <c r="N807" i="1"/>
  <c r="O807" i="1"/>
  <c r="N808" i="1"/>
  <c r="O808" i="1"/>
  <c r="N41" i="1"/>
  <c r="O41" i="1"/>
  <c r="N42" i="1"/>
  <c r="O42" i="1"/>
  <c r="N44" i="1"/>
  <c r="O44" i="1"/>
  <c r="N45" i="1"/>
  <c r="O45" i="1"/>
  <c r="N78" i="1"/>
  <c r="O78" i="1"/>
  <c r="N39" i="1"/>
  <c r="O39" i="1"/>
  <c r="N40" i="1"/>
  <c r="O40" i="1"/>
  <c r="N879" i="1"/>
  <c r="O879" i="1"/>
  <c r="N880" i="1"/>
  <c r="O880" i="1"/>
  <c r="N1157" i="1"/>
  <c r="O1157" i="1"/>
  <c r="O819" i="1"/>
  <c r="N294" i="1"/>
  <c r="O294" i="1"/>
  <c r="N293" i="1"/>
  <c r="O293" i="1"/>
  <c r="N295" i="1"/>
  <c r="O295" i="1"/>
  <c r="N1301" i="1"/>
  <c r="O1301" i="1"/>
  <c r="N820" i="1"/>
  <c r="O820" i="1"/>
  <c r="N821" i="1"/>
  <c r="O821" i="1"/>
  <c r="N822" i="1"/>
  <c r="O822" i="1"/>
  <c r="N823" i="1"/>
  <c r="O823" i="1"/>
  <c r="N443" i="1"/>
  <c r="O443" i="1"/>
  <c r="N449" i="1"/>
  <c r="O449" i="1"/>
  <c r="N450" i="1"/>
  <c r="O450" i="1"/>
  <c r="N582" i="1"/>
  <c r="O582" i="1"/>
  <c r="N803" i="1"/>
  <c r="O803" i="1"/>
  <c r="N829" i="1"/>
  <c r="O829" i="1"/>
  <c r="N30" i="1"/>
  <c r="O30" i="1"/>
  <c r="N881" i="1"/>
  <c r="O881" i="1"/>
  <c r="N884" i="1"/>
  <c r="O884" i="1"/>
  <c r="N987" i="1"/>
  <c r="O987" i="1"/>
  <c r="N988" i="1"/>
  <c r="O988" i="1"/>
  <c r="N991" i="1"/>
  <c r="O991" i="1"/>
  <c r="N992" i="1"/>
  <c r="O992" i="1"/>
  <c r="N993" i="1"/>
  <c r="O993" i="1"/>
  <c r="N1002" i="1"/>
  <c r="O1002" i="1"/>
  <c r="N839" i="1"/>
  <c r="O839" i="1"/>
  <c r="N840" i="1"/>
  <c r="O840" i="1"/>
  <c r="N841" i="1"/>
  <c r="O841" i="1"/>
  <c r="N842" i="1"/>
  <c r="O842" i="1"/>
  <c r="N843" i="1"/>
  <c r="O843" i="1"/>
  <c r="N844" i="1"/>
  <c r="O844" i="1"/>
  <c r="N845" i="1"/>
  <c r="O845" i="1"/>
  <c r="N846" i="1"/>
  <c r="O846" i="1"/>
  <c r="N847" i="1"/>
  <c r="O847" i="1"/>
  <c r="N848" i="1"/>
  <c r="O848" i="1"/>
  <c r="N804" i="1"/>
  <c r="O804" i="1"/>
  <c r="N824" i="1"/>
  <c r="O824" i="1"/>
  <c r="N825" i="1"/>
  <c r="O825" i="1"/>
  <c r="N826" i="1"/>
  <c r="O826" i="1"/>
  <c r="N851" i="1"/>
  <c r="O851" i="1"/>
  <c r="N852" i="1"/>
  <c r="O852" i="1"/>
  <c r="N853" i="1"/>
  <c r="O853" i="1"/>
  <c r="N854" i="1"/>
  <c r="O854" i="1"/>
  <c r="N855" i="1"/>
  <c r="O855" i="1"/>
  <c r="N856" i="1"/>
  <c r="O856" i="1"/>
  <c r="N994" i="1"/>
  <c r="O994" i="1"/>
  <c r="N995" i="1"/>
  <c r="O995" i="1"/>
  <c r="N27" i="1"/>
  <c r="O27" i="1"/>
  <c r="N19" i="1"/>
  <c r="O19" i="1"/>
  <c r="N18" i="1"/>
  <c r="O18" i="1"/>
  <c r="N20" i="1"/>
  <c r="O20" i="1"/>
  <c r="N996" i="1"/>
  <c r="O996" i="1"/>
  <c r="N997" i="1"/>
  <c r="O997" i="1"/>
  <c r="N1039" i="1"/>
  <c r="O1039" i="1"/>
  <c r="N1080" i="1"/>
  <c r="O1080" i="1"/>
  <c r="N867" i="1"/>
  <c r="O867" i="1"/>
  <c r="N369" i="1"/>
  <c r="O369" i="1"/>
  <c r="N370" i="1"/>
  <c r="O370" i="1"/>
  <c r="N399" i="1"/>
  <c r="O399" i="1"/>
  <c r="N418" i="1"/>
  <c r="O418" i="1"/>
  <c r="N419" i="1"/>
  <c r="O419" i="1"/>
  <c r="N873" i="1"/>
  <c r="O873" i="1"/>
  <c r="N874" i="1"/>
  <c r="O874" i="1"/>
  <c r="N875" i="1"/>
  <c r="O875" i="1"/>
  <c r="N876" i="1"/>
  <c r="O876" i="1"/>
  <c r="N877" i="1"/>
  <c r="O877" i="1"/>
  <c r="N878" i="1"/>
  <c r="O878" i="1"/>
  <c r="N1096" i="1"/>
  <c r="O1096" i="1"/>
  <c r="N1097" i="1"/>
  <c r="O1097" i="1"/>
  <c r="N1098" i="1"/>
  <c r="O1098" i="1"/>
  <c r="N286" i="1"/>
  <c r="O286" i="1"/>
  <c r="N290" i="1"/>
  <c r="O290" i="1"/>
  <c r="N368" i="1"/>
  <c r="O368" i="1"/>
  <c r="N883" i="1"/>
  <c r="O883" i="1"/>
  <c r="N1101" i="1"/>
  <c r="O1101" i="1"/>
  <c r="N885" i="1"/>
  <c r="O885" i="1"/>
  <c r="N1172" i="1"/>
  <c r="O1172" i="1"/>
  <c r="N1253" i="1"/>
  <c r="O1253" i="1"/>
  <c r="N888" i="1"/>
  <c r="O888" i="1"/>
  <c r="N889" i="1"/>
  <c r="O889" i="1"/>
  <c r="N890" i="1"/>
  <c r="O890" i="1"/>
  <c r="N891" i="1"/>
  <c r="O891" i="1"/>
  <c r="N892" i="1"/>
  <c r="O892" i="1"/>
  <c r="N893" i="1"/>
  <c r="O893" i="1"/>
  <c r="N894" i="1"/>
  <c r="O894" i="1"/>
  <c r="N895" i="1"/>
  <c r="O895" i="1"/>
  <c r="N896" i="1"/>
  <c r="O896" i="1"/>
  <c r="N897" i="1"/>
  <c r="O897" i="1"/>
  <c r="N898" i="1"/>
  <c r="O898" i="1"/>
  <c r="N899" i="1"/>
  <c r="O899" i="1"/>
  <c r="N900" i="1"/>
  <c r="O900" i="1"/>
  <c r="N901" i="1"/>
  <c r="O901" i="1"/>
  <c r="N902" i="1"/>
  <c r="O902" i="1"/>
  <c r="N903" i="1"/>
  <c r="O903" i="1"/>
  <c r="N904" i="1"/>
  <c r="O904" i="1"/>
  <c r="N905" i="1"/>
  <c r="O905" i="1"/>
  <c r="N906" i="1"/>
  <c r="O906" i="1"/>
  <c r="N907" i="1"/>
  <c r="O907" i="1"/>
  <c r="N908" i="1"/>
  <c r="O908" i="1"/>
  <c r="N909" i="1"/>
  <c r="O909" i="1"/>
  <c r="N910" i="1"/>
  <c r="O910" i="1"/>
  <c r="N911" i="1"/>
  <c r="O911" i="1"/>
  <c r="N912" i="1"/>
  <c r="O912" i="1"/>
  <c r="N913" i="1"/>
  <c r="O913" i="1"/>
  <c r="N914" i="1"/>
  <c r="O914" i="1"/>
  <c r="N915" i="1"/>
  <c r="O915" i="1"/>
  <c r="N916" i="1"/>
  <c r="O916" i="1"/>
  <c r="N917" i="1"/>
  <c r="O917" i="1"/>
  <c r="N918" i="1"/>
  <c r="O918" i="1"/>
  <c r="N919" i="1"/>
  <c r="O919" i="1"/>
  <c r="N920" i="1"/>
  <c r="O920" i="1"/>
  <c r="N921" i="1"/>
  <c r="O921" i="1"/>
  <c r="N922" i="1"/>
  <c r="O922" i="1"/>
  <c r="N923" i="1"/>
  <c r="O923" i="1"/>
  <c r="N924" i="1"/>
  <c r="O924" i="1"/>
  <c r="N925" i="1"/>
  <c r="O925" i="1"/>
  <c r="N926" i="1"/>
  <c r="O926" i="1"/>
  <c r="N927" i="1"/>
  <c r="O927" i="1"/>
  <c r="N928" i="1"/>
  <c r="O928" i="1"/>
  <c r="N929" i="1"/>
  <c r="O929" i="1"/>
  <c r="N930" i="1"/>
  <c r="O930" i="1"/>
  <c r="N931" i="1"/>
  <c r="O931" i="1"/>
  <c r="N932" i="1"/>
  <c r="O932" i="1"/>
  <c r="N933" i="1"/>
  <c r="O933" i="1"/>
  <c r="N934" i="1"/>
  <c r="O934" i="1"/>
  <c r="N935" i="1"/>
  <c r="O935" i="1"/>
  <c r="N936" i="1"/>
  <c r="O936" i="1"/>
  <c r="N937" i="1"/>
  <c r="O937" i="1"/>
  <c r="N938" i="1"/>
  <c r="O938" i="1"/>
  <c r="N939" i="1"/>
  <c r="O939" i="1"/>
  <c r="N940" i="1"/>
  <c r="O940" i="1"/>
  <c r="N941" i="1"/>
  <c r="O941" i="1"/>
  <c r="N942" i="1"/>
  <c r="O942" i="1"/>
  <c r="N943" i="1"/>
  <c r="O943" i="1"/>
  <c r="N944" i="1"/>
  <c r="O944" i="1"/>
  <c r="N945" i="1"/>
  <c r="O945" i="1"/>
  <c r="N946" i="1"/>
  <c r="O946" i="1"/>
  <c r="N947" i="1"/>
  <c r="O947" i="1"/>
  <c r="N948" i="1"/>
  <c r="O948" i="1"/>
  <c r="N949" i="1"/>
  <c r="O949" i="1"/>
  <c r="N950" i="1"/>
  <c r="O950" i="1"/>
  <c r="N951" i="1"/>
  <c r="O951" i="1"/>
  <c r="N952" i="1"/>
  <c r="O952" i="1"/>
  <c r="N953" i="1"/>
  <c r="O953" i="1"/>
  <c r="N954" i="1"/>
  <c r="O954" i="1"/>
  <c r="N955" i="1"/>
  <c r="O955" i="1"/>
  <c r="N956" i="1"/>
  <c r="O956" i="1"/>
  <c r="N957" i="1"/>
  <c r="O957" i="1"/>
  <c r="N958" i="1"/>
  <c r="O958" i="1"/>
  <c r="N959" i="1"/>
  <c r="O959" i="1"/>
  <c r="N960" i="1"/>
  <c r="O960" i="1"/>
  <c r="N961" i="1"/>
  <c r="O961" i="1"/>
  <c r="N962" i="1"/>
  <c r="O962" i="1"/>
  <c r="N963" i="1"/>
  <c r="O963" i="1"/>
  <c r="N964" i="1"/>
  <c r="O964" i="1"/>
  <c r="N965" i="1"/>
  <c r="O965" i="1"/>
  <c r="N966" i="1"/>
  <c r="O966" i="1"/>
  <c r="N967" i="1"/>
  <c r="O967" i="1"/>
  <c r="N968" i="1"/>
  <c r="O968" i="1"/>
  <c r="N969" i="1"/>
  <c r="O969" i="1"/>
  <c r="N970" i="1"/>
  <c r="O970" i="1"/>
  <c r="N971" i="1"/>
  <c r="O971" i="1"/>
  <c r="N972" i="1"/>
  <c r="O972" i="1"/>
  <c r="N973" i="1"/>
  <c r="O973" i="1"/>
  <c r="N974" i="1"/>
  <c r="O974" i="1"/>
  <c r="N975" i="1"/>
  <c r="O975" i="1"/>
  <c r="N976" i="1"/>
  <c r="O976" i="1"/>
  <c r="N977" i="1"/>
  <c r="O977" i="1"/>
  <c r="N978" i="1"/>
  <c r="O978" i="1"/>
  <c r="N979" i="1"/>
  <c r="O979" i="1"/>
  <c r="N980" i="1"/>
  <c r="O980" i="1"/>
  <c r="N981" i="1"/>
  <c r="O981" i="1"/>
  <c r="N982" i="1"/>
  <c r="O982" i="1"/>
  <c r="N983" i="1"/>
  <c r="O983" i="1"/>
  <c r="N984" i="1"/>
  <c r="O984" i="1"/>
  <c r="N985" i="1"/>
  <c r="O985" i="1"/>
  <c r="N986" i="1"/>
  <c r="O986" i="1"/>
  <c r="N1161" i="1"/>
  <c r="O1161" i="1"/>
  <c r="N1170" i="1"/>
  <c r="O1170" i="1"/>
  <c r="N989" i="1"/>
  <c r="O989" i="1"/>
  <c r="N990" i="1"/>
  <c r="O990" i="1"/>
  <c r="N1179" i="1"/>
  <c r="O1179" i="1"/>
  <c r="N1206" i="1"/>
  <c r="O1206" i="1"/>
  <c r="N1222" i="1"/>
  <c r="O1222" i="1"/>
  <c r="N1241" i="1"/>
  <c r="O1241" i="1"/>
  <c r="N1243" i="1"/>
  <c r="O1243" i="1"/>
  <c r="N1244" i="1"/>
  <c r="O1244" i="1"/>
  <c r="N1245" i="1"/>
  <c r="O1245" i="1"/>
  <c r="N506" i="1"/>
  <c r="O506" i="1"/>
  <c r="N502" i="1"/>
  <c r="O502" i="1"/>
  <c r="N503" i="1"/>
  <c r="O503" i="1"/>
  <c r="N504" i="1"/>
  <c r="O504" i="1"/>
  <c r="N476" i="1"/>
  <c r="O476" i="1"/>
  <c r="N567" i="1"/>
  <c r="O567" i="1"/>
  <c r="N292" i="1"/>
  <c r="O292" i="1"/>
  <c r="N477" i="1"/>
  <c r="O477" i="1"/>
  <c r="N1006" i="1"/>
  <c r="O1006" i="1"/>
  <c r="N1007" i="1"/>
  <c r="O1007" i="1"/>
  <c r="N1008" i="1"/>
  <c r="O1008" i="1"/>
  <c r="N1009" i="1"/>
  <c r="O1009" i="1"/>
  <c r="N1010" i="1"/>
  <c r="O1010" i="1"/>
  <c r="N1011" i="1"/>
  <c r="O1011" i="1"/>
  <c r="N1012" i="1"/>
  <c r="O1012" i="1"/>
  <c r="N1013" i="1"/>
  <c r="O1013" i="1"/>
  <c r="N1014" i="1"/>
  <c r="O1014" i="1"/>
  <c r="N1015" i="1"/>
  <c r="O1015" i="1"/>
  <c r="N287" i="1"/>
  <c r="O287" i="1"/>
  <c r="N288" i="1"/>
  <c r="O288" i="1"/>
  <c r="N300" i="1"/>
  <c r="O300" i="1"/>
  <c r="N1353" i="1"/>
  <c r="O1353" i="1"/>
  <c r="N386" i="1"/>
  <c r="O386" i="1"/>
  <c r="N1021" i="1"/>
  <c r="O1021" i="1"/>
  <c r="N1022" i="1"/>
  <c r="O1022" i="1"/>
  <c r="N1023" i="1"/>
  <c r="O1023" i="1"/>
  <c r="N1024" i="1"/>
  <c r="O1024" i="1"/>
  <c r="N1025" i="1"/>
  <c r="O1025" i="1"/>
  <c r="N1026" i="1"/>
  <c r="O1026" i="1"/>
  <c r="N1027" i="1"/>
  <c r="O1027" i="1"/>
  <c r="N1028" i="1"/>
  <c r="O1028" i="1"/>
  <c r="N12" i="1"/>
  <c r="O12" i="1"/>
  <c r="N13" i="1"/>
  <c r="O13" i="1"/>
  <c r="N1029" i="1"/>
  <c r="O1029" i="1"/>
  <c r="N1030" i="1"/>
  <c r="O1030" i="1"/>
  <c r="N1031" i="1"/>
  <c r="O1031" i="1"/>
  <c r="N1032" i="1"/>
  <c r="O1032" i="1"/>
  <c r="N1033" i="1"/>
  <c r="O1033" i="1"/>
  <c r="N1034" i="1"/>
  <c r="O1034" i="1"/>
  <c r="N1035" i="1"/>
  <c r="O1035" i="1"/>
  <c r="N1036" i="1"/>
  <c r="O1036" i="1"/>
  <c r="N1037" i="1"/>
  <c r="O1037" i="1"/>
  <c r="N1038" i="1"/>
  <c r="O1038" i="1"/>
  <c r="N1246" i="1"/>
  <c r="O1246" i="1"/>
  <c r="N1334" i="1"/>
  <c r="O1334" i="1"/>
  <c r="N1041" i="1"/>
  <c r="O1041" i="1"/>
  <c r="N1042" i="1"/>
  <c r="O1042" i="1"/>
  <c r="N1043" i="1"/>
  <c r="O1043" i="1"/>
  <c r="N1044" i="1"/>
  <c r="O1044" i="1"/>
  <c r="N1045" i="1"/>
  <c r="O1045" i="1"/>
  <c r="N1046" i="1"/>
  <c r="O1046" i="1"/>
  <c r="N1047" i="1"/>
  <c r="O1047" i="1"/>
  <c r="N1048" i="1"/>
  <c r="O1048" i="1"/>
  <c r="N1049" i="1"/>
  <c r="O1049" i="1"/>
  <c r="N1050" i="1"/>
  <c r="O1050" i="1"/>
  <c r="N1051" i="1"/>
  <c r="O1051" i="1"/>
  <c r="N1052" i="1"/>
  <c r="O1052" i="1"/>
  <c r="N1053" i="1"/>
  <c r="O1053" i="1"/>
  <c r="N1054" i="1"/>
  <c r="O1054" i="1"/>
  <c r="N1055" i="1"/>
  <c r="O1055" i="1"/>
  <c r="N1056" i="1"/>
  <c r="O1056" i="1"/>
  <c r="N1057" i="1"/>
  <c r="O1057" i="1"/>
  <c r="N1058" i="1"/>
  <c r="O1058" i="1"/>
  <c r="N1059" i="1"/>
  <c r="O1059" i="1"/>
  <c r="N1060" i="1"/>
  <c r="O1060" i="1"/>
  <c r="N1061" i="1"/>
  <c r="O1061" i="1"/>
  <c r="N1062" i="1"/>
  <c r="O1062" i="1"/>
  <c r="N1063" i="1"/>
  <c r="O1063" i="1"/>
  <c r="N1064" i="1"/>
  <c r="O1064" i="1"/>
  <c r="N1065" i="1"/>
  <c r="O1065" i="1"/>
  <c r="N1066" i="1"/>
  <c r="O1066" i="1"/>
  <c r="N1067" i="1"/>
  <c r="O1067" i="1"/>
  <c r="N1068" i="1"/>
  <c r="O1068" i="1"/>
  <c r="N1069" i="1"/>
  <c r="O1069" i="1"/>
  <c r="N1070" i="1"/>
  <c r="O1070" i="1"/>
  <c r="N1071" i="1"/>
  <c r="O1071" i="1"/>
  <c r="N1072" i="1"/>
  <c r="O1072" i="1"/>
  <c r="N1073" i="1"/>
  <c r="O1073" i="1"/>
  <c r="N1016" i="1"/>
  <c r="O1016" i="1"/>
  <c r="N1017" i="1"/>
  <c r="O1017" i="1"/>
  <c r="N1018" i="1"/>
  <c r="O1018" i="1"/>
  <c r="N1019" i="1"/>
  <c r="O1019" i="1"/>
  <c r="N1078" i="1"/>
  <c r="O1078" i="1"/>
  <c r="N1020" i="1"/>
  <c r="O1020" i="1"/>
  <c r="N1247" i="1"/>
  <c r="O1247" i="1"/>
  <c r="N1074" i="1"/>
  <c r="O1074" i="1"/>
  <c r="N1075" i="1"/>
  <c r="O1075" i="1"/>
  <c r="N1076" i="1"/>
  <c r="O1076" i="1"/>
  <c r="N14" i="1"/>
  <c r="O14" i="1"/>
  <c r="N15" i="1"/>
  <c r="O15" i="1"/>
  <c r="N16" i="1"/>
  <c r="O16" i="1"/>
  <c r="N17" i="1"/>
  <c r="O17" i="1"/>
  <c r="N1084" i="1"/>
  <c r="O1084" i="1"/>
  <c r="N1085" i="1"/>
  <c r="O1085" i="1"/>
  <c r="N1086" i="1"/>
  <c r="O1086" i="1"/>
  <c r="N1087" i="1"/>
  <c r="O1087" i="1"/>
  <c r="N1088" i="1"/>
  <c r="O1088" i="1"/>
  <c r="N1089" i="1"/>
  <c r="O1089" i="1"/>
  <c r="N1090" i="1"/>
  <c r="O1090" i="1"/>
  <c r="N1091" i="1"/>
  <c r="O1091" i="1"/>
  <c r="N1092" i="1"/>
  <c r="O1092" i="1"/>
  <c r="N1093" i="1"/>
  <c r="O1093" i="1"/>
  <c r="N1094" i="1"/>
  <c r="O1094" i="1"/>
  <c r="N490" i="1"/>
  <c r="O490" i="1"/>
  <c r="N1095" i="1"/>
  <c r="O1095" i="1"/>
  <c r="N1254" i="1"/>
  <c r="O1254" i="1"/>
  <c r="N1255" i="1"/>
  <c r="O1255" i="1"/>
  <c r="N152" i="1"/>
  <c r="O152" i="1"/>
  <c r="N492" i="1"/>
  <c r="O492" i="1"/>
  <c r="N493" i="1"/>
  <c r="O493" i="1"/>
  <c r="N1099" i="1"/>
  <c r="O1099" i="1"/>
  <c r="N1100" i="1"/>
  <c r="O1100" i="1"/>
  <c r="N1256" i="1"/>
  <c r="O1256" i="1"/>
  <c r="N1373" i="1"/>
  <c r="O1373" i="1"/>
  <c r="N1102" i="1"/>
  <c r="O1102" i="1"/>
  <c r="N1393" i="1"/>
  <c r="O1393" i="1"/>
  <c r="N1103" i="1"/>
  <c r="O1103" i="1"/>
  <c r="N21" i="1"/>
  <c r="O21" i="1"/>
  <c r="N22" i="1"/>
  <c r="O22" i="1"/>
  <c r="N1106" i="1"/>
  <c r="O1106" i="1"/>
  <c r="N1107" i="1"/>
  <c r="O1107" i="1"/>
  <c r="N23" i="1"/>
  <c r="O23" i="1"/>
  <c r="N1108" i="1"/>
  <c r="O1108" i="1"/>
  <c r="N1109" i="1"/>
  <c r="O1109" i="1"/>
  <c r="N1110" i="1"/>
  <c r="O1110" i="1"/>
  <c r="N1111" i="1"/>
  <c r="O1111" i="1"/>
  <c r="N24" i="1"/>
  <c r="O24" i="1"/>
  <c r="N1112" i="1"/>
  <c r="O1112" i="1"/>
  <c r="N1113" i="1"/>
  <c r="O1113" i="1"/>
  <c r="N1114" i="1"/>
  <c r="O1114" i="1"/>
  <c r="N25" i="1"/>
  <c r="O25" i="1"/>
  <c r="N1115" i="1"/>
  <c r="O1115" i="1"/>
  <c r="N1116" i="1"/>
  <c r="O1116" i="1"/>
  <c r="N26" i="1"/>
  <c r="O26" i="1"/>
  <c r="N1117" i="1"/>
  <c r="O1117" i="1"/>
  <c r="N1118" i="1"/>
  <c r="O1118" i="1"/>
  <c r="N1119" i="1"/>
  <c r="O1119" i="1"/>
  <c r="N1120" i="1"/>
  <c r="O1120" i="1"/>
  <c r="N1121" i="1"/>
  <c r="O1121" i="1"/>
  <c r="N1122" i="1"/>
  <c r="O1122" i="1"/>
  <c r="N1123" i="1"/>
  <c r="O1123" i="1"/>
  <c r="N1124" i="1"/>
  <c r="O1124" i="1"/>
  <c r="N583" i="1"/>
  <c r="O583" i="1"/>
  <c r="N1125" i="1"/>
  <c r="O1125" i="1"/>
  <c r="N1126" i="1"/>
  <c r="O1126" i="1"/>
  <c r="N1127" i="1"/>
  <c r="O1127" i="1"/>
  <c r="N1128" i="1"/>
  <c r="O1128" i="1"/>
  <c r="N1129" i="1"/>
  <c r="O1129" i="1"/>
  <c r="N1077" i="1"/>
  <c r="O1077" i="1"/>
  <c r="N1131" i="1"/>
  <c r="O1131" i="1"/>
  <c r="N1132" i="1"/>
  <c r="O1132" i="1"/>
  <c r="N1133" i="1"/>
  <c r="O1133" i="1"/>
  <c r="N1134" i="1"/>
  <c r="O1134" i="1"/>
  <c r="N1079" i="1"/>
  <c r="O1079" i="1"/>
  <c r="N1081" i="1"/>
  <c r="O1081" i="1"/>
  <c r="N1082" i="1"/>
  <c r="O1082" i="1"/>
  <c r="N1083" i="1"/>
  <c r="O1083" i="1"/>
  <c r="N1130" i="1"/>
  <c r="O1130" i="1"/>
  <c r="N1135" i="1"/>
  <c r="O1135" i="1"/>
  <c r="N1136" i="1"/>
  <c r="O1136" i="1"/>
  <c r="N1137" i="1"/>
  <c r="O1137" i="1"/>
  <c r="N1143" i="1"/>
  <c r="O1143" i="1"/>
  <c r="N1138" i="1"/>
  <c r="O1138" i="1"/>
  <c r="N1139" i="1"/>
  <c r="O1139" i="1"/>
  <c r="N1146" i="1"/>
  <c r="O1146" i="1"/>
  <c r="N1147" i="1"/>
  <c r="O1147" i="1"/>
  <c r="N1148" i="1"/>
  <c r="O1148" i="1"/>
  <c r="N1149" i="1"/>
  <c r="O1149" i="1"/>
  <c r="N1150" i="1"/>
  <c r="O1150" i="1"/>
  <c r="N1151" i="1"/>
  <c r="O1151" i="1"/>
  <c r="N1167" i="1"/>
  <c r="O1167" i="1"/>
  <c r="N29" i="1"/>
  <c r="O29" i="1"/>
  <c r="N1152" i="1"/>
  <c r="O1152" i="1"/>
  <c r="N1153" i="1"/>
  <c r="O1153" i="1"/>
  <c r="N1154" i="1"/>
  <c r="O1154" i="1"/>
  <c r="N305" i="1"/>
  <c r="O305" i="1"/>
  <c r="N1159" i="1"/>
  <c r="O1159" i="1"/>
  <c r="N1156" i="1"/>
  <c r="O1156" i="1"/>
  <c r="N566" i="1"/>
  <c r="O566" i="1"/>
  <c r="N838" i="1"/>
  <c r="O838" i="1"/>
  <c r="N1004" i="1"/>
  <c r="O1004" i="1"/>
  <c r="N1160" i="1"/>
  <c r="O1160" i="1"/>
  <c r="N382" i="1"/>
  <c r="O382" i="1"/>
  <c r="N1162" i="1"/>
  <c r="O1162" i="1"/>
  <c r="N1163" i="1"/>
  <c r="O1163" i="1"/>
  <c r="N1164" i="1"/>
  <c r="O1164" i="1"/>
  <c r="N1165" i="1"/>
  <c r="O1165" i="1"/>
  <c r="N1166" i="1"/>
  <c r="O1166" i="1"/>
  <c r="N1168" i="1"/>
  <c r="O1168" i="1"/>
  <c r="N1169" i="1"/>
  <c r="O1169" i="1"/>
  <c r="N1205" i="1"/>
  <c r="O1205" i="1"/>
  <c r="N1257" i="1"/>
  <c r="O1257" i="1"/>
  <c r="N1171" i="1"/>
  <c r="O1171" i="1"/>
  <c r="N886" i="1"/>
  <c r="O886" i="1"/>
  <c r="N1173" i="1"/>
  <c r="O1173" i="1"/>
  <c r="N31" i="1"/>
  <c r="O31" i="1"/>
  <c r="N1174" i="1"/>
  <c r="O1174" i="1"/>
  <c r="N1175" i="1"/>
  <c r="O1175" i="1"/>
  <c r="N1176" i="1"/>
  <c r="O1176" i="1"/>
  <c r="N1177" i="1"/>
  <c r="O1177" i="1"/>
  <c r="N1178" i="1"/>
  <c r="O1178" i="1"/>
  <c r="N661" i="1"/>
  <c r="O661" i="1"/>
  <c r="N1258" i="1"/>
  <c r="O1258" i="1"/>
  <c r="N664" i="1"/>
  <c r="O664" i="1"/>
  <c r="N1181" i="1"/>
  <c r="O1181" i="1"/>
  <c r="N1182" i="1"/>
  <c r="O1182" i="1"/>
  <c r="N1183" i="1"/>
  <c r="O1183" i="1"/>
  <c r="N1184" i="1"/>
  <c r="O1184" i="1"/>
  <c r="N1185" i="1"/>
  <c r="O1185" i="1"/>
  <c r="N1186" i="1"/>
  <c r="O1186" i="1"/>
  <c r="N1187" i="1"/>
  <c r="O1187" i="1"/>
  <c r="N1188" i="1"/>
  <c r="O1188" i="1"/>
  <c r="N1189" i="1"/>
  <c r="O1189" i="1"/>
  <c r="N1190" i="1"/>
  <c r="O1190" i="1"/>
  <c r="N1191" i="1"/>
  <c r="O1191" i="1"/>
  <c r="N1192" i="1"/>
  <c r="O1192" i="1"/>
  <c r="N1193" i="1"/>
  <c r="O1193" i="1"/>
  <c r="N33" i="1"/>
  <c r="O33" i="1"/>
  <c r="N34" i="1"/>
  <c r="O34" i="1"/>
  <c r="N35" i="1"/>
  <c r="O35" i="1"/>
  <c r="N665" i="1"/>
  <c r="O665" i="1"/>
  <c r="N3" i="1"/>
  <c r="O3" i="1"/>
  <c r="N4" i="1"/>
  <c r="O4" i="1"/>
  <c r="N5" i="1"/>
  <c r="O5" i="1"/>
  <c r="N6" i="1"/>
  <c r="O6" i="1"/>
  <c r="N7" i="1"/>
  <c r="O7" i="1"/>
  <c r="N8" i="1"/>
  <c r="O8" i="1"/>
  <c r="N658" i="1"/>
  <c r="O658" i="1"/>
  <c r="N584" i="1"/>
  <c r="O584" i="1"/>
  <c r="N587" i="1"/>
  <c r="O587" i="1"/>
  <c r="N1369" i="1"/>
  <c r="O1369" i="1"/>
  <c r="N1195" i="1"/>
  <c r="O1195" i="1"/>
  <c r="N10" i="1"/>
  <c r="O10" i="1"/>
  <c r="N1196" i="1"/>
  <c r="O1196" i="1"/>
  <c r="N1197" i="1"/>
  <c r="O1197" i="1"/>
  <c r="N47" i="1"/>
  <c r="O47" i="1"/>
  <c r="N1199" i="1"/>
  <c r="O1199" i="1"/>
  <c r="N54" i="1"/>
  <c r="O54" i="1"/>
  <c r="N55" i="1"/>
  <c r="O55" i="1"/>
  <c r="N56" i="1"/>
  <c r="O56" i="1"/>
  <c r="N57" i="1"/>
  <c r="O57" i="1"/>
  <c r="N58" i="1"/>
  <c r="O58" i="1"/>
  <c r="N59" i="1"/>
  <c r="O59" i="1"/>
  <c r="N1200" i="1"/>
  <c r="O1200" i="1"/>
  <c r="N60" i="1"/>
  <c r="O60" i="1"/>
  <c r="N61" i="1"/>
  <c r="O61" i="1"/>
  <c r="N62" i="1"/>
  <c r="O62" i="1"/>
  <c r="N63" i="1"/>
  <c r="O63" i="1"/>
  <c r="N64" i="1"/>
  <c r="O64" i="1"/>
  <c r="N65" i="1"/>
  <c r="O65" i="1"/>
  <c r="O1201" i="1"/>
  <c r="N66" i="1"/>
  <c r="O66" i="1"/>
  <c r="N67" i="1"/>
  <c r="O67" i="1"/>
  <c r="N68" i="1"/>
  <c r="O68" i="1"/>
  <c r="N69" i="1"/>
  <c r="O69" i="1"/>
  <c r="N70" i="1"/>
  <c r="O70" i="1"/>
  <c r="N71" i="1"/>
  <c r="O71" i="1"/>
  <c r="N72" i="1"/>
  <c r="O72" i="1"/>
  <c r="N849" i="1"/>
  <c r="O849" i="1"/>
  <c r="N1203" i="1"/>
  <c r="O1203" i="1"/>
  <c r="N73" i="1"/>
  <c r="O73" i="1"/>
  <c r="N74" i="1"/>
  <c r="O74" i="1"/>
  <c r="N75" i="1"/>
  <c r="O75" i="1"/>
  <c r="N76" i="1"/>
  <c r="O76" i="1"/>
  <c r="N77" i="1"/>
  <c r="O77" i="1"/>
  <c r="N1204" i="1"/>
  <c r="O1204" i="1"/>
  <c r="N612" i="1"/>
  <c r="O612" i="1"/>
  <c r="N1415" i="1"/>
  <c r="O1415" i="1"/>
  <c r="N80" i="1"/>
  <c r="O80" i="1"/>
  <c r="N391" i="1"/>
  <c r="O391" i="1"/>
  <c r="N99" i="1"/>
  <c r="O99" i="1"/>
  <c r="N1207" i="1"/>
  <c r="O1207" i="1"/>
  <c r="N1208" i="1"/>
  <c r="O1208" i="1"/>
  <c r="N1209" i="1"/>
  <c r="O1209" i="1"/>
  <c r="N1210" i="1"/>
  <c r="O1210" i="1"/>
  <c r="N1211" i="1"/>
  <c r="O1211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1305" i="1"/>
  <c r="K1319" i="1"/>
  <c r="K281" i="1"/>
  <c r="K282" i="1"/>
  <c r="K283" i="1"/>
  <c r="K284" i="1"/>
  <c r="K285" i="1"/>
  <c r="K663" i="1"/>
  <c r="K576" i="1"/>
  <c r="K577" i="1"/>
  <c r="K818" i="1"/>
  <c r="K1194" i="1"/>
  <c r="K291" i="1"/>
  <c r="K505" i="1"/>
  <c r="K696" i="1"/>
  <c r="K231" i="1"/>
  <c r="K1180" i="1"/>
  <c r="K296" i="1"/>
  <c r="K698" i="1"/>
  <c r="K298" i="1"/>
  <c r="K390" i="1"/>
  <c r="K1413" i="1"/>
  <c r="K301" i="1"/>
  <c r="K302" i="1"/>
  <c r="K303" i="1"/>
  <c r="K304" i="1"/>
  <c r="K389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699" i="1"/>
  <c r="K358" i="1"/>
  <c r="K998" i="1"/>
  <c r="K360" i="1"/>
  <c r="K1303" i="1"/>
  <c r="K1328" i="1"/>
  <c r="K157" i="1"/>
  <c r="K184" i="1"/>
  <c r="K158" i="1"/>
  <c r="K225" i="1"/>
  <c r="K210" i="1"/>
  <c r="K1374" i="1"/>
  <c r="K1376" i="1"/>
  <c r="K1377" i="1"/>
  <c r="K371" i="1"/>
  <c r="K372" i="1"/>
  <c r="K373" i="1"/>
  <c r="K374" i="1"/>
  <c r="K375" i="1"/>
  <c r="K376" i="1"/>
  <c r="K377" i="1"/>
  <c r="K378" i="1"/>
  <c r="K379" i="1"/>
  <c r="K380" i="1"/>
  <c r="K586" i="1"/>
  <c r="K252" i="1"/>
  <c r="K501" i="1"/>
  <c r="K646" i="1"/>
  <c r="K575" i="1"/>
  <c r="K790" i="1"/>
  <c r="K700" i="1"/>
  <c r="K1382" i="1"/>
  <c r="K712" i="1"/>
  <c r="K713" i="1"/>
  <c r="K714" i="1"/>
  <c r="K715" i="1"/>
  <c r="K734" i="1"/>
  <c r="K783" i="1"/>
  <c r="K784" i="1"/>
  <c r="K785" i="1"/>
  <c r="K786" i="1"/>
  <c r="K1379" i="1"/>
  <c r="K1380" i="1"/>
  <c r="K400" i="1"/>
  <c r="K299" i="1"/>
  <c r="K357" i="1"/>
  <c r="K403" i="1"/>
  <c r="K404" i="1"/>
  <c r="K405" i="1"/>
  <c r="K406" i="1"/>
  <c r="K407" i="1"/>
  <c r="K408" i="1"/>
  <c r="K409" i="1"/>
  <c r="K410" i="1"/>
  <c r="K193" i="1"/>
  <c r="K297" i="1"/>
  <c r="K413" i="1"/>
  <c r="K736" i="1"/>
  <c r="K674" i="1"/>
  <c r="K614" i="1"/>
  <c r="K868" i="1"/>
  <c r="K869" i="1"/>
  <c r="K870" i="1"/>
  <c r="K872" i="1"/>
  <c r="K882" i="1"/>
  <c r="K423" i="1"/>
  <c r="K424" i="1"/>
  <c r="K425" i="1"/>
  <c r="K426" i="1"/>
  <c r="K427" i="1"/>
  <c r="K428" i="1"/>
  <c r="K787" i="1"/>
  <c r="K809" i="1"/>
  <c r="K810" i="1"/>
  <c r="K811" i="1"/>
  <c r="K812" i="1"/>
  <c r="K813" i="1"/>
  <c r="K814" i="1"/>
  <c r="K815" i="1"/>
  <c r="K816" i="1"/>
  <c r="K817" i="1"/>
  <c r="K830" i="1"/>
  <c r="K831" i="1"/>
  <c r="K832" i="1"/>
  <c r="K833" i="1"/>
  <c r="K442" i="1"/>
  <c r="K671" i="1"/>
  <c r="K673" i="1"/>
  <c r="K573" i="1"/>
  <c r="K571" i="1"/>
  <c r="K574" i="1"/>
  <c r="K725" i="1"/>
  <c r="K615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999" i="1"/>
  <c r="K718" i="1"/>
  <c r="K495" i="1"/>
  <c r="K1298" i="1"/>
  <c r="K484" i="1"/>
  <c r="K485" i="1"/>
  <c r="K494" i="1"/>
  <c r="K486" i="1"/>
  <c r="K496" i="1"/>
  <c r="K497" i="1"/>
  <c r="K498" i="1"/>
  <c r="K510" i="1"/>
  <c r="K570" i="1"/>
  <c r="K489" i="1"/>
  <c r="K220" i="1"/>
  <c r="K578" i="1"/>
  <c r="K834" i="1"/>
  <c r="K835" i="1"/>
  <c r="K619" i="1"/>
  <c r="K645" i="1"/>
  <c r="K662" i="1"/>
  <c r="K667" i="1"/>
  <c r="K668" i="1"/>
  <c r="K499" i="1"/>
  <c r="K500" i="1"/>
  <c r="K669" i="1"/>
  <c r="K1155" i="1"/>
  <c r="K564" i="1"/>
  <c r="K1000" i="1"/>
  <c r="K723" i="1"/>
  <c r="K720" i="1"/>
  <c r="K507" i="1"/>
  <c r="K508" i="1"/>
  <c r="K509" i="1"/>
  <c r="K613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1001" i="1"/>
  <c r="K1005" i="1"/>
  <c r="K568" i="1"/>
  <c r="K289" i="1"/>
  <c r="K569" i="1"/>
  <c r="K359" i="1"/>
  <c r="K420" i="1"/>
  <c r="K421" i="1"/>
  <c r="K422" i="1"/>
  <c r="K446" i="1"/>
  <c r="K447" i="1"/>
  <c r="K448" i="1"/>
  <c r="K487" i="1"/>
  <c r="K488" i="1"/>
  <c r="K491" i="1"/>
  <c r="K579" i="1"/>
  <c r="K580" i="1"/>
  <c r="K581" i="1"/>
  <c r="K37" i="1"/>
  <c r="K395" i="1"/>
  <c r="K397" i="1"/>
  <c r="K585" i="1"/>
  <c r="K2" i="1"/>
  <c r="K392" i="1"/>
  <c r="K402" i="1"/>
  <c r="K589" i="1"/>
  <c r="K590" i="1"/>
  <c r="K591" i="1"/>
  <c r="K592" i="1"/>
  <c r="K593" i="1"/>
  <c r="K594" i="1"/>
  <c r="K595" i="1"/>
  <c r="K624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1158" i="1"/>
  <c r="K414" i="1"/>
  <c r="K415" i="1"/>
  <c r="K416" i="1"/>
  <c r="K417" i="1"/>
  <c r="K616" i="1"/>
  <c r="K617" i="1"/>
  <c r="K717" i="1"/>
  <c r="K670" i="1"/>
  <c r="K620" i="1"/>
  <c r="K621" i="1"/>
  <c r="K622" i="1"/>
  <c r="K623" i="1"/>
  <c r="K618" i="1"/>
  <c r="K836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361" i="1"/>
  <c r="K362" i="1"/>
  <c r="K647" i="1"/>
  <c r="K648" i="1"/>
  <c r="K649" i="1"/>
  <c r="K650" i="1"/>
  <c r="K651" i="1"/>
  <c r="K652" i="1"/>
  <c r="K653" i="1"/>
  <c r="K654" i="1"/>
  <c r="K655" i="1"/>
  <c r="K656" i="1"/>
  <c r="K657" i="1"/>
  <c r="K666" i="1"/>
  <c r="K659" i="1"/>
  <c r="K478" i="1"/>
  <c r="K479" i="1"/>
  <c r="K480" i="1"/>
  <c r="K481" i="1"/>
  <c r="K482" i="1"/>
  <c r="K363" i="1"/>
  <c r="K364" i="1"/>
  <c r="K365" i="1"/>
  <c r="K366" i="1"/>
  <c r="K367" i="1"/>
  <c r="K381" i="1"/>
  <c r="K383" i="1"/>
  <c r="K384" i="1"/>
  <c r="K444" i="1"/>
  <c r="K445" i="1"/>
  <c r="K398" i="1"/>
  <c r="K675" i="1"/>
  <c r="K837" i="1"/>
  <c r="K677" i="1"/>
  <c r="K678" i="1"/>
  <c r="K857" i="1"/>
  <c r="K680" i="1"/>
  <c r="K681" i="1"/>
  <c r="K191" i="1"/>
  <c r="K192" i="1"/>
  <c r="K190" i="1"/>
  <c r="K683" i="1"/>
  <c r="K684" i="1"/>
  <c r="K685" i="1"/>
  <c r="K686" i="1"/>
  <c r="K687" i="1"/>
  <c r="K688" i="1"/>
  <c r="K689" i="1"/>
  <c r="K690" i="1"/>
  <c r="K691" i="1"/>
  <c r="K692" i="1"/>
  <c r="K693" i="1"/>
  <c r="K858" i="1"/>
  <c r="K695" i="1"/>
  <c r="K660" i="1"/>
  <c r="K697" i="1"/>
  <c r="K83" i="1"/>
  <c r="K859" i="1"/>
  <c r="K860" i="1"/>
  <c r="K701" i="1"/>
  <c r="K702" i="1"/>
  <c r="K703" i="1"/>
  <c r="K704" i="1"/>
  <c r="K705" i="1"/>
  <c r="K706" i="1"/>
  <c r="K707" i="1"/>
  <c r="K708" i="1"/>
  <c r="K709" i="1"/>
  <c r="K710" i="1"/>
  <c r="K711" i="1"/>
  <c r="K861" i="1"/>
  <c r="K862" i="1"/>
  <c r="K863" i="1"/>
  <c r="K864" i="1"/>
  <c r="K722" i="1"/>
  <c r="K716" i="1"/>
  <c r="K565" i="1"/>
  <c r="K596" i="1"/>
  <c r="K1003" i="1"/>
  <c r="K719" i="1"/>
  <c r="K611" i="1"/>
  <c r="K721" i="1"/>
  <c r="K724" i="1"/>
  <c r="K572" i="1"/>
  <c r="K726" i="1"/>
  <c r="K727" i="1"/>
  <c r="K728" i="1"/>
  <c r="K729" i="1"/>
  <c r="K730" i="1"/>
  <c r="K731" i="1"/>
  <c r="K732" i="1"/>
  <c r="K733" i="1"/>
  <c r="K865" i="1"/>
  <c r="K735" i="1"/>
  <c r="K483" i="1"/>
  <c r="K388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9" i="1"/>
  <c r="K82" i="1"/>
  <c r="K81" i="1"/>
  <c r="K38" i="1"/>
  <c r="K866" i="1"/>
  <c r="K788" i="1"/>
  <c r="K789" i="1"/>
  <c r="K385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279" i="1"/>
  <c r="K280" i="1"/>
  <c r="K805" i="1"/>
  <c r="K806" i="1"/>
  <c r="K807" i="1"/>
  <c r="K808" i="1"/>
  <c r="K41" i="1"/>
  <c r="K42" i="1"/>
  <c r="K44" i="1"/>
  <c r="K45" i="1"/>
  <c r="K78" i="1"/>
  <c r="K39" i="1"/>
  <c r="K40" i="1"/>
  <c r="K879" i="1"/>
  <c r="K880" i="1"/>
  <c r="K1157" i="1"/>
  <c r="K294" i="1"/>
  <c r="K293" i="1"/>
  <c r="K295" i="1"/>
  <c r="K1301" i="1"/>
  <c r="K820" i="1"/>
  <c r="K821" i="1"/>
  <c r="K822" i="1"/>
  <c r="K823" i="1"/>
  <c r="K443" i="1"/>
  <c r="K449" i="1"/>
  <c r="K450" i="1"/>
  <c r="K582" i="1"/>
  <c r="K803" i="1"/>
  <c r="K829" i="1"/>
  <c r="K30" i="1"/>
  <c r="K881" i="1"/>
  <c r="K884" i="1"/>
  <c r="K987" i="1"/>
  <c r="K988" i="1"/>
  <c r="K991" i="1"/>
  <c r="K992" i="1"/>
  <c r="K993" i="1"/>
  <c r="K1002" i="1"/>
  <c r="K839" i="1"/>
  <c r="K840" i="1"/>
  <c r="K841" i="1"/>
  <c r="K842" i="1"/>
  <c r="K843" i="1"/>
  <c r="K844" i="1"/>
  <c r="K845" i="1"/>
  <c r="K846" i="1"/>
  <c r="K847" i="1"/>
  <c r="K848" i="1"/>
  <c r="K804" i="1"/>
  <c r="K824" i="1"/>
  <c r="K825" i="1"/>
  <c r="K826" i="1"/>
  <c r="K851" i="1"/>
  <c r="K852" i="1"/>
  <c r="K853" i="1"/>
  <c r="K854" i="1"/>
  <c r="K855" i="1"/>
  <c r="K856" i="1"/>
  <c r="K994" i="1"/>
  <c r="K995" i="1"/>
  <c r="K27" i="1"/>
  <c r="K19" i="1"/>
  <c r="K18" i="1"/>
  <c r="K20" i="1"/>
  <c r="K996" i="1"/>
  <c r="K997" i="1"/>
  <c r="K1039" i="1"/>
  <c r="K1080" i="1"/>
  <c r="K867" i="1"/>
  <c r="K369" i="1"/>
  <c r="K370" i="1"/>
  <c r="K399" i="1"/>
  <c r="K418" i="1"/>
  <c r="K419" i="1"/>
  <c r="K873" i="1"/>
  <c r="K874" i="1"/>
  <c r="K875" i="1"/>
  <c r="K876" i="1"/>
  <c r="K877" i="1"/>
  <c r="K878" i="1"/>
  <c r="K1096" i="1"/>
  <c r="K1097" i="1"/>
  <c r="K1098" i="1"/>
  <c r="K286" i="1"/>
  <c r="K290" i="1"/>
  <c r="K368" i="1"/>
  <c r="K883" i="1"/>
  <c r="K1101" i="1"/>
  <c r="K885" i="1"/>
  <c r="K1172" i="1"/>
  <c r="K1253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1161" i="1"/>
  <c r="K1170" i="1"/>
  <c r="K989" i="1"/>
  <c r="K990" i="1"/>
  <c r="K1179" i="1"/>
  <c r="K1206" i="1"/>
  <c r="K1222" i="1"/>
  <c r="K1241" i="1"/>
  <c r="K1243" i="1"/>
  <c r="K1244" i="1"/>
  <c r="K1245" i="1"/>
  <c r="K506" i="1"/>
  <c r="K502" i="1"/>
  <c r="K503" i="1"/>
  <c r="K504" i="1"/>
  <c r="K476" i="1"/>
  <c r="K567" i="1"/>
  <c r="K292" i="1"/>
  <c r="K477" i="1"/>
  <c r="K1006" i="1"/>
  <c r="K1007" i="1"/>
  <c r="K1008" i="1"/>
  <c r="K1009" i="1"/>
  <c r="K1010" i="1"/>
  <c r="K1011" i="1"/>
  <c r="K1012" i="1"/>
  <c r="K1013" i="1"/>
  <c r="K1014" i="1"/>
  <c r="K1015" i="1"/>
  <c r="K287" i="1"/>
  <c r="K288" i="1"/>
  <c r="K300" i="1"/>
  <c r="K1353" i="1"/>
  <c r="K386" i="1"/>
  <c r="K1021" i="1"/>
  <c r="K1022" i="1"/>
  <c r="K1023" i="1"/>
  <c r="K1024" i="1"/>
  <c r="K1025" i="1"/>
  <c r="K1026" i="1"/>
  <c r="K1027" i="1"/>
  <c r="K1028" i="1"/>
  <c r="K12" i="1"/>
  <c r="K13" i="1"/>
  <c r="K1029" i="1"/>
  <c r="K1030" i="1"/>
  <c r="K1031" i="1"/>
  <c r="K1032" i="1"/>
  <c r="K1033" i="1"/>
  <c r="K1034" i="1"/>
  <c r="K1035" i="1"/>
  <c r="K1036" i="1"/>
  <c r="K1037" i="1"/>
  <c r="K1038" i="1"/>
  <c r="K1246" i="1"/>
  <c r="K1334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16" i="1"/>
  <c r="K1017" i="1"/>
  <c r="K1018" i="1"/>
  <c r="K1019" i="1"/>
  <c r="K1078" i="1"/>
  <c r="K1020" i="1"/>
  <c r="K1247" i="1"/>
  <c r="K1074" i="1"/>
  <c r="K1075" i="1"/>
  <c r="K1076" i="1"/>
  <c r="K14" i="1"/>
  <c r="K15" i="1"/>
  <c r="K16" i="1"/>
  <c r="K17" i="1"/>
  <c r="K1084" i="1"/>
  <c r="K1085" i="1"/>
  <c r="K1086" i="1"/>
  <c r="K1087" i="1"/>
  <c r="K1088" i="1"/>
  <c r="K1089" i="1"/>
  <c r="K1090" i="1"/>
  <c r="K1091" i="1"/>
  <c r="K1092" i="1"/>
  <c r="K1093" i="1"/>
  <c r="K1094" i="1"/>
  <c r="K490" i="1"/>
  <c r="K1095" i="1"/>
  <c r="K1254" i="1"/>
  <c r="K1255" i="1"/>
  <c r="K152" i="1"/>
  <c r="K492" i="1"/>
  <c r="K493" i="1"/>
  <c r="K1099" i="1"/>
  <c r="K1100" i="1"/>
  <c r="K1256" i="1"/>
  <c r="K1373" i="1"/>
  <c r="K1102" i="1"/>
  <c r="K1393" i="1"/>
  <c r="K1103" i="1"/>
  <c r="K21" i="1"/>
  <c r="K22" i="1"/>
  <c r="K1106" i="1"/>
  <c r="K1107" i="1"/>
  <c r="K23" i="1"/>
  <c r="K1108" i="1"/>
  <c r="K1109" i="1"/>
  <c r="K1110" i="1"/>
  <c r="K1111" i="1"/>
  <c r="K24" i="1"/>
  <c r="K1112" i="1"/>
  <c r="K1113" i="1"/>
  <c r="K1114" i="1"/>
  <c r="K25" i="1"/>
  <c r="K1115" i="1"/>
  <c r="K1116" i="1"/>
  <c r="K26" i="1"/>
  <c r="K1117" i="1"/>
  <c r="K1118" i="1"/>
  <c r="K1119" i="1"/>
  <c r="K1120" i="1"/>
  <c r="K1121" i="1"/>
  <c r="K1122" i="1"/>
  <c r="K1123" i="1"/>
  <c r="K1124" i="1"/>
  <c r="K583" i="1"/>
  <c r="K1125" i="1"/>
  <c r="K1126" i="1"/>
  <c r="K1127" i="1"/>
  <c r="K1128" i="1"/>
  <c r="K1129" i="1"/>
  <c r="K1077" i="1"/>
  <c r="K1131" i="1"/>
  <c r="K1132" i="1"/>
  <c r="K1133" i="1"/>
  <c r="K1134" i="1"/>
  <c r="K1079" i="1"/>
  <c r="K1081" i="1"/>
  <c r="K1082" i="1"/>
  <c r="K1083" i="1"/>
  <c r="K1130" i="1"/>
  <c r="K1135" i="1"/>
  <c r="K1136" i="1"/>
  <c r="K1137" i="1"/>
  <c r="K1143" i="1"/>
  <c r="K1138" i="1"/>
  <c r="K1139" i="1"/>
  <c r="K1146" i="1"/>
  <c r="K1147" i="1"/>
  <c r="K1148" i="1"/>
  <c r="K1149" i="1"/>
  <c r="K1150" i="1"/>
  <c r="K1151" i="1"/>
  <c r="K1167" i="1"/>
  <c r="K29" i="1"/>
  <c r="K1152" i="1"/>
  <c r="K1153" i="1"/>
  <c r="K1154" i="1"/>
  <c r="K305" i="1"/>
  <c r="K1159" i="1"/>
  <c r="K1156" i="1"/>
  <c r="K566" i="1"/>
  <c r="K838" i="1"/>
  <c r="K1004" i="1"/>
  <c r="K1160" i="1"/>
  <c r="K382" i="1"/>
  <c r="K1162" i="1"/>
  <c r="K1163" i="1"/>
  <c r="K1164" i="1"/>
  <c r="K1165" i="1"/>
  <c r="K1166" i="1"/>
  <c r="K1168" i="1"/>
  <c r="K1169" i="1"/>
  <c r="K1205" i="1"/>
  <c r="K1257" i="1"/>
  <c r="K1171" i="1"/>
  <c r="K886" i="1"/>
  <c r="K1173" i="1"/>
  <c r="K31" i="1"/>
  <c r="K1174" i="1"/>
  <c r="K1175" i="1"/>
  <c r="K1176" i="1"/>
  <c r="K1177" i="1"/>
  <c r="K1178" i="1"/>
  <c r="K661" i="1"/>
  <c r="K1258" i="1"/>
  <c r="K664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33" i="1"/>
  <c r="K34" i="1"/>
  <c r="K35" i="1"/>
  <c r="K665" i="1"/>
  <c r="K3" i="1"/>
  <c r="K4" i="1"/>
  <c r="K5" i="1"/>
  <c r="K6" i="1"/>
  <c r="K7" i="1"/>
  <c r="K8" i="1"/>
  <c r="K658" i="1"/>
  <c r="K584" i="1"/>
  <c r="K587" i="1"/>
  <c r="K1369" i="1"/>
  <c r="K1195" i="1"/>
  <c r="K10" i="1"/>
  <c r="K1196" i="1"/>
  <c r="K1197" i="1"/>
  <c r="K47" i="1"/>
  <c r="K1199" i="1"/>
  <c r="K54" i="1"/>
  <c r="K55" i="1"/>
  <c r="K56" i="1"/>
  <c r="K57" i="1"/>
  <c r="K58" i="1"/>
  <c r="K59" i="1"/>
  <c r="K1200" i="1"/>
  <c r="K60" i="1"/>
  <c r="K61" i="1"/>
  <c r="K62" i="1"/>
  <c r="K63" i="1"/>
  <c r="K64" i="1"/>
  <c r="K65" i="1"/>
  <c r="K1201" i="1"/>
  <c r="K66" i="1"/>
  <c r="K67" i="1"/>
  <c r="K68" i="1"/>
  <c r="K69" i="1"/>
  <c r="K70" i="1"/>
  <c r="K71" i="1"/>
  <c r="K72" i="1"/>
  <c r="K849" i="1"/>
  <c r="K1203" i="1"/>
  <c r="K73" i="1"/>
  <c r="K74" i="1"/>
  <c r="K75" i="1"/>
  <c r="K76" i="1"/>
  <c r="K77" i="1"/>
  <c r="K1204" i="1"/>
  <c r="K612" i="1"/>
  <c r="K1415" i="1"/>
  <c r="K80" i="1"/>
  <c r="K391" i="1"/>
  <c r="K99" i="1"/>
  <c r="K1207" i="1"/>
  <c r="K1208" i="1"/>
  <c r="K1209" i="1"/>
  <c r="K1210" i="1"/>
  <c r="K1211" i="1"/>
  <c r="J415" i="3"/>
  <c r="K415" i="3"/>
  <c r="J414" i="3"/>
  <c r="K414" i="3"/>
  <c r="J413" i="3"/>
  <c r="J412" i="3"/>
  <c r="K412" i="3"/>
  <c r="J411" i="3"/>
  <c r="K411" i="3"/>
  <c r="J260" i="3"/>
  <c r="K260" i="3"/>
  <c r="J405" i="3"/>
  <c r="K405" i="3"/>
  <c r="J529" i="3"/>
  <c r="K529" i="3"/>
  <c r="J418" i="3"/>
  <c r="K418" i="3"/>
  <c r="J589" i="3"/>
  <c r="K589" i="3"/>
  <c r="J389" i="3"/>
  <c r="K389" i="3"/>
  <c r="J404" i="3"/>
  <c r="K404" i="3"/>
  <c r="J403" i="3"/>
  <c r="K403" i="3"/>
  <c r="J402" i="3"/>
  <c r="K402" i="3"/>
  <c r="K401" i="3"/>
  <c r="J401" i="3"/>
  <c r="K400" i="3"/>
  <c r="J400" i="3"/>
  <c r="K399" i="3"/>
  <c r="J399" i="3"/>
  <c r="K398" i="3"/>
  <c r="J398" i="3"/>
  <c r="K397" i="3"/>
  <c r="J397" i="3"/>
  <c r="J395" i="3"/>
  <c r="K395" i="3"/>
  <c r="J50" i="4"/>
  <c r="K50" i="4"/>
  <c r="J49" i="4"/>
  <c r="K49" i="4"/>
  <c r="J48" i="4"/>
  <c r="K48" i="4"/>
  <c r="J47" i="4"/>
  <c r="K47" i="4"/>
  <c r="J46" i="4"/>
  <c r="K46" i="4"/>
  <c r="J45" i="4"/>
  <c r="K45" i="4"/>
  <c r="J394" i="3"/>
  <c r="K394" i="3"/>
  <c r="J393" i="3"/>
  <c r="K393" i="3"/>
  <c r="J7" i="5"/>
  <c r="K7" i="5"/>
  <c r="J392" i="3"/>
  <c r="K392" i="3"/>
  <c r="J391" i="3"/>
  <c r="J562" i="3"/>
  <c r="K562" i="3"/>
  <c r="J585" i="3"/>
  <c r="K585" i="3"/>
  <c r="J495" i="3"/>
  <c r="K495" i="3"/>
  <c r="J257" i="3"/>
  <c r="K257" i="3"/>
  <c r="J458" i="3"/>
  <c r="K458" i="3"/>
  <c r="J143" i="3"/>
  <c r="K143" i="3"/>
  <c r="J261" i="3"/>
  <c r="K261" i="3"/>
  <c r="J595" i="3"/>
  <c r="K595" i="3"/>
  <c r="J382" i="3"/>
  <c r="K382" i="3"/>
  <c r="J514" i="3"/>
  <c r="K514" i="3"/>
  <c r="K406" i="3"/>
  <c r="J581" i="3"/>
  <c r="K581" i="3"/>
  <c r="J378" i="3"/>
  <c r="K378" i="3"/>
  <c r="J377" i="3"/>
  <c r="K377" i="3"/>
  <c r="J376" i="3"/>
  <c r="K376" i="3"/>
  <c r="J375" i="3"/>
  <c r="K375" i="3"/>
  <c r="J374" i="3"/>
  <c r="K374" i="3"/>
  <c r="J373" i="3"/>
  <c r="K373" i="3"/>
  <c r="K372" i="3"/>
  <c r="K370" i="3"/>
  <c r="J372" i="3"/>
  <c r="J371" i="3"/>
  <c r="K371" i="3"/>
  <c r="J44" i="4"/>
  <c r="K44" i="4"/>
  <c r="J370" i="3"/>
  <c r="J369" i="3"/>
  <c r="K369" i="3"/>
  <c r="J368" i="3"/>
  <c r="K368" i="3"/>
  <c r="J367" i="3"/>
  <c r="K367" i="3"/>
  <c r="J366" i="3"/>
  <c r="K366" i="3"/>
  <c r="J365" i="3"/>
  <c r="K365" i="3"/>
  <c r="J364" i="3"/>
  <c r="J363" i="3"/>
  <c r="K363" i="3"/>
  <c r="J18" i="6"/>
  <c r="K18" i="6"/>
  <c r="J362" i="3"/>
  <c r="K362" i="3"/>
  <c r="J361" i="3"/>
  <c r="K361" i="3"/>
  <c r="K360" i="3"/>
  <c r="J360" i="3"/>
  <c r="K359" i="3"/>
  <c r="J359" i="3"/>
  <c r="K358" i="3"/>
  <c r="J358" i="3"/>
  <c r="J357" i="3"/>
  <c r="K356" i="3"/>
  <c r="J356" i="3"/>
  <c r="K355" i="3"/>
  <c r="J355" i="3"/>
  <c r="K354" i="3"/>
  <c r="J354" i="3"/>
  <c r="K353" i="3"/>
  <c r="J353" i="3"/>
  <c r="K352" i="3"/>
  <c r="J352" i="3"/>
  <c r="K351" i="3"/>
  <c r="J351" i="3"/>
  <c r="K350" i="3"/>
  <c r="J350" i="3"/>
  <c r="K349" i="3"/>
  <c r="J349" i="3"/>
  <c r="J43" i="4"/>
  <c r="K43" i="4"/>
  <c r="K348" i="3"/>
  <c r="J347" i="3"/>
  <c r="K347" i="3"/>
  <c r="J346" i="3"/>
  <c r="K346" i="3"/>
  <c r="J345" i="3"/>
  <c r="K345" i="3"/>
  <c r="J344" i="3"/>
  <c r="K344" i="3"/>
  <c r="K343" i="3"/>
  <c r="J343" i="3"/>
  <c r="K42" i="4"/>
  <c r="J42" i="4"/>
  <c r="K342" i="3" l="1"/>
  <c r="J342" i="3"/>
  <c r="J341" i="3"/>
  <c r="K340" i="3"/>
  <c r="J340" i="3"/>
  <c r="K339" i="3"/>
  <c r="J339" i="3"/>
  <c r="K145" i="3"/>
  <c r="J145" i="3"/>
  <c r="K226" i="3"/>
  <c r="J226" i="3"/>
  <c r="K580" i="3"/>
  <c r="J580" i="3"/>
  <c r="K417" i="3"/>
  <c r="J417" i="3"/>
  <c r="K437" i="3"/>
  <c r="J437" i="3"/>
  <c r="K333" i="3"/>
  <c r="J333" i="3"/>
  <c r="K131" i="3"/>
  <c r="J131" i="3"/>
  <c r="K148" i="3"/>
  <c r="J148" i="3"/>
  <c r="K330" i="3"/>
  <c r="J330" i="3"/>
  <c r="K329" i="3"/>
  <c r="J329" i="3"/>
  <c r="K13" i="9"/>
  <c r="J13" i="9"/>
  <c r="K328" i="3"/>
  <c r="J328" i="3"/>
  <c r="K327" i="3"/>
  <c r="J327" i="3"/>
  <c r="K326" i="3"/>
  <c r="J326" i="3"/>
  <c r="K325" i="3"/>
  <c r="J325" i="3"/>
  <c r="K324" i="3" l="1"/>
  <c r="J324" i="3"/>
  <c r="K41" i="4"/>
  <c r="J41" i="4"/>
  <c r="K14" i="7"/>
  <c r="J14" i="7"/>
  <c r="K17" i="6"/>
  <c r="J17" i="6"/>
  <c r="K323" i="3"/>
  <c r="K322" i="3"/>
  <c r="J322" i="3"/>
  <c r="K321" i="3"/>
  <c r="J321" i="3"/>
  <c r="K320" i="3"/>
  <c r="J320" i="3"/>
  <c r="K319" i="3"/>
  <c r="J319" i="3"/>
  <c r="K318" i="3"/>
  <c r="J318" i="3"/>
  <c r="K317" i="3"/>
  <c r="J317" i="3"/>
  <c r="K316" i="3"/>
  <c r="J316" i="3"/>
  <c r="K315" i="3"/>
  <c r="J315" i="3"/>
  <c r="K314" i="3"/>
  <c r="J314" i="3"/>
  <c r="K313" i="3"/>
  <c r="J313" i="3"/>
  <c r="K312" i="3"/>
  <c r="J312" i="3"/>
  <c r="K40" i="4"/>
  <c r="J40" i="4"/>
  <c r="J12" i="9" l="1"/>
  <c r="K12" i="9"/>
  <c r="J311" i="3"/>
  <c r="K311" i="3"/>
  <c r="M85" i="3"/>
  <c r="M96" i="3"/>
  <c r="M207" i="3"/>
  <c r="M286" i="3"/>
  <c r="M310" i="3"/>
  <c r="J310" i="3"/>
  <c r="K310" i="3"/>
  <c r="J309" i="3"/>
  <c r="K309" i="3"/>
  <c r="J308" i="3"/>
  <c r="J307" i="3"/>
  <c r="K307" i="3"/>
  <c r="J335" i="3"/>
  <c r="K335" i="3"/>
  <c r="J132" i="3"/>
  <c r="K132" i="3"/>
  <c r="J593" i="3"/>
  <c r="K593" i="3"/>
  <c r="J331" i="3"/>
  <c r="K331" i="3"/>
  <c r="K519" i="3"/>
  <c r="J519" i="3"/>
  <c r="J129" i="3"/>
  <c r="K129" i="3"/>
  <c r="J290" i="3"/>
  <c r="K290" i="3"/>
  <c r="J416" i="3"/>
  <c r="K416" i="3"/>
  <c r="J264" i="3"/>
  <c r="K264" i="3"/>
  <c r="J564" i="3"/>
  <c r="K564" i="3"/>
  <c r="J306" i="3"/>
  <c r="K306" i="3"/>
  <c r="J299" i="3"/>
  <c r="J300" i="3"/>
  <c r="J301" i="3"/>
  <c r="J302" i="3"/>
  <c r="J303" i="3"/>
  <c r="J304" i="3"/>
  <c r="J305" i="3"/>
  <c r="K299" i="3"/>
  <c r="K300" i="3"/>
  <c r="K301" i="3"/>
  <c r="K302" i="3"/>
  <c r="K303" i="3"/>
  <c r="K304" i="3"/>
  <c r="K305" i="3"/>
  <c r="J298" i="3"/>
  <c r="K298" i="3"/>
  <c r="J287" i="3"/>
  <c r="K287" i="3"/>
  <c r="J286" i="3"/>
  <c r="K286" i="3"/>
  <c r="J285" i="3"/>
  <c r="J284" i="3"/>
  <c r="K284" i="3"/>
  <c r="J297" i="3"/>
  <c r="K297" i="3"/>
  <c r="J296" i="3"/>
  <c r="K296" i="3"/>
  <c r="J295" i="3"/>
  <c r="K295" i="3"/>
  <c r="J294" i="3"/>
  <c r="K294" i="3"/>
  <c r="J293" i="3"/>
  <c r="K293" i="3"/>
  <c r="J278" i="3"/>
  <c r="K278" i="3"/>
  <c r="J277" i="3"/>
  <c r="K277" i="3"/>
  <c r="J276" i="3"/>
  <c r="K276" i="3"/>
  <c r="J275" i="3"/>
  <c r="K275" i="3"/>
  <c r="J274" i="3"/>
  <c r="K274" i="3"/>
  <c r="J259" i="3"/>
  <c r="K259" i="3"/>
  <c r="K258" i="3"/>
  <c r="J258" i="3"/>
  <c r="J271" i="3"/>
  <c r="K271" i="3"/>
  <c r="J270" i="3"/>
  <c r="J16" i="6"/>
  <c r="K16" i="6"/>
  <c r="J269" i="3"/>
  <c r="K269" i="3"/>
  <c r="J268" i="3"/>
  <c r="K268" i="3"/>
  <c r="J446" i="3"/>
  <c r="K446" i="3"/>
  <c r="J282" i="3"/>
  <c r="K282" i="3"/>
  <c r="J561" i="3"/>
  <c r="K561" i="3"/>
  <c r="J170" i="3"/>
  <c r="K170" i="3"/>
  <c r="J586" i="3"/>
  <c r="K586" i="3"/>
  <c r="J262" i="3"/>
  <c r="J336" i="3"/>
  <c r="K336" i="3"/>
  <c r="J265" i="3"/>
  <c r="K265" i="3"/>
  <c r="J384" i="3"/>
  <c r="K384" i="3"/>
  <c r="J504" i="3"/>
  <c r="K504" i="3"/>
  <c r="J203" i="3"/>
  <c r="K203" i="3"/>
  <c r="J263" i="3"/>
  <c r="K263" i="3"/>
  <c r="J255" i="3"/>
  <c r="K255" i="3"/>
  <c r="K694" i="1"/>
  <c r="J254" i="3"/>
  <c r="K254" i="3"/>
  <c r="K253" i="3"/>
  <c r="J253" i="3"/>
  <c r="J251" i="3"/>
  <c r="K250" i="3"/>
  <c r="J250" i="3"/>
  <c r="H249" i="3"/>
  <c r="J249" i="3" s="1"/>
  <c r="K249" i="3"/>
  <c r="H248" i="3"/>
  <c r="J248" i="3" s="1"/>
  <c r="K248" i="3"/>
  <c r="J247" i="3"/>
  <c r="J246" i="3"/>
  <c r="J245" i="3"/>
  <c r="J39" i="4"/>
  <c r="K39" i="4"/>
  <c r="J38" i="4"/>
  <c r="K38" i="4"/>
  <c r="J244" i="3"/>
  <c r="J243" i="3"/>
  <c r="J242" i="3"/>
  <c r="K242" i="3"/>
  <c r="J241" i="3"/>
  <c r="J240" i="3"/>
  <c r="J239" i="3"/>
  <c r="K239" i="3"/>
  <c r="J238" i="3"/>
  <c r="K238" i="3"/>
  <c r="J281" i="3"/>
  <c r="J592" i="3"/>
  <c r="K6" i="17"/>
  <c r="K4" i="17"/>
  <c r="J37" i="4"/>
  <c r="K37" i="4"/>
  <c r="J36" i="4"/>
  <c r="K36" i="4"/>
  <c r="J235" i="3"/>
  <c r="K235" i="3"/>
  <c r="J234" i="3"/>
  <c r="K234" i="3"/>
  <c r="J233" i="3"/>
  <c r="J232" i="3"/>
  <c r="J231" i="3"/>
  <c r="K231" i="3"/>
  <c r="J230" i="3"/>
  <c r="J229" i="3"/>
  <c r="J228" i="3"/>
  <c r="J214" i="3"/>
  <c r="K214" i="3"/>
  <c r="J590" i="3"/>
  <c r="K590" i="3"/>
  <c r="J225" i="3"/>
  <c r="J5" i="14"/>
  <c r="K5" i="14"/>
  <c r="J13" i="7"/>
  <c r="K13" i="7"/>
  <c r="J12" i="7"/>
  <c r="K12" i="7"/>
  <c r="K4" i="16"/>
  <c r="J4" i="16"/>
  <c r="K3" i="16"/>
  <c r="J3" i="16"/>
  <c r="J6" i="8"/>
  <c r="K6" i="8"/>
  <c r="J5" i="8"/>
  <c r="K5" i="8"/>
  <c r="J11" i="9"/>
  <c r="K11" i="9"/>
  <c r="J10" i="9"/>
  <c r="K10" i="9"/>
  <c r="K35" i="4"/>
  <c r="J34" i="4"/>
  <c r="K34" i="4"/>
  <c r="J224" i="3"/>
  <c r="K224" i="3"/>
  <c r="J223" i="3"/>
  <c r="K223" i="3"/>
  <c r="J222" i="3"/>
  <c r="K222" i="3"/>
  <c r="J221" i="3"/>
  <c r="K221" i="3"/>
  <c r="J220" i="3"/>
  <c r="K220" i="3"/>
  <c r="J219" i="3"/>
  <c r="J33" i="4"/>
  <c r="J218" i="3"/>
  <c r="J217" i="3"/>
  <c r="K217" i="3"/>
  <c r="J216" i="3"/>
  <c r="J215" i="3"/>
  <c r="J9" i="9"/>
  <c r="J32" i="4"/>
  <c r="K32" i="4"/>
  <c r="J15" i="6"/>
  <c r="K15" i="6"/>
  <c r="K283" i="3"/>
  <c r="J126" i="3"/>
  <c r="K126" i="3"/>
  <c r="J14" i="6"/>
  <c r="K14" i="6"/>
  <c r="J213" i="3"/>
  <c r="K213" i="3"/>
  <c r="J212" i="3"/>
  <c r="J211" i="3"/>
  <c r="J210" i="3"/>
  <c r="K210" i="3"/>
  <c r="J209" i="3"/>
  <c r="J208" i="3"/>
  <c r="K208" i="3"/>
  <c r="K31" i="4"/>
  <c r="J31" i="4"/>
  <c r="J207" i="3"/>
  <c r="J206" i="3"/>
  <c r="J438" i="3"/>
  <c r="K438" i="3"/>
  <c r="J180" i="3"/>
  <c r="K180" i="3"/>
  <c r="J201" i="3"/>
  <c r="K201" i="3"/>
  <c r="J200" i="3"/>
  <c r="K200" i="3"/>
  <c r="J199" i="3"/>
  <c r="K198" i="3"/>
  <c r="J198" i="3"/>
  <c r="J197" i="3"/>
  <c r="J196" i="3"/>
  <c r="K195" i="3"/>
  <c r="J195" i="3"/>
  <c r="J194" i="3"/>
  <c r="J193" i="3"/>
  <c r="K193" i="3"/>
  <c r="J192" i="3"/>
  <c r="K192" i="3"/>
  <c r="J191" i="3"/>
  <c r="K190" i="3"/>
  <c r="J190" i="3"/>
  <c r="J189" i="3"/>
  <c r="K189" i="3"/>
  <c r="J188" i="3"/>
  <c r="K188" i="3"/>
  <c r="J187" i="3"/>
  <c r="K187" i="3"/>
  <c r="J186" i="3"/>
  <c r="K186" i="3"/>
  <c r="J185" i="3"/>
  <c r="K185" i="3"/>
  <c r="J184" i="3"/>
  <c r="K184" i="3"/>
  <c r="J11" i="7"/>
  <c r="K11" i="7"/>
  <c r="J10" i="7"/>
  <c r="K10" i="7"/>
  <c r="J183" i="3"/>
  <c r="K183" i="3"/>
  <c r="J9" i="7"/>
  <c r="K9" i="7"/>
  <c r="J8" i="7"/>
  <c r="J182" i="3"/>
  <c r="K30" i="4"/>
  <c r="J30" i="4"/>
  <c r="K181" i="3"/>
  <c r="J181" i="3"/>
  <c r="K279" i="3"/>
  <c r="J279" i="3"/>
  <c r="K8" i="9"/>
  <c r="J8" i="9"/>
  <c r="K7" i="9"/>
  <c r="J7" i="9"/>
  <c r="K7" i="7"/>
  <c r="J7" i="7"/>
  <c r="K6" i="7"/>
  <c r="J6" i="7"/>
  <c r="K5" i="7"/>
  <c r="J5" i="7"/>
  <c r="K29" i="4"/>
  <c r="J29" i="4"/>
  <c r="K28" i="4"/>
  <c r="J28" i="4"/>
  <c r="K179" i="3"/>
  <c r="J179" i="3"/>
  <c r="K27" i="4"/>
  <c r="J27" i="4"/>
  <c r="J178" i="3"/>
  <c r="J506" i="3"/>
  <c r="K176" i="3"/>
  <c r="J176" i="3"/>
  <c r="J175" i="3"/>
  <c r="K174" i="3"/>
  <c r="J174" i="3"/>
  <c r="J3" i="15"/>
  <c r="K3" i="15"/>
  <c r="J3" i="14"/>
  <c r="K3" i="14"/>
  <c r="K26" i="4" l="1"/>
  <c r="J26" i="4"/>
  <c r="K591" i="3" l="1"/>
  <c r="J591" i="3"/>
  <c r="K457" i="3"/>
  <c r="K169" i="3"/>
  <c r="K204" i="3"/>
  <c r="K130" i="3"/>
  <c r="J130" i="3"/>
  <c r="J204" i="3"/>
  <c r="J169" i="3"/>
  <c r="J457" i="3"/>
  <c r="K167" i="3"/>
  <c r="J167" i="3"/>
  <c r="J166" i="3"/>
  <c r="K165" i="3"/>
  <c r="J165" i="3"/>
  <c r="K164" i="3"/>
  <c r="J164" i="3"/>
  <c r="K163" i="3"/>
  <c r="J163" i="3"/>
  <c r="K162" i="3"/>
  <c r="J162" i="3"/>
  <c r="K161" i="3"/>
  <c r="J161" i="3"/>
  <c r="K5" i="6"/>
  <c r="J5" i="6"/>
  <c r="J160" i="3"/>
  <c r="K160" i="3"/>
  <c r="K159" i="3"/>
  <c r="J159" i="3"/>
  <c r="K158" i="3"/>
  <c r="J158" i="3"/>
  <c r="J155" i="3"/>
  <c r="K157" i="3"/>
  <c r="J157" i="3"/>
  <c r="K156" i="3"/>
  <c r="J156" i="3"/>
  <c r="K155" i="3"/>
  <c r="K4" i="8"/>
  <c r="J4" i="8"/>
  <c r="K154" i="3"/>
  <c r="J154" i="3"/>
  <c r="K153" i="3"/>
  <c r="J153" i="3"/>
  <c r="K152" i="3"/>
  <c r="J152" i="3"/>
  <c r="J25" i="4"/>
  <c r="J151" i="3"/>
  <c r="K150" i="3"/>
  <c r="J150" i="3"/>
  <c r="K24" i="4"/>
  <c r="J24" i="4"/>
  <c r="J149" i="3"/>
  <c r="K266" i="3" l="1"/>
  <c r="K147" i="3"/>
  <c r="K430" i="3"/>
  <c r="J430" i="3"/>
  <c r="J147" i="3"/>
  <c r="J266" i="3"/>
  <c r="J236" i="3"/>
  <c r="J449" i="3"/>
  <c r="J289" i="3"/>
  <c r="K142" i="3"/>
  <c r="J142" i="3"/>
  <c r="J141" i="3"/>
  <c r="K141" i="3"/>
  <c r="K140" i="3"/>
  <c r="J140" i="3"/>
  <c r="K139" i="3"/>
  <c r="J139" i="3"/>
  <c r="K138" i="3"/>
  <c r="J138" i="3"/>
  <c r="K127" i="3"/>
  <c r="K337" i="3"/>
  <c r="K456" i="3"/>
  <c r="K128" i="3"/>
  <c r="K146" i="3"/>
  <c r="K387" i="3"/>
  <c r="K497" i="3"/>
  <c r="K256" i="3"/>
  <c r="K496" i="3"/>
  <c r="K379" i="3"/>
  <c r="K556" i="3"/>
  <c r="K280" i="3"/>
  <c r="J127" i="3"/>
  <c r="J137" i="3"/>
  <c r="K137" i="3"/>
  <c r="J136" i="3"/>
  <c r="K136" i="3"/>
  <c r="J135" i="3"/>
  <c r="K135" i="3"/>
  <c r="J23" i="4"/>
  <c r="K23" i="4"/>
  <c r="J22" i="4"/>
  <c r="K22" i="4"/>
  <c r="J134" i="3"/>
  <c r="K134" i="3"/>
  <c r="J21" i="4"/>
  <c r="J280" i="3"/>
  <c r="J556" i="3"/>
  <c r="J379" i="3"/>
  <c r="J496" i="3"/>
  <c r="J256" i="3"/>
  <c r="J497" i="3"/>
  <c r="J387" i="3"/>
  <c r="J146" i="3"/>
  <c r="J128" i="3"/>
  <c r="J456" i="3"/>
  <c r="J337" i="3"/>
  <c r="J563" i="3"/>
  <c r="J120" i="3"/>
  <c r="K120" i="3"/>
  <c r="J119" i="3"/>
  <c r="J13" i="6"/>
  <c r="K13" i="6"/>
  <c r="J118" i="3"/>
  <c r="J117" i="3"/>
  <c r="O694" i="1"/>
  <c r="N694" i="1"/>
  <c r="K20" i="4"/>
  <c r="J20" i="4"/>
  <c r="K116" i="3"/>
  <c r="J116" i="3"/>
  <c r="J115" i="3"/>
  <c r="J6" i="5"/>
  <c r="K6" i="5"/>
  <c r="J114" i="3"/>
  <c r="K114" i="3"/>
  <c r="J113" i="3"/>
  <c r="K113" i="3"/>
  <c r="J112" i="3"/>
  <c r="J19" i="4"/>
  <c r="J18" i="4"/>
  <c r="J111" i="3"/>
  <c r="J110" i="3"/>
  <c r="K110" i="3"/>
  <c r="J12" i="6"/>
  <c r="K12" i="6"/>
  <c r="J109" i="3"/>
  <c r="K109" i="3"/>
  <c r="J108" i="3"/>
  <c r="J107" i="3"/>
  <c r="J17" i="4"/>
  <c r="K17" i="4"/>
  <c r="J11" i="6"/>
  <c r="K11" i="6"/>
  <c r="K106" i="3"/>
  <c r="J106" i="3"/>
  <c r="J104" i="3"/>
  <c r="J103" i="3"/>
  <c r="K102" i="3"/>
  <c r="J102" i="3"/>
  <c r="J101" i="3"/>
  <c r="K100" i="3"/>
  <c r="J100" i="3"/>
  <c r="K99" i="3"/>
  <c r="J99" i="3"/>
  <c r="K98" i="3"/>
  <c r="J98" i="3"/>
  <c r="K97" i="3"/>
  <c r="J97" i="3"/>
  <c r="J96" i="3"/>
  <c r="K95" i="3"/>
  <c r="K94" i="3"/>
  <c r="J94" i="3"/>
  <c r="K93" i="3"/>
  <c r="J93" i="3"/>
  <c r="K92" i="3" l="1"/>
  <c r="J92" i="3"/>
  <c r="K91" i="3"/>
  <c r="J91" i="3"/>
  <c r="K90" i="3"/>
  <c r="J90" i="3"/>
  <c r="K4" i="11" l="1"/>
  <c r="J4" i="11"/>
  <c r="K88" i="3"/>
  <c r="J88" i="3"/>
  <c r="K87" i="3"/>
  <c r="J87" i="3"/>
  <c r="K86" i="3"/>
  <c r="J86" i="3"/>
  <c r="J85" i="3"/>
  <c r="J84" i="3"/>
  <c r="K84" i="3"/>
  <c r="J83" i="3"/>
  <c r="K83" i="3"/>
  <c r="J82" i="3"/>
  <c r="K82" i="3"/>
  <c r="J10" i="6"/>
  <c r="J9" i="6"/>
  <c r="J8" i="6"/>
  <c r="J7" i="6"/>
  <c r="K81" i="3"/>
  <c r="J81" i="3"/>
  <c r="J80" i="3"/>
  <c r="K80" i="3"/>
  <c r="J16" i="4"/>
  <c r="K16" i="4"/>
  <c r="K79" i="3"/>
  <c r="J79" i="3"/>
  <c r="J78" i="3" l="1"/>
  <c r="K78" i="3"/>
  <c r="J77" i="3"/>
  <c r="K77" i="3"/>
  <c r="J76" i="3"/>
  <c r="K76" i="3"/>
  <c r="J75" i="3"/>
  <c r="K75" i="3"/>
  <c r="J74" i="3"/>
  <c r="K74" i="3"/>
  <c r="J15" i="4"/>
  <c r="J14" i="4"/>
  <c r="J73" i="3"/>
  <c r="J72" i="3"/>
  <c r="J71" i="3"/>
  <c r="J70" i="3"/>
  <c r="J69" i="3"/>
  <c r="J68" i="3"/>
  <c r="K68" i="3"/>
  <c r="J67" i="3"/>
  <c r="J66" i="3"/>
  <c r="J65" i="3"/>
  <c r="J5" i="5"/>
  <c r="K5" i="5"/>
  <c r="J64" i="3"/>
  <c r="K64" i="3"/>
  <c r="J63" i="3"/>
  <c r="K63" i="3"/>
  <c r="J62" i="3"/>
  <c r="J61" i="3"/>
  <c r="J13" i="4"/>
  <c r="J60" i="3"/>
  <c r="J12" i="4"/>
  <c r="J59" i="3"/>
  <c r="J11" i="4"/>
  <c r="J6" i="6"/>
  <c r="J4" i="7"/>
  <c r="K58" i="3"/>
  <c r="J58" i="3"/>
  <c r="K56" i="3" l="1"/>
  <c r="J56" i="3"/>
  <c r="J55" i="3"/>
  <c r="J54" i="3"/>
  <c r="J53" i="3"/>
  <c r="J10" i="4"/>
  <c r="K3" i="3"/>
  <c r="K4" i="3"/>
  <c r="K5" i="3"/>
  <c r="K6" i="3"/>
  <c r="K7" i="3"/>
  <c r="K8" i="3"/>
  <c r="K9" i="3"/>
  <c r="K10" i="3"/>
  <c r="K11" i="3"/>
  <c r="K12" i="3"/>
  <c r="K14" i="3"/>
  <c r="K16" i="3"/>
  <c r="K18" i="3"/>
  <c r="K19" i="3"/>
  <c r="K22" i="3"/>
  <c r="K23" i="3"/>
  <c r="K24" i="3"/>
  <c r="K26" i="3"/>
  <c r="K27" i="3"/>
  <c r="K28" i="3"/>
  <c r="K29" i="3"/>
  <c r="K31" i="3"/>
  <c r="K34" i="3"/>
  <c r="K35" i="3"/>
  <c r="K36" i="3"/>
  <c r="K37" i="3"/>
  <c r="K40" i="3"/>
  <c r="K46" i="3"/>
  <c r="K49" i="3"/>
  <c r="K50" i="3"/>
  <c r="K51" i="3"/>
  <c r="J6" i="9"/>
  <c r="J5" i="9"/>
  <c r="J4" i="9"/>
  <c r="J52" i="3"/>
  <c r="J51" i="3"/>
  <c r="J25" i="3"/>
  <c r="J26" i="3"/>
  <c r="J27" i="3"/>
  <c r="J50" i="3"/>
  <c r="J49" i="3"/>
  <c r="J48" i="3"/>
  <c r="J47" i="3"/>
  <c r="J46" i="3"/>
  <c r="J45" i="3"/>
  <c r="J8" i="4"/>
  <c r="J44" i="3"/>
  <c r="J43" i="3"/>
  <c r="H42" i="3"/>
  <c r="J42" i="3" s="1"/>
  <c r="K3" i="11"/>
  <c r="J3" i="11"/>
  <c r="K3" i="10"/>
  <c r="K3" i="8"/>
  <c r="J3" i="8"/>
  <c r="K3" i="7"/>
  <c r="J3" i="7"/>
  <c r="K3" i="5"/>
  <c r="K4" i="5"/>
  <c r="J4" i="5"/>
  <c r="J3" i="5"/>
  <c r="J3" i="9"/>
  <c r="K3" i="6"/>
  <c r="K4" i="6"/>
  <c r="J4" i="6"/>
  <c r="J3" i="6"/>
  <c r="J3" i="4"/>
  <c r="J4" i="4"/>
  <c r="J5" i="4"/>
  <c r="J6" i="4"/>
  <c r="J7" i="4"/>
  <c r="K4" i="4"/>
  <c r="K5" i="4"/>
  <c r="K6" i="4"/>
  <c r="K7" i="4"/>
  <c r="K3" i="4"/>
  <c r="K2" i="3"/>
  <c r="J41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2" i="3"/>
  <c r="I819" i="1" l="1"/>
  <c r="N819" i="1" l="1"/>
  <c r="K819" i="1"/>
  <c r="A2" i="4"/>
  <c r="A1" i="3"/>
</calcChain>
</file>

<file path=xl/sharedStrings.xml><?xml version="1.0" encoding="utf-8"?>
<sst xmlns="http://schemas.openxmlformats.org/spreadsheetml/2006/main" count="13245" uniqueCount="3822">
  <si>
    <t>C</t>
  </si>
  <si>
    <t>Fecha Proforma/ Anticipo</t>
  </si>
  <si>
    <t>Nº Proforma</t>
  </si>
  <si>
    <t>Fecha Factura</t>
  </si>
  <si>
    <t>Nº Factura</t>
  </si>
  <si>
    <t>Fecha Prep.</t>
  </si>
  <si>
    <t>Fecha Prep. 2</t>
  </si>
  <si>
    <t>Proveedor</t>
  </si>
  <si>
    <t>Importe Total</t>
  </si>
  <si>
    <t>Forma Pago</t>
  </si>
  <si>
    <t>Primer Pago</t>
  </si>
  <si>
    <t>F. Vencimiento 1 pago</t>
  </si>
  <si>
    <t>Estado1</t>
  </si>
  <si>
    <t>Segundo Pago</t>
  </si>
  <si>
    <t>Fecha Vencimiento  2 pago</t>
  </si>
  <si>
    <t>Estado2</t>
  </si>
  <si>
    <t>Nº Proyecto/Descripcion</t>
  </si>
  <si>
    <t>Fecha pago</t>
  </si>
  <si>
    <t>Responsable</t>
  </si>
  <si>
    <t>Observaciones</t>
  </si>
  <si>
    <t>COMPROBADO CON LISTADO</t>
  </si>
  <si>
    <t>PF 260777</t>
  </si>
  <si>
    <t>F 261033</t>
  </si>
  <si>
    <t>SUMICAT</t>
  </si>
  <si>
    <t>30PP70-60D</t>
  </si>
  <si>
    <t>PAGADO</t>
  </si>
  <si>
    <t xml:space="preserve">472.25 D´Aloia </t>
  </si>
  <si>
    <t>Valentina Tundis</t>
  </si>
  <si>
    <t>FV062664</t>
  </si>
  <si>
    <t>ASEBAL</t>
  </si>
  <si>
    <t>60D</t>
  </si>
  <si>
    <t>274.25 Ravenna</t>
  </si>
  <si>
    <t>SI</t>
  </si>
  <si>
    <t>FV062665</t>
  </si>
  <si>
    <t>132.25 Savignano</t>
  </si>
  <si>
    <t>FV062666</t>
  </si>
  <si>
    <t>536.25 Ozzano</t>
  </si>
  <si>
    <t>FV062667</t>
  </si>
  <si>
    <t>FV062668</t>
  </si>
  <si>
    <t>168.26 Santhia</t>
  </si>
  <si>
    <t>FV062669</t>
  </si>
  <si>
    <t>AC/000129/2026</t>
  </si>
  <si>
    <t>FRANDI SRL</t>
  </si>
  <si>
    <t>0D</t>
  </si>
  <si>
    <t>50% Presupuesto  AR/002547 Pared Pladur</t>
  </si>
  <si>
    <t>Antonio Martin</t>
  </si>
  <si>
    <t>HACEMOS LOS TRABAJOS CON OTRA EMPRESA</t>
  </si>
  <si>
    <t>PF 261830</t>
  </si>
  <si>
    <t>F 260927</t>
  </si>
  <si>
    <t>230.25 Budrio</t>
  </si>
  <si>
    <t>PF 261828</t>
  </si>
  <si>
    <t>F 261001</t>
  </si>
  <si>
    <t>281.25 Pozzonovo 1</t>
  </si>
  <si>
    <t>RRGE-13469</t>
  </si>
  <si>
    <t>VB GLOBAL GROUP S.L.</t>
  </si>
  <si>
    <t>100PP</t>
  </si>
  <si>
    <t>RGE-156768</t>
  </si>
  <si>
    <t>Coche Alemania (Antonio Martin)</t>
  </si>
  <si>
    <t>075-2531944503</t>
  </si>
  <si>
    <t>IBERIA LAE SA</t>
  </si>
  <si>
    <t>PENDIENTE DEVOLUCION EN BANCO</t>
  </si>
  <si>
    <t>RECTIFICATIVA 075-2531525148</t>
  </si>
  <si>
    <t>Vuelo JAM Málaga- Madrid- Asturias billete 27/01/2026</t>
  </si>
  <si>
    <t>RECTIFICATIVA 075-2531937190</t>
  </si>
  <si>
    <t>Vuelo JAM Asturias-Madrid- Roma billete 06/02/2026</t>
  </si>
  <si>
    <t>075-2531529380</t>
  </si>
  <si>
    <t>Vuelo JAM Asturias-Madrid- Roma billete 27/01/2026</t>
  </si>
  <si>
    <t>PM0000009864</t>
  </si>
  <si>
    <t>FV26-0161</t>
  </si>
  <si>
    <t>P4Q ELECTRONICS S.L.U</t>
  </si>
  <si>
    <t>405.25 Tannheim</t>
  </si>
  <si>
    <t>PM0000009865</t>
  </si>
  <si>
    <t>FV26-0160</t>
  </si>
  <si>
    <t>356.25  Oyhofer Stockle</t>
  </si>
  <si>
    <t>PM0000009866</t>
  </si>
  <si>
    <t>FV26-0159</t>
  </si>
  <si>
    <t>257.25 Ehrensberger</t>
  </si>
  <si>
    <t>TUBOS Y FLEJES SLU</t>
  </si>
  <si>
    <t>50PP50-60D</t>
  </si>
  <si>
    <t>259.25 Codroipo</t>
  </si>
  <si>
    <t>RGE -13520</t>
  </si>
  <si>
    <t>Factura rectificativa</t>
  </si>
  <si>
    <t>RRGE-13694</t>
  </si>
  <si>
    <t>RRGE- 14185</t>
  </si>
  <si>
    <t>Factura Rectificativa RGE-158072 por coche de JAM</t>
  </si>
  <si>
    <t>DWAM-45243578</t>
  </si>
  <si>
    <t>WIZZ AIR MALTA LIMITED</t>
  </si>
  <si>
    <t>Flight ticket (AGP-FCO)</t>
  </si>
  <si>
    <t>DWAM-45536106</t>
  </si>
  <si>
    <t>PM0000009867</t>
  </si>
  <si>
    <t>FV26-0162</t>
  </si>
  <si>
    <t>360.25 Memmingerstr</t>
  </si>
  <si>
    <t>ME PORTUGAL(MARTINEZ ECHEVARRIA)</t>
  </si>
  <si>
    <t xml:space="preserve">TOTAL FACTURA 61,50 HONORARIOS LEGALES (2.º pago / importe pendiente) – Constitución de la empresa  </t>
  </si>
  <si>
    <t>Tomas Galiana</t>
  </si>
  <si>
    <t xml:space="preserve">Mandarán factura en cuanto se haga el pago de este importe </t>
  </si>
  <si>
    <t>FT 001/82703</t>
  </si>
  <si>
    <t>REGUS BUSINESS CENTRE, LDA</t>
  </si>
  <si>
    <t>DOMICILIADO</t>
  </si>
  <si>
    <t>PM0000009869</t>
  </si>
  <si>
    <t>FV26-0292</t>
  </si>
  <si>
    <t>142.25 Castrovillari B</t>
  </si>
  <si>
    <t>FT 001/96910</t>
  </si>
  <si>
    <t>A 2301</t>
  </si>
  <si>
    <t>A 13547</t>
  </si>
  <si>
    <t>DISTRIBUCIONES CHACÓN S.L</t>
  </si>
  <si>
    <t xml:space="preserve">Jamon comida 03/07/26 El presupuesto eran 265,65 el total es el que aparece en factura </t>
  </si>
  <si>
    <t>A 26000184</t>
  </si>
  <si>
    <t>MOTLES SL</t>
  </si>
  <si>
    <t xml:space="preserve">536.25 Ozzano </t>
  </si>
  <si>
    <t>A 26000183</t>
  </si>
  <si>
    <t>A 26000182</t>
  </si>
  <si>
    <t>123.23 Teulada</t>
  </si>
  <si>
    <t>PF 261896</t>
  </si>
  <si>
    <t>F 260928</t>
  </si>
  <si>
    <t>131.26 Colleferro</t>
  </si>
  <si>
    <t>AC/000103/2026</t>
  </si>
  <si>
    <t>TOTAL FACTURA 3606,56 Ultimo pago por fin del trabajo segun presupuesto AR/00226</t>
  </si>
  <si>
    <t>PM0000009872</t>
  </si>
  <si>
    <t>FV26-0418</t>
  </si>
  <si>
    <t>009.25 Mondragone 03</t>
  </si>
  <si>
    <t>PM0000009874</t>
  </si>
  <si>
    <t>FV26-0286</t>
  </si>
  <si>
    <t>008.25 Mondragone 2</t>
  </si>
  <si>
    <t>PM0000009876</t>
  </si>
  <si>
    <t>FV26-0315</t>
  </si>
  <si>
    <t>142.25 Castrovillari C</t>
  </si>
  <si>
    <t>PM0000009877</t>
  </si>
  <si>
    <t>FV26-0291</t>
  </si>
  <si>
    <t>318.25 Valle 1</t>
  </si>
  <si>
    <t>PM0000009878</t>
  </si>
  <si>
    <t>FV26-0290</t>
  </si>
  <si>
    <t>317.25 Siad 7</t>
  </si>
  <si>
    <t>PF 261898</t>
  </si>
  <si>
    <t>F 260929</t>
  </si>
  <si>
    <t>130.26 Sozzago</t>
  </si>
  <si>
    <t>PM0000009879</t>
  </si>
  <si>
    <t>FV26-0289</t>
  </si>
  <si>
    <t>316.25 Siad 5</t>
  </si>
  <si>
    <t>PM0000009880</t>
  </si>
  <si>
    <t>FV26-0288</t>
  </si>
  <si>
    <t>315.25 D'Orsi Edvige</t>
  </si>
  <si>
    <t>PF 261988</t>
  </si>
  <si>
    <t>F 261007</t>
  </si>
  <si>
    <t>510.25 Gavorrano</t>
  </si>
  <si>
    <t>SARA CHIAPPINI</t>
  </si>
  <si>
    <t>9.600 pago 6 meses piso Flor + Luz , gas + comunidad</t>
  </si>
  <si>
    <t>FPR 49/26</t>
  </si>
  <si>
    <t>PIAZZA SALLUSTIO SRL</t>
  </si>
  <si>
    <t>Alquiler julio piso JAM</t>
  </si>
  <si>
    <t>Alquiler agosto piso JAM</t>
  </si>
  <si>
    <t>Alquiler septiembre piso JAM</t>
  </si>
  <si>
    <t>Alquiler octubre piso JAM</t>
  </si>
  <si>
    <t>Alquiler noviembre piso JAM</t>
  </si>
  <si>
    <t>Alquiler diciembre piso JAM</t>
  </si>
  <si>
    <t>Donatella Pezzini</t>
  </si>
  <si>
    <t>Alquiler julio piso EUR</t>
  </si>
  <si>
    <t>Alquiler agosto piso EUR</t>
  </si>
  <si>
    <t>Alquiler septiembre piso EUR</t>
  </si>
  <si>
    <t>Alquiler octubre piso EUR</t>
  </si>
  <si>
    <t>Alquiler noviembre piso EUR</t>
  </si>
  <si>
    <t>Alquiler diciembre piso EUR</t>
  </si>
  <si>
    <t>MATIM GROUP</t>
  </si>
  <si>
    <t>Alquiler julio Oficina Marconi (Roma)</t>
  </si>
  <si>
    <t>Alquiler agosto Oficina Marconi (Roma)</t>
  </si>
  <si>
    <t>valentina Tundis</t>
  </si>
  <si>
    <t>Alquiler septiembre Oficina Marconi (Roma)</t>
  </si>
  <si>
    <t>Alquiler octubre Oficina Marconi (Roma)</t>
  </si>
  <si>
    <t>Alquiler noviembre Oficina Marconi (Roma)</t>
  </si>
  <si>
    <t>Alquiler diciembre Oficina Marconi (Roma)</t>
  </si>
  <si>
    <t>FPR 44/26</t>
  </si>
  <si>
    <t>FASBOC ITALIA SRL</t>
  </si>
  <si>
    <t>Alquiler julio Oficina EUR Roma</t>
  </si>
  <si>
    <t>Alquiler agosto Oficina EUR Roma</t>
  </si>
  <si>
    <t>Alquiler septiembre Oficina EUR Roma</t>
  </si>
  <si>
    <t>Alquiler octubre Oficina EUR Roma</t>
  </si>
  <si>
    <t>Alquiler noviembre Oficina EUR Roma</t>
  </si>
  <si>
    <t>Alquiler diciembre Oficina EUR Roma</t>
  </si>
  <si>
    <t>AG.EU. 2000 S.R.L.</t>
  </si>
  <si>
    <t>Alquiler garaje nº21 en roma, Quirino Majorana n. 141</t>
  </si>
  <si>
    <t>Recibo de renda nº 6</t>
  </si>
  <si>
    <t>ETHNIC OCEAN, UNIPESSOAL, LDA.</t>
  </si>
  <si>
    <t>Alquiler de agosto 2026</t>
  </si>
  <si>
    <t>Jose Repullo</t>
  </si>
  <si>
    <t>Alquiler de septiembre 2026</t>
  </si>
  <si>
    <t>Alquiler de octubre 2026</t>
  </si>
  <si>
    <t>Alquiler de noviembre 2026</t>
  </si>
  <si>
    <t>Alquiler de diciembre 2026</t>
  </si>
  <si>
    <t>PM0000009881</t>
  </si>
  <si>
    <t>FV26-0287</t>
  </si>
  <si>
    <t>314.25 Carafa Donato</t>
  </si>
  <si>
    <t>PM0000009886</t>
  </si>
  <si>
    <t>FV26-0402</t>
  </si>
  <si>
    <t>117.24 Racamulto 1</t>
  </si>
  <si>
    <t>PF 2/2435</t>
  </si>
  <si>
    <t>2/1819</t>
  </si>
  <si>
    <t>TECMA DRIVE</t>
  </si>
  <si>
    <t>PM0000009887</t>
  </si>
  <si>
    <t>473.24 Eichendorf</t>
  </si>
  <si>
    <t>PM0000009888</t>
  </si>
  <si>
    <t>FV26-0417</t>
  </si>
  <si>
    <t>198.25 Lecce</t>
  </si>
  <si>
    <t>PM0000009891</t>
  </si>
  <si>
    <t>FV26-0624</t>
  </si>
  <si>
    <t>PF 261976</t>
  </si>
  <si>
    <t>F 261016</t>
  </si>
  <si>
    <t>228.26 Gradara</t>
  </si>
  <si>
    <t>PF 262112</t>
  </si>
  <si>
    <t>F 261014</t>
  </si>
  <si>
    <t>192.26 Mazzarone</t>
  </si>
  <si>
    <t>A 26000193</t>
  </si>
  <si>
    <t>FV062743</t>
  </si>
  <si>
    <t>051.26 Realmonte</t>
  </si>
  <si>
    <t>FV062744</t>
  </si>
  <si>
    <t>171.23 Casucci</t>
  </si>
  <si>
    <t>FV062745</t>
  </si>
  <si>
    <t>FV062746</t>
  </si>
  <si>
    <t>120.25 Avezzano 1B</t>
  </si>
  <si>
    <t>FV062747</t>
  </si>
  <si>
    <t>FV062748</t>
  </si>
  <si>
    <t>197.25 Sciacca</t>
  </si>
  <si>
    <t>FV062749</t>
  </si>
  <si>
    <t>342.25 Roccamena</t>
  </si>
  <si>
    <t>FV062750</t>
  </si>
  <si>
    <t>FV062751</t>
  </si>
  <si>
    <t>FV062752</t>
  </si>
  <si>
    <t>FV062753</t>
  </si>
  <si>
    <t>PF 262245</t>
  </si>
  <si>
    <t>F 261015</t>
  </si>
  <si>
    <t>080.26 Eichenfust</t>
  </si>
  <si>
    <t>PF 2/2602</t>
  </si>
  <si>
    <t>2/1820</t>
  </si>
  <si>
    <t>190.26 Bockmaier</t>
  </si>
  <si>
    <t>PF 2/2420</t>
  </si>
  <si>
    <t>2/1829</t>
  </si>
  <si>
    <t>373.25 Mordano 2</t>
  </si>
  <si>
    <t>PF 2/2629</t>
  </si>
  <si>
    <t>2/1833</t>
  </si>
  <si>
    <t>DWAM-50560541</t>
  </si>
  <si>
    <t xml:space="preserve">Reembolso por vuelo Flight ticket (AGP-FCO) de JAM </t>
  </si>
  <si>
    <t>A 26000197</t>
  </si>
  <si>
    <t>539.25 Ozzano 2</t>
  </si>
  <si>
    <t>A 26000198</t>
  </si>
  <si>
    <t>FV062805</t>
  </si>
  <si>
    <t>FV062806</t>
  </si>
  <si>
    <t>FV062807</t>
  </si>
  <si>
    <t>FV062808</t>
  </si>
  <si>
    <t>FV062809</t>
  </si>
  <si>
    <t>FV062810</t>
  </si>
  <si>
    <t>FV062811</t>
  </si>
  <si>
    <t>FV062812</t>
  </si>
  <si>
    <t>PROTOTIPO</t>
  </si>
  <si>
    <t>FV062813</t>
  </si>
  <si>
    <t>FERIA MUNICH- INTERSOLAR 2026</t>
  </si>
  <si>
    <t>FV062814</t>
  </si>
  <si>
    <t>281.25 Pozzonovo</t>
  </si>
  <si>
    <t>A 26000201</t>
  </si>
  <si>
    <t>120.25 Avezzano</t>
  </si>
  <si>
    <t>A 26000202</t>
  </si>
  <si>
    <t>PF 2/2509</t>
  </si>
  <si>
    <t>2/1836</t>
  </si>
  <si>
    <t>020.26 Pesaro</t>
  </si>
  <si>
    <t>PF 262359</t>
  </si>
  <si>
    <t>F 261008</t>
  </si>
  <si>
    <t>FT 001/100606</t>
  </si>
  <si>
    <t xml:space="preserve">JOSE MANUEL DOS SANTOS COELHO- SONIA VITORIA PINTO	</t>
  </si>
  <si>
    <t>Alquiler de agosto oficina Portugal</t>
  </si>
  <si>
    <t>Alquiler de septiembre oficina Portugal</t>
  </si>
  <si>
    <t>Alquiler de octubre oficina Portugal</t>
  </si>
  <si>
    <t>Alquiler de noviembre oficina Portugal</t>
  </si>
  <si>
    <t>Alquiler de diciembre oficina Portugal</t>
  </si>
  <si>
    <t>DWAM-50946641</t>
  </si>
  <si>
    <t>Reembolso por vuelo Flight ticket (FCO-AGP) FLOR</t>
  </si>
  <si>
    <t>A 26000226</t>
  </si>
  <si>
    <t>A 26000225</t>
  </si>
  <si>
    <t>A 26000224</t>
  </si>
  <si>
    <t>A 26000223</t>
  </si>
  <si>
    <t>A 26000219</t>
  </si>
  <si>
    <t>2/1835</t>
  </si>
  <si>
    <t>PF 2/2485</t>
  </si>
  <si>
    <t>2/1858</t>
  </si>
  <si>
    <t>472.25 D´Aloia</t>
  </si>
  <si>
    <t>PF 2/ 2434</t>
  </si>
  <si>
    <t>2/1862</t>
  </si>
  <si>
    <t>FV062883</t>
  </si>
  <si>
    <t>FV062884</t>
  </si>
  <si>
    <t>FV062885</t>
  </si>
  <si>
    <t>FV062886</t>
  </si>
  <si>
    <t>381.25 Roseto</t>
  </si>
  <si>
    <t>FV062887</t>
  </si>
  <si>
    <t>230.25 Budrio Ampliación postes</t>
  </si>
  <si>
    <t>FV062888</t>
  </si>
  <si>
    <t>469.25 Oria</t>
  </si>
  <si>
    <t>FV062889</t>
  </si>
  <si>
    <t>FV062890</t>
  </si>
  <si>
    <t>FV062891</t>
  </si>
  <si>
    <t>FV062892</t>
  </si>
  <si>
    <t>FV062893</t>
  </si>
  <si>
    <t>499.25 Bisignano</t>
  </si>
  <si>
    <t>FV062894</t>
  </si>
  <si>
    <t>PF 784</t>
  </si>
  <si>
    <t>PLASTICOS MERNICK S.L.</t>
  </si>
  <si>
    <t>339.25 Vittorio Vaccargiu</t>
  </si>
  <si>
    <t>PF 785</t>
  </si>
  <si>
    <t>338.25 Ortoverde</t>
  </si>
  <si>
    <t>PF 808</t>
  </si>
  <si>
    <t>230.26 Bolintin</t>
  </si>
  <si>
    <t>PF 2/2606</t>
  </si>
  <si>
    <t>2/1861</t>
  </si>
  <si>
    <t>131.26 Collefero</t>
  </si>
  <si>
    <t>PF 820</t>
  </si>
  <si>
    <t>PF 2/ 2554</t>
  </si>
  <si>
    <t>2/1863</t>
  </si>
  <si>
    <t xml:space="preserve">168.26 Santhia </t>
  </si>
  <si>
    <t>FV26-0865</t>
  </si>
  <si>
    <t>Esta fact se emitió por error, pero hacen correccion con la factura AB26/0049</t>
  </si>
  <si>
    <t>A 26000232</t>
  </si>
  <si>
    <t>PF 823</t>
  </si>
  <si>
    <t>164.26 Tavagnacco</t>
  </si>
  <si>
    <t>PF 853</t>
  </si>
  <si>
    <t>059.25 Ghedi</t>
  </si>
  <si>
    <t>PF 719</t>
  </si>
  <si>
    <t>471.25 Massa Marittima</t>
  </si>
  <si>
    <t>PF 261487</t>
  </si>
  <si>
    <t>F 260814</t>
  </si>
  <si>
    <t>PF 261486</t>
  </si>
  <si>
    <t>F 260816</t>
  </si>
  <si>
    <t>168.26 Santihia</t>
  </si>
  <si>
    <t>F260009071ALC</t>
  </si>
  <si>
    <t>TRANSNATUR, S.A.</t>
  </si>
  <si>
    <t>30D</t>
  </si>
  <si>
    <t>F260009072ALC</t>
  </si>
  <si>
    <t>025.25 Oxiana</t>
  </si>
  <si>
    <t>F260009082ALC</t>
  </si>
  <si>
    <t xml:space="preserve">190.26 Bockmaier </t>
  </si>
  <si>
    <t>RECTIFICADA POR LA FACTURA  REC2600531ALC</t>
  </si>
  <si>
    <t>FV062973</t>
  </si>
  <si>
    <t>Cubre esturctura Vertical FERIA MUNICH -INTERSOLAR 2026</t>
  </si>
  <si>
    <t>FV062974</t>
  </si>
  <si>
    <t>FV062975</t>
  </si>
  <si>
    <t>472.25 D´ Aloia</t>
  </si>
  <si>
    <t>FV062976</t>
  </si>
  <si>
    <t>FV062977</t>
  </si>
  <si>
    <t>FV062978</t>
  </si>
  <si>
    <t>549.25 Moro</t>
  </si>
  <si>
    <t>FV062979</t>
  </si>
  <si>
    <t>FV062980</t>
  </si>
  <si>
    <t>FV062981</t>
  </si>
  <si>
    <t>FV062982</t>
  </si>
  <si>
    <t>FV062983</t>
  </si>
  <si>
    <t>182.26 Ozzano Nord</t>
  </si>
  <si>
    <t>FV062984</t>
  </si>
  <si>
    <t>FV062985</t>
  </si>
  <si>
    <t>FV062986</t>
  </si>
  <si>
    <t>RRGE-15687</t>
  </si>
  <si>
    <t>DEVOLUCION COCHE FERIA MUNICH EXPEDIENTE 548094- DEVOLVEMOS UN COCHE Y SE HACE FACT RESTANDO ESTE IMPORTE RRGE-15687--- PENDIENTE DE QUE NOS DEVUELVAN ESTE IMPORTE</t>
  </si>
  <si>
    <t>PENDIENTE DE QUE NOS DEVUELVAN ESTE IMPORTE</t>
  </si>
  <si>
    <t>FV062987</t>
  </si>
  <si>
    <t>FV062988</t>
  </si>
  <si>
    <t>FV062989</t>
  </si>
  <si>
    <t>FV062990</t>
  </si>
  <si>
    <t>182.25 Ozzano Nord</t>
  </si>
  <si>
    <t>FV062991</t>
  </si>
  <si>
    <t>A2601874</t>
  </si>
  <si>
    <t>RESA INTERNACIONAL EVENTS, S.L.</t>
  </si>
  <si>
    <t>1º pago Feria Munich- INTERSOLAR Vencimiento de la factura día 30 TOTAL FACTURA 9565€</t>
  </si>
  <si>
    <t>F 261034</t>
  </si>
  <si>
    <t>PF 261526</t>
  </si>
  <si>
    <t>F 260815</t>
  </si>
  <si>
    <t>PF 854</t>
  </si>
  <si>
    <t>263.26 Vallediaccio</t>
  </si>
  <si>
    <t>PF 856</t>
  </si>
  <si>
    <t>147.26 Avetrana</t>
  </si>
  <si>
    <t>PF 857</t>
  </si>
  <si>
    <t>186.26 Zuccari 1</t>
  </si>
  <si>
    <t>PF 858</t>
  </si>
  <si>
    <t>187.26 Zuccari 2</t>
  </si>
  <si>
    <t>PF 859</t>
  </si>
  <si>
    <t>188.26 Zuccari 3</t>
  </si>
  <si>
    <t>PM0000009892</t>
  </si>
  <si>
    <t>FV26-0822</t>
  </si>
  <si>
    <t>382.25 Cordao</t>
  </si>
  <si>
    <t>PM0000009893</t>
  </si>
  <si>
    <t>FV26-0702</t>
  </si>
  <si>
    <t>047.25 Coci</t>
  </si>
  <si>
    <t>PM0000009894</t>
  </si>
  <si>
    <t>FV26-0701</t>
  </si>
  <si>
    <t>050.25 Scollo</t>
  </si>
  <si>
    <t>PM0000009909</t>
  </si>
  <si>
    <t>FV26-1098</t>
  </si>
  <si>
    <t>078.25 Chiopris</t>
  </si>
  <si>
    <t>FV063052</t>
  </si>
  <si>
    <t>FV063053</t>
  </si>
  <si>
    <t>FV063054</t>
  </si>
  <si>
    <t>FV063055</t>
  </si>
  <si>
    <t>FV063056</t>
  </si>
  <si>
    <t>FV063057</t>
  </si>
  <si>
    <t>FV063058</t>
  </si>
  <si>
    <t>FV063059</t>
  </si>
  <si>
    <t>FV063060</t>
  </si>
  <si>
    <t>FV063061</t>
  </si>
  <si>
    <t>FV063062</t>
  </si>
  <si>
    <t>FV063063</t>
  </si>
  <si>
    <t>FV063064</t>
  </si>
  <si>
    <t>FV063065</t>
  </si>
  <si>
    <t>FV063066</t>
  </si>
  <si>
    <t>380.25 Sant´Omero</t>
  </si>
  <si>
    <t>FV063067</t>
  </si>
  <si>
    <t>PF 261527</t>
  </si>
  <si>
    <t>F 260817</t>
  </si>
  <si>
    <t>A2601992</t>
  </si>
  <si>
    <t>Feria Munich- INTERSOLAR SEGURO TRANSPORTES Y DIFERENCIA EMBALAJES VACIOS</t>
  </si>
  <si>
    <t>2/1864</t>
  </si>
  <si>
    <t>PF 262696</t>
  </si>
  <si>
    <t>F 261129</t>
  </si>
  <si>
    <t>077.26 Scurola- Luco</t>
  </si>
  <si>
    <t>AXICOM</t>
  </si>
  <si>
    <t>Serv. comunicacion junio</t>
  </si>
  <si>
    <t>G165163018</t>
  </si>
  <si>
    <t>MICROSOFT IBERICA S.R.L</t>
  </si>
  <si>
    <t>Factura de actividad el 13/06/2026</t>
  </si>
  <si>
    <t>G167474650</t>
  </si>
  <si>
    <t>Factura de actividad el 27/06/2026</t>
  </si>
  <si>
    <t>PF 2/2597</t>
  </si>
  <si>
    <t>2/1881</t>
  </si>
  <si>
    <t>PF 2/2608</t>
  </si>
  <si>
    <t>2/1879</t>
  </si>
  <si>
    <t>PF 892</t>
  </si>
  <si>
    <t>261.26 Lenz</t>
  </si>
  <si>
    <t>PM0000009910</t>
  </si>
  <si>
    <t>549.25 Recanati</t>
  </si>
  <si>
    <t>Nota del 29/06/2026</t>
  </si>
  <si>
    <t>Ingeniero Giovanni Esposito</t>
  </si>
  <si>
    <t>378.25 PV MONTORIO, 379.25 NOTARESCO, 491.25 PV RECANATI, 342.25 PV ROCCAMENA</t>
  </si>
  <si>
    <t>P22229</t>
  </si>
  <si>
    <t>OCCITANIE EVENTS SLP - Parc des expositions</t>
  </si>
  <si>
    <t>FORUM ENERGAIA 2026 FERIA FRANCIA</t>
  </si>
  <si>
    <t>038/26</t>
  </si>
  <si>
    <t>CARMEN GARZÓN PÉREZ- SCALA AZAFATAS E MODELOS</t>
  </si>
  <si>
    <t>FERIA MUNICH INTERSOLAR 4 Azafatas -  PAGO FINAL</t>
  </si>
  <si>
    <t>2º pago Feria Munich- INTERSOLAR Vencimiento de la factura día 30 TOTAL FACTURA 9565€</t>
  </si>
  <si>
    <t>PF 261620</t>
  </si>
  <si>
    <t>F 260818</t>
  </si>
  <si>
    <t>PF 262484</t>
  </si>
  <si>
    <t>F 261227</t>
  </si>
  <si>
    <t>PF 262493</t>
  </si>
  <si>
    <t>F 261230</t>
  </si>
  <si>
    <t>PF 262532</t>
  </si>
  <si>
    <t>F 261229</t>
  </si>
  <si>
    <t>PF 262613</t>
  </si>
  <si>
    <t>F 261228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</si>
  <si>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</si>
  <si>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PF 262615</t>
  </si>
  <si>
    <t xml:space="preserve"> </t>
  </si>
  <si>
    <t>PF 261859</t>
  </si>
  <si>
    <t>F 260856</t>
  </si>
  <si>
    <t>PF 262261</t>
  </si>
  <si>
    <t>PF 262642</t>
  </si>
  <si>
    <t>PF 262648</t>
  </si>
  <si>
    <t>PF 262649</t>
  </si>
  <si>
    <t>188.26 Zuccari 4</t>
  </si>
  <si>
    <t>PF 262650</t>
  </si>
  <si>
    <t>187.26 Zuccari 3</t>
  </si>
  <si>
    <t>PF 262730</t>
  </si>
  <si>
    <t>PF 262736</t>
  </si>
  <si>
    <t>499.25 Bisignano 3</t>
  </si>
  <si>
    <t>A 26000236</t>
  </si>
  <si>
    <t>A 26000241</t>
  </si>
  <si>
    <t>A 26000249</t>
  </si>
  <si>
    <t>FV063123</t>
  </si>
  <si>
    <t>FV063124</t>
  </si>
  <si>
    <t>FV063125</t>
  </si>
  <si>
    <t>FV063126</t>
  </si>
  <si>
    <t>FV063127</t>
  </si>
  <si>
    <t>FV063128</t>
  </si>
  <si>
    <t>FV063129</t>
  </si>
  <si>
    <t>FV063130</t>
  </si>
  <si>
    <t>483.25 Treia 4</t>
  </si>
  <si>
    <t>FV063131</t>
  </si>
  <si>
    <t>PF 2/2604</t>
  </si>
  <si>
    <t>2/1880</t>
  </si>
  <si>
    <t>PM0000009911</t>
  </si>
  <si>
    <t>FV26-1077</t>
  </si>
  <si>
    <t>FV060914</t>
  </si>
  <si>
    <t>049.25 San Moro Caltagirone (Proyecto Altea)</t>
  </si>
  <si>
    <t>FV061015</t>
  </si>
  <si>
    <t>285.25 Rosignano Marittimo</t>
  </si>
  <si>
    <t>FV061016</t>
  </si>
  <si>
    <t>311.25 Ondulor</t>
  </si>
  <si>
    <t>FV061017</t>
  </si>
  <si>
    <t>119.24 Racalmuto 3</t>
  </si>
  <si>
    <t>FV061018</t>
  </si>
  <si>
    <t>198.25 Energy Lecce</t>
  </si>
  <si>
    <t>FV061019</t>
  </si>
  <si>
    <t>198.25 Energy Lecce S</t>
  </si>
  <si>
    <t>FV061020</t>
  </si>
  <si>
    <t>FV061021</t>
  </si>
  <si>
    <t>FV061022</t>
  </si>
  <si>
    <t>046.25 Asi Caltagirone (Proyecto Altea)</t>
  </si>
  <si>
    <t>FV061023</t>
  </si>
  <si>
    <t>FV061107</t>
  </si>
  <si>
    <t>FV061108</t>
  </si>
  <si>
    <t>FV061109</t>
  </si>
  <si>
    <t>FV061110</t>
  </si>
  <si>
    <t>FV061111</t>
  </si>
  <si>
    <t>139.24 Sala Consilina (POT)</t>
  </si>
  <si>
    <t>FV061166</t>
  </si>
  <si>
    <t>FV061167</t>
  </si>
  <si>
    <t>FV061172</t>
  </si>
  <si>
    <t>FV061168</t>
  </si>
  <si>
    <t>FV061169</t>
  </si>
  <si>
    <t>FV061170</t>
  </si>
  <si>
    <t>FV061192</t>
  </si>
  <si>
    <t>FV061193</t>
  </si>
  <si>
    <t>157.25 Dalmasso</t>
  </si>
  <si>
    <t>FV061194</t>
  </si>
  <si>
    <t>FV061195</t>
  </si>
  <si>
    <t>FV061196</t>
  </si>
  <si>
    <t>FV062373</t>
  </si>
  <si>
    <t>FV062374</t>
  </si>
  <si>
    <t>Servicios de comunicación abril</t>
  </si>
  <si>
    <t>A 26000093</t>
  </si>
  <si>
    <t>078.25 Chiopris Viscone</t>
  </si>
  <si>
    <t>A 26000094</t>
  </si>
  <si>
    <t xml:space="preserve">047.25 Coci San Michelle Ganzaria </t>
  </si>
  <si>
    <t>A 26000097</t>
  </si>
  <si>
    <t>050.25 Sollo 750 Caltagirone</t>
  </si>
  <si>
    <t>PP454</t>
  </si>
  <si>
    <t>PF 254622</t>
  </si>
  <si>
    <t>251914</t>
  </si>
  <si>
    <t>PF 2/2182</t>
  </si>
  <si>
    <t>2/1579</t>
  </si>
  <si>
    <t>012.25 Maffei</t>
  </si>
  <si>
    <t>PF 2/2261</t>
  </si>
  <si>
    <t>2/1580</t>
  </si>
  <si>
    <t xml:space="preserve">311.25 Ondulor </t>
  </si>
  <si>
    <t>PP 241</t>
  </si>
  <si>
    <t>025.26 Oxiana</t>
  </si>
  <si>
    <t>PF 254621</t>
  </si>
  <si>
    <t>251915</t>
  </si>
  <si>
    <t>Nota del 29/04/2026</t>
  </si>
  <si>
    <t>316.25 PV SIAD 5; 317.25 PV SIAD 7; 059.25 PV LEONARDO; 373.25PV MORDANO</t>
  </si>
  <si>
    <t>PF 1555</t>
  </si>
  <si>
    <t>000014</t>
  </si>
  <si>
    <t>PF 254684</t>
  </si>
  <si>
    <t>252007</t>
  </si>
  <si>
    <t>PF 254993</t>
  </si>
  <si>
    <t>252006</t>
  </si>
  <si>
    <t>PF 254739</t>
  </si>
  <si>
    <t>252008</t>
  </si>
  <si>
    <t>008.25 Mondragone 02</t>
  </si>
  <si>
    <t>GRAFICAS ANTEQUERANAS EL PROGRESO S.L.U</t>
  </si>
  <si>
    <t>50PP50PP</t>
  </si>
  <si>
    <t>BOLIGRAFO PUNTERO LIXOR CON IMPRESIÓN EN UN LATERAL</t>
  </si>
  <si>
    <t>PM0000009920</t>
  </si>
  <si>
    <t>FV26-1193</t>
  </si>
  <si>
    <t>453.25 Ragusa</t>
  </si>
  <si>
    <t>ITALIAN EXHIBITION GROUP SPA</t>
  </si>
  <si>
    <t>KEY 2027</t>
  </si>
  <si>
    <t>PM0000009921</t>
  </si>
  <si>
    <t>FV26-1297</t>
  </si>
  <si>
    <t>052.25 Vizzini</t>
  </si>
  <si>
    <t>PF 2/2233</t>
  </si>
  <si>
    <t>2/1586</t>
  </si>
  <si>
    <t>143.25 Roma</t>
  </si>
  <si>
    <t>010/26</t>
  </si>
  <si>
    <t>MARIA ISABEL MARQUEZ AGUILAR</t>
  </si>
  <si>
    <t>Vestidos feria Alemania</t>
  </si>
  <si>
    <t>260/667</t>
  </si>
  <si>
    <t>LAS DESCALZAS S.L.U.</t>
  </si>
  <si>
    <t>Tarjetas Maria de la O</t>
  </si>
  <si>
    <t>FWTM FREIBURG WIRTSCHAFT TOURISTIK UND MESSE GMBH &amp; CO. KG</t>
  </si>
  <si>
    <t xml:space="preserve">FERIA ALEMANIA </t>
  </si>
  <si>
    <t>999-20260000000000700</t>
  </si>
  <si>
    <t>UNIVERSIDAD POLITECNICA DE MADRID</t>
  </si>
  <si>
    <t>ESTUDIOS AEROELÁSTICOS DE SEGUIDORES SOLARES AGROVOLTAICOS</t>
  </si>
  <si>
    <t>PM0000009924</t>
  </si>
  <si>
    <t>FV26-1987</t>
  </si>
  <si>
    <t>26FV/1488</t>
  </si>
  <si>
    <t>CREATIVE PROJECTS WORLDWIDE, S.L. - DEXTAIL</t>
  </si>
  <si>
    <t xml:space="preserve">2º PAGO 30% STAND FERIA MUNICH 2026 </t>
  </si>
  <si>
    <t>FA.LIS26/136</t>
  </si>
  <si>
    <t xml:space="preserve">Honorarios Constitucion Sociedad </t>
  </si>
  <si>
    <t>FV061197</t>
  </si>
  <si>
    <t>FV061198</t>
  </si>
  <si>
    <t>FV061282</t>
  </si>
  <si>
    <t>117.24 Racalmuto 1 (Soporte motor)</t>
  </si>
  <si>
    <t>FV061283</t>
  </si>
  <si>
    <t>FV061284</t>
  </si>
  <si>
    <t>FV061285</t>
  </si>
  <si>
    <t>FV061286</t>
  </si>
  <si>
    <t>FV061287</t>
  </si>
  <si>
    <t>FV061288</t>
  </si>
  <si>
    <t>FV061319</t>
  </si>
  <si>
    <t>356.25 Oyhofer Stockle</t>
  </si>
  <si>
    <t>FV061320</t>
  </si>
  <si>
    <t>357.25 Ehrensberger</t>
  </si>
  <si>
    <t>FV061321</t>
  </si>
  <si>
    <t>FV061322</t>
  </si>
  <si>
    <t>FV061410</t>
  </si>
  <si>
    <t>FV061411</t>
  </si>
  <si>
    <t>FV061412</t>
  </si>
  <si>
    <t>357.25 Ehrensberger Weg</t>
  </si>
  <si>
    <t>FV061413</t>
  </si>
  <si>
    <t>FV061414</t>
  </si>
  <si>
    <t>FV061415</t>
  </si>
  <si>
    <t>FV061416</t>
  </si>
  <si>
    <t>FV061417</t>
  </si>
  <si>
    <t>FV061418</t>
  </si>
  <si>
    <t>FV061485</t>
  </si>
  <si>
    <t>357.25 Ehremberger Web</t>
  </si>
  <si>
    <t>FV061486</t>
  </si>
  <si>
    <t>FV061487</t>
  </si>
  <si>
    <t>FV061488</t>
  </si>
  <si>
    <t>FV061489</t>
  </si>
  <si>
    <t>360.25 Memmingenrstr</t>
  </si>
  <si>
    <t>FV061490</t>
  </si>
  <si>
    <t>FV061491</t>
  </si>
  <si>
    <t>FV061492</t>
  </si>
  <si>
    <t>FV061493</t>
  </si>
  <si>
    <t>FV061494</t>
  </si>
  <si>
    <t>FV061495</t>
  </si>
  <si>
    <t>FV061547</t>
  </si>
  <si>
    <t>FV061548</t>
  </si>
  <si>
    <t>FV061549</t>
  </si>
  <si>
    <t>FV061550</t>
  </si>
  <si>
    <t>FV061551</t>
  </si>
  <si>
    <t>FV061552</t>
  </si>
  <si>
    <t>FV061553</t>
  </si>
  <si>
    <t>FV061554</t>
  </si>
  <si>
    <t>FV061621</t>
  </si>
  <si>
    <t>FV061622</t>
  </si>
  <si>
    <t>FV061623</t>
  </si>
  <si>
    <t>FPR 113/26</t>
  </si>
  <si>
    <t>CLARENS SERVICE SRLS</t>
  </si>
  <si>
    <t>Alquiler Mayo piso EUR</t>
  </si>
  <si>
    <t>FT 2026/12</t>
  </si>
  <si>
    <t xml:space="preserve">En la factura nos pusieron mal la denominación de la empresa, ya tenemos nota de abono de esta factura-Prestación de Servicios </t>
  </si>
  <si>
    <t>FPR 32/26</t>
  </si>
  <si>
    <t>Alquiler Mayo + Luz + COmunidad</t>
  </si>
  <si>
    <t>FPR 16/26</t>
  </si>
  <si>
    <t>Alquiler Mayo Oficina Marconi</t>
  </si>
  <si>
    <t>PM0000009925</t>
  </si>
  <si>
    <t>FV26-1296</t>
  </si>
  <si>
    <t xml:space="preserve">048.25 Comiso 3 </t>
  </si>
  <si>
    <t>FPR 31/26</t>
  </si>
  <si>
    <t>Alquiler Mayo piso FACTURA A NOMBRE DE JAM</t>
  </si>
  <si>
    <t>PP 234</t>
  </si>
  <si>
    <t>472.25 D´ALOIA</t>
  </si>
  <si>
    <t>024/26</t>
  </si>
  <si>
    <t xml:space="preserve">FERIA MUNICH: Anticipos Azafatas </t>
  </si>
  <si>
    <t>PF 255056</t>
  </si>
  <si>
    <t>F260075</t>
  </si>
  <si>
    <t>PF 255057</t>
  </si>
  <si>
    <t>F260076</t>
  </si>
  <si>
    <t>PF 255129</t>
  </si>
  <si>
    <t>F260008</t>
  </si>
  <si>
    <t>PF 255142</t>
  </si>
  <si>
    <t>F260009</t>
  </si>
  <si>
    <t>347.25 Ehrensberger Weg</t>
  </si>
  <si>
    <t>PF 255144</t>
  </si>
  <si>
    <t>F260011</t>
  </si>
  <si>
    <t>PF 255143</t>
  </si>
  <si>
    <t>F260010</t>
  </si>
  <si>
    <t>PF 255305</t>
  </si>
  <si>
    <t>F260012</t>
  </si>
  <si>
    <t>376.25 Campli</t>
  </si>
  <si>
    <t>PF 2/2219</t>
  </si>
  <si>
    <t>2/1591</t>
  </si>
  <si>
    <t>013.25 Avezzano Energy</t>
  </si>
  <si>
    <t>PF 2/2198</t>
  </si>
  <si>
    <t>2/1594</t>
  </si>
  <si>
    <t>142.25 Castrovillari A</t>
  </si>
  <si>
    <t>PF 2/2297</t>
  </si>
  <si>
    <t>2/1596</t>
  </si>
  <si>
    <t>F260005281ALC</t>
  </si>
  <si>
    <t>FV061624</t>
  </si>
  <si>
    <t>FV061625</t>
  </si>
  <si>
    <t>FV061626</t>
  </si>
  <si>
    <t>FV061627</t>
  </si>
  <si>
    <t>FV061650</t>
  </si>
  <si>
    <t>FV061628</t>
  </si>
  <si>
    <t>FV061629</t>
  </si>
  <si>
    <t>FV061630</t>
  </si>
  <si>
    <t>PF 255310</t>
  </si>
  <si>
    <t>F260013</t>
  </si>
  <si>
    <t>377.25 Castiglione</t>
  </si>
  <si>
    <t>PM0000009926</t>
  </si>
  <si>
    <t>FV26-1532</t>
  </si>
  <si>
    <t>PF 255311</t>
  </si>
  <si>
    <t>F260014</t>
  </si>
  <si>
    <t>378.25 Montorio</t>
  </si>
  <si>
    <t>PF 255312</t>
  </si>
  <si>
    <t>F260015</t>
  </si>
  <si>
    <t>379.25 Notaresco</t>
  </si>
  <si>
    <t>PF 2/2271</t>
  </si>
  <si>
    <t>2/1622</t>
  </si>
  <si>
    <t>046.25 Asi Caltagirone</t>
  </si>
  <si>
    <t>PF 2/2365</t>
  </si>
  <si>
    <t>2/1621</t>
  </si>
  <si>
    <t>483.24 Ginosa</t>
  </si>
  <si>
    <t>FV26-1533</t>
  </si>
  <si>
    <t>PF 2/2251</t>
  </si>
  <si>
    <t>2/1625</t>
  </si>
  <si>
    <t>PM0000009931</t>
  </si>
  <si>
    <t>343.25 Galatina</t>
  </si>
  <si>
    <t>PM0000009932</t>
  </si>
  <si>
    <t>PM0000009933</t>
  </si>
  <si>
    <t>FV26-1684</t>
  </si>
  <si>
    <t>PM0000009934</t>
  </si>
  <si>
    <t>FV26-1517</t>
  </si>
  <si>
    <t>344.25 Sant´Omero</t>
  </si>
  <si>
    <t>PM0000009936</t>
  </si>
  <si>
    <t>FV26-1531</t>
  </si>
  <si>
    <t>PM0000009937</t>
  </si>
  <si>
    <t>FV26-1465</t>
  </si>
  <si>
    <t>PM0000009938</t>
  </si>
  <si>
    <t xml:space="preserve">539.25 Ozzano 2 </t>
  </si>
  <si>
    <t>FV26-1466</t>
  </si>
  <si>
    <t>PF 2/2272</t>
  </si>
  <si>
    <t>2/1633</t>
  </si>
  <si>
    <t>049.25 San Moro Caltagirone</t>
  </si>
  <si>
    <t>2/2409</t>
  </si>
  <si>
    <t>2/1649</t>
  </si>
  <si>
    <t>IDi</t>
  </si>
  <si>
    <t>2026-0038</t>
  </si>
  <si>
    <t>Alberto Bruña Dasairas</t>
  </si>
  <si>
    <t>Mobiliario Oficina Roma</t>
  </si>
  <si>
    <t>PM0000009939</t>
  </si>
  <si>
    <t>FV26-1516</t>
  </si>
  <si>
    <t>PM0000009940</t>
  </si>
  <si>
    <t>Gastos de Comunidad del BOX (Italia) 2024-2025-2026</t>
  </si>
  <si>
    <t>NO HAY FACTURA</t>
  </si>
  <si>
    <t>26FV/1385</t>
  </si>
  <si>
    <t>35% STAND FERIA MUNICH 2026</t>
  </si>
  <si>
    <t>AC/000074/2026</t>
  </si>
  <si>
    <t>Obra Eur</t>
  </si>
  <si>
    <t>Serv. comunicacion febrero</t>
  </si>
  <si>
    <t>Serv. comunicacion marzo</t>
  </si>
  <si>
    <t>FPR 10/26</t>
  </si>
  <si>
    <t>Blasis Costruzioni srls</t>
  </si>
  <si>
    <t>Pintura oficina Roma Finalización trabajo</t>
  </si>
  <si>
    <t>FPF 81/26</t>
  </si>
  <si>
    <t>10/04/2026</t>
  </si>
  <si>
    <t>FR2.LIS26/39</t>
  </si>
  <si>
    <t>Traducción y Apostilla</t>
  </si>
  <si>
    <t>PM0000009945</t>
  </si>
  <si>
    <t>FV26-1663</t>
  </si>
  <si>
    <t>PM0000009948</t>
  </si>
  <si>
    <t>FV26-1714</t>
  </si>
  <si>
    <t>472.25 Aloia</t>
  </si>
  <si>
    <t>60/2026</t>
  </si>
  <si>
    <t>SOLAR LAB</t>
  </si>
  <si>
    <t>Ensayos POT de 430.25 PV Pontoglio</t>
  </si>
  <si>
    <t>2/2341</t>
  </si>
  <si>
    <t>2/1652</t>
  </si>
  <si>
    <t>2/2342</t>
  </si>
  <si>
    <t>2/1656</t>
  </si>
  <si>
    <t>2/2339</t>
  </si>
  <si>
    <t>2/1651</t>
  </si>
  <si>
    <t>2/2340</t>
  </si>
  <si>
    <t>2/1653</t>
  </si>
  <si>
    <t>357.24 Ehrensberger</t>
  </si>
  <si>
    <t>2/2372</t>
  </si>
  <si>
    <t>2/1654</t>
  </si>
  <si>
    <t>387.24 Mariolisi</t>
  </si>
  <si>
    <t>2/2371</t>
  </si>
  <si>
    <t>2/1655</t>
  </si>
  <si>
    <t>2/2332</t>
  </si>
  <si>
    <t>2/1669</t>
  </si>
  <si>
    <t>2/2132</t>
  </si>
  <si>
    <t>2/1671</t>
  </si>
  <si>
    <t>425.24 Pachino 2</t>
  </si>
  <si>
    <t>2/2133</t>
  </si>
  <si>
    <t>2/1672</t>
  </si>
  <si>
    <t>426.24 Noto</t>
  </si>
  <si>
    <t>96769</t>
  </si>
  <si>
    <t>373.25 Mordano 2 Esta proforma se divide en 3 facturas, que ponemos más a continuación con total 0</t>
  </si>
  <si>
    <t>FV26-000478</t>
  </si>
  <si>
    <t>PRONTO PANEL S.L</t>
  </si>
  <si>
    <t>Paneles</t>
  </si>
  <si>
    <t>Nota del 30/03/2026</t>
  </si>
  <si>
    <t>314.25 CARFA SAN DONATO,047.25 COCI SAN MICHELLE, 315.25 D´ORSI EDVIGE, 318.25 VALLE 1</t>
  </si>
  <si>
    <t>A 26000070</t>
  </si>
  <si>
    <t>A 26000056</t>
  </si>
  <si>
    <t>A 26000055</t>
  </si>
  <si>
    <t>PM0000009952</t>
  </si>
  <si>
    <t>FV26-1748</t>
  </si>
  <si>
    <t>PM0000009956</t>
  </si>
  <si>
    <t>FV26-1749</t>
  </si>
  <si>
    <t>PM0000009957</t>
  </si>
  <si>
    <t>FV26-1855</t>
  </si>
  <si>
    <t>PM0000009958</t>
  </si>
  <si>
    <t>PM0000009959</t>
  </si>
  <si>
    <t>FV26-1856</t>
  </si>
  <si>
    <t>PM0000009962</t>
  </si>
  <si>
    <t>FV26-1857</t>
  </si>
  <si>
    <t>PM0000009966</t>
  </si>
  <si>
    <t>FV26-1984</t>
  </si>
  <si>
    <t>PM0000009979</t>
  </si>
  <si>
    <t>PM0000009980</t>
  </si>
  <si>
    <t>107.24 Nogare</t>
  </si>
  <si>
    <t>PM0000009982</t>
  </si>
  <si>
    <t>471.25 Massa Maritima</t>
  </si>
  <si>
    <t>PM0000009983</t>
  </si>
  <si>
    <t>PM0000009985</t>
  </si>
  <si>
    <t>PM0000009986</t>
  </si>
  <si>
    <t>NFR FRB/1875</t>
  </si>
  <si>
    <t>PROJECTO V-CONT P. GESTAO EMPRESARIAL LDA</t>
  </si>
  <si>
    <t>Servicios de contabilidad</t>
  </si>
  <si>
    <t>FV062375</t>
  </si>
  <si>
    <t>PF 255313</t>
  </si>
  <si>
    <t>F260001</t>
  </si>
  <si>
    <t>380.25 Sant'Omero</t>
  </si>
  <si>
    <t>PF 255314</t>
  </si>
  <si>
    <t>F260002</t>
  </si>
  <si>
    <t>381.14 Roseto</t>
  </si>
  <si>
    <t>2/2333</t>
  </si>
  <si>
    <t>2/1673</t>
  </si>
  <si>
    <t>2/2355</t>
  </si>
  <si>
    <t>2/1682</t>
  </si>
  <si>
    <t>2/2356</t>
  </si>
  <si>
    <t>2/1683</t>
  </si>
  <si>
    <t>FV062376</t>
  </si>
  <si>
    <t>FV062378</t>
  </si>
  <si>
    <t>447.25 POT Salice Salentino</t>
  </si>
  <si>
    <t>F2603047</t>
  </si>
  <si>
    <t>TRACK N CO</t>
  </si>
  <si>
    <t>410.25 Cozzo Croze</t>
  </si>
  <si>
    <t>F2603046</t>
  </si>
  <si>
    <t>410.25 Vigne Vecchie</t>
  </si>
  <si>
    <t>F260004267ALC</t>
  </si>
  <si>
    <t>F260004375ALC</t>
  </si>
  <si>
    <t>F260004519ALC</t>
  </si>
  <si>
    <t>F260004512ALC</t>
  </si>
  <si>
    <t>047.25 Coci San Michelle</t>
  </si>
  <si>
    <t>P21772</t>
  </si>
  <si>
    <t>FA5.LIS26/29</t>
  </si>
  <si>
    <t xml:space="preserve">Honorarios </t>
  </si>
  <si>
    <t>FA5.LIS26/83</t>
  </si>
  <si>
    <t>Honorarios</t>
  </si>
  <si>
    <t>6566955/1</t>
  </si>
  <si>
    <t>Depósito- Fianza ESTOS PROVEEDORES NOS DADO RECIBO, ES TOTALMENTE LEGAL PARA ESTOS CASOS SEGUN NOS INFORMAN- piso portugal</t>
  </si>
  <si>
    <t>6566955/2</t>
  </si>
  <si>
    <t>Alquiler de abril 2026  ESTOS PROVEEDORES NOS DADO RECIBO, ES TOTALMENTE LEGAL PARA ESTOS CASOS SEGUN NOS INFORMAN piso portugal</t>
  </si>
  <si>
    <t>Transferencia unica de 1.687,50</t>
  </si>
  <si>
    <t>6566955/3</t>
  </si>
  <si>
    <t>Alquiler de mayo 2026 NOS HAN DADO RECIBO.  ESTOS PROVEEDORES NOS DADO RECIBO, ES TOTALMENTE LEGAL PARA ESTOS CASOS SEGUN NOS INFORMAN piso portugal</t>
  </si>
  <si>
    <t>0200/26</t>
  </si>
  <si>
    <t xml:space="preserve">AM THE GLOBAL LUXURY COMPANY -ALVARO OLIVARES </t>
  </si>
  <si>
    <t>Reloj rolex</t>
  </si>
  <si>
    <t>0205/26</t>
  </si>
  <si>
    <t>RELOJ OMEGA</t>
  </si>
  <si>
    <t>0206/26</t>
  </si>
  <si>
    <t>0207/26</t>
  </si>
  <si>
    <t>2026/860069270</t>
  </si>
  <si>
    <t>TRENITALIA TPER SCARL</t>
  </si>
  <si>
    <t>RAVENNA - BOLOGNA CENTRALE</t>
  </si>
  <si>
    <t>2026/9001029210</t>
  </si>
  <si>
    <t>TRENITALIA S.P.A</t>
  </si>
  <si>
    <t>ROMA TERMINI - BOLOGNA CENTRALE</t>
  </si>
  <si>
    <t>0725-0000406</t>
  </si>
  <si>
    <t>JULIAN MARTIN S.A</t>
  </si>
  <si>
    <t>0925-0000533</t>
  </si>
  <si>
    <t>A26000039</t>
  </si>
  <si>
    <t>A26000040</t>
  </si>
  <si>
    <t>A26000045</t>
  </si>
  <si>
    <t>A26000046</t>
  </si>
  <si>
    <t>A26000047</t>
  </si>
  <si>
    <t>PF 1553</t>
  </si>
  <si>
    <t>000012</t>
  </si>
  <si>
    <t>PF 1556</t>
  </si>
  <si>
    <t>000015</t>
  </si>
  <si>
    <t>PF 255361</t>
  </si>
  <si>
    <t>F260003</t>
  </si>
  <si>
    <t>PF 255366</t>
  </si>
  <si>
    <t>F260004</t>
  </si>
  <si>
    <t>PF 255367</t>
  </si>
  <si>
    <t>F260005</t>
  </si>
  <si>
    <t>PF 255368</t>
  </si>
  <si>
    <t>F260006</t>
  </si>
  <si>
    <t>PF 255369</t>
  </si>
  <si>
    <t>F260007</t>
  </si>
  <si>
    <t>PF 260127</t>
  </si>
  <si>
    <t>F 260241</t>
  </si>
  <si>
    <t>STOCK</t>
  </si>
  <si>
    <t>PF 255780</t>
  </si>
  <si>
    <t>F 260276</t>
  </si>
  <si>
    <t>050.25 Scollo 750 Caltagirone</t>
  </si>
  <si>
    <t>PF 260038</t>
  </si>
  <si>
    <t>F 260274</t>
  </si>
  <si>
    <t>410.25 Cozzo Croce Pachino</t>
  </si>
  <si>
    <t>PF 260040</t>
  </si>
  <si>
    <t>F 260273</t>
  </si>
  <si>
    <t>410.25 Vigne Vecchie Portopalo di c.p.</t>
  </si>
  <si>
    <t>2/2357</t>
  </si>
  <si>
    <t>2/1680</t>
  </si>
  <si>
    <t>2/2358</t>
  </si>
  <si>
    <t>2/1684</t>
  </si>
  <si>
    <t>453.25 Ragusa 1</t>
  </si>
  <si>
    <t>23/12/2025</t>
  </si>
  <si>
    <t>FV25/4787</t>
  </si>
  <si>
    <t>2/2359</t>
  </si>
  <si>
    <t>2/1681</t>
  </si>
  <si>
    <t>FV26-0364</t>
  </si>
  <si>
    <t>FV26-0365</t>
  </si>
  <si>
    <t>PF 260089</t>
  </si>
  <si>
    <t>F 260277</t>
  </si>
  <si>
    <t>078.25 PV Chiopris Viscone</t>
  </si>
  <si>
    <t>PF 260173</t>
  </si>
  <si>
    <t>F 260280</t>
  </si>
  <si>
    <t>PF 260182</t>
  </si>
  <si>
    <t>F 260278</t>
  </si>
  <si>
    <t>PF 260177</t>
  </si>
  <si>
    <t>F 260272</t>
  </si>
  <si>
    <t>068.25 Leonardo</t>
  </si>
  <si>
    <t>PF 260172</t>
  </si>
  <si>
    <t>F 260279</t>
  </si>
  <si>
    <t>2026-0034</t>
  </si>
  <si>
    <t>Presupuesto Mobiliario oficina Roma</t>
  </si>
  <si>
    <t>FA.LIS26/122</t>
  </si>
  <si>
    <t>Registro ABOGADOS PORTUGAL</t>
  </si>
  <si>
    <t>PF 260298</t>
  </si>
  <si>
    <t>F 260428</t>
  </si>
  <si>
    <t>PF 1607</t>
  </si>
  <si>
    <t>000017</t>
  </si>
  <si>
    <t>315.25 D' Orsi Edvige</t>
  </si>
  <si>
    <t>PF 1608</t>
  </si>
  <si>
    <t>000018</t>
  </si>
  <si>
    <t>PF 1609</t>
  </si>
  <si>
    <t>000019</t>
  </si>
  <si>
    <t>PF 1606</t>
  </si>
  <si>
    <t>000016</t>
  </si>
  <si>
    <t>INV/2026/00002</t>
  </si>
  <si>
    <t>TRAMILEX GLOBAL SERVICES S.L</t>
  </si>
  <si>
    <t>Contrato entre empresas, tramites notariales, legalización y apostilla</t>
  </si>
  <si>
    <t>INV/2026/00003</t>
  </si>
  <si>
    <t>INV/2026/00004</t>
  </si>
  <si>
    <t>PF 2/2323</t>
  </si>
  <si>
    <t>2/1693</t>
  </si>
  <si>
    <t>FPR 8/26</t>
  </si>
  <si>
    <t>Pintura oficina Roma</t>
  </si>
  <si>
    <t>CW61ES2604000003</t>
  </si>
  <si>
    <t>TIME LOGISTIC S.L- PERRELET</t>
  </si>
  <si>
    <t>Pagado por PAYPAL</t>
  </si>
  <si>
    <t>FV061631</t>
  </si>
  <si>
    <t>FV061706</t>
  </si>
  <si>
    <t>315.25 D'orsi Evidge</t>
  </si>
  <si>
    <t>FV061707</t>
  </si>
  <si>
    <t>FV061708</t>
  </si>
  <si>
    <t>FV061709</t>
  </si>
  <si>
    <t>FV061710</t>
  </si>
  <si>
    <t>FV061711</t>
  </si>
  <si>
    <t>Feria Rimini</t>
  </si>
  <si>
    <t>FV061712</t>
  </si>
  <si>
    <t>Stock Bifila</t>
  </si>
  <si>
    <t>FV061713</t>
  </si>
  <si>
    <t>FV061714</t>
  </si>
  <si>
    <t>FV061715</t>
  </si>
  <si>
    <t>FV061716</t>
  </si>
  <si>
    <t>FV061717</t>
  </si>
  <si>
    <t>FV061718</t>
  </si>
  <si>
    <t>FV061719</t>
  </si>
  <si>
    <t>FV061720</t>
  </si>
  <si>
    <t>FV061721</t>
  </si>
  <si>
    <t>FV061722</t>
  </si>
  <si>
    <t>FV061723</t>
  </si>
  <si>
    <t>FV061725</t>
  </si>
  <si>
    <t>FV061724</t>
  </si>
  <si>
    <t>FV061768</t>
  </si>
  <si>
    <t>FV061769</t>
  </si>
  <si>
    <t>FV061770</t>
  </si>
  <si>
    <t>FV061771</t>
  </si>
  <si>
    <t>FV061772</t>
  </si>
  <si>
    <t>FV061773</t>
  </si>
  <si>
    <t>FV061774</t>
  </si>
  <si>
    <t>FV061775</t>
  </si>
  <si>
    <t>FV061776</t>
  </si>
  <si>
    <t>FV061777</t>
  </si>
  <si>
    <t>FV061778</t>
  </si>
  <si>
    <t>FV061827</t>
  </si>
  <si>
    <t>FV061828</t>
  </si>
  <si>
    <t>FV061829</t>
  </si>
  <si>
    <t>FV061830</t>
  </si>
  <si>
    <t>FV061831</t>
  </si>
  <si>
    <t>FV061832</t>
  </si>
  <si>
    <t>FV061833</t>
  </si>
  <si>
    <t>FV061907</t>
  </si>
  <si>
    <t>FV061908</t>
  </si>
  <si>
    <t>FV061909</t>
  </si>
  <si>
    <t>FV061910</t>
  </si>
  <si>
    <t>FV061911</t>
  </si>
  <si>
    <t>FV061912</t>
  </si>
  <si>
    <t>FV061913</t>
  </si>
  <si>
    <t>047.25 Coci San Michele di Ganzaria</t>
  </si>
  <si>
    <t>FV061914</t>
  </si>
  <si>
    <t>050.25 Scollo 750 Catalgirone</t>
  </si>
  <si>
    <t>FV061993</t>
  </si>
  <si>
    <t>FV061994</t>
  </si>
  <si>
    <t>FV061992</t>
  </si>
  <si>
    <t>A26000031</t>
  </si>
  <si>
    <t>142.25 CASTROVILLARI C</t>
  </si>
  <si>
    <t>PP121</t>
  </si>
  <si>
    <t>341.25 Mazzara</t>
  </si>
  <si>
    <t>PP 33</t>
  </si>
  <si>
    <t>410.25 COZZO CROCE</t>
  </si>
  <si>
    <t>PF 596</t>
  </si>
  <si>
    <t>PF 1554</t>
  </si>
  <si>
    <t>000013</t>
  </si>
  <si>
    <t>PP 185</t>
  </si>
  <si>
    <t>PP 240</t>
  </si>
  <si>
    <t>2/2312</t>
  </si>
  <si>
    <t>2/1692</t>
  </si>
  <si>
    <t>PF 2/2296</t>
  </si>
  <si>
    <t>2/1698</t>
  </si>
  <si>
    <t>157.25 Dalmaso</t>
  </si>
  <si>
    <t>2/1699</t>
  </si>
  <si>
    <t>008.25 Mondragone 2 009.25 Mondragone 3</t>
  </si>
  <si>
    <t>2/2306</t>
  </si>
  <si>
    <t>2/1703</t>
  </si>
  <si>
    <t>NO HAY PROFORMA</t>
  </si>
  <si>
    <t>PF 2/2299</t>
  </si>
  <si>
    <t>2/1707</t>
  </si>
  <si>
    <t>PF 2/2300</t>
  </si>
  <si>
    <t>2/1715</t>
  </si>
  <si>
    <t>2/1726</t>
  </si>
  <si>
    <t>047.25 Coci San Michele Di Ganzaria</t>
  </si>
  <si>
    <t>2/1727</t>
  </si>
  <si>
    <t>2/1748</t>
  </si>
  <si>
    <t>F260003110ALC</t>
  </si>
  <si>
    <t>F260003113ALC</t>
  </si>
  <si>
    <t>285.25 Rosignano</t>
  </si>
  <si>
    <t>AR/002493</t>
  </si>
  <si>
    <t>000489/2026</t>
  </si>
  <si>
    <t>Puerta y paneles fibra mineral</t>
  </si>
  <si>
    <t>FV062377</t>
  </si>
  <si>
    <t>036.25 Soleto 3, se ha emitido una factura con mismo importe para anular esta factura-FV062402</t>
  </si>
  <si>
    <t>FV26-1076</t>
  </si>
  <si>
    <t>491.25 Recanati</t>
  </si>
  <si>
    <t>FV26-1424</t>
  </si>
  <si>
    <t>A2600503</t>
  </si>
  <si>
    <t>Feria KEY ENERGY - RIMINI</t>
  </si>
  <si>
    <t>PF 260376</t>
  </si>
  <si>
    <t>F 260427</t>
  </si>
  <si>
    <t>FV26-1425</t>
  </si>
  <si>
    <t>FVS26-1180</t>
  </si>
  <si>
    <t>P4Q SUNTRACK SERVICES S.L.</t>
  </si>
  <si>
    <t>161.23 Sessa Aurunca 12</t>
  </si>
  <si>
    <t>B2600027</t>
  </si>
  <si>
    <t>Feria KEY ENERGY - RIMINI- aun no registrada pendiente de jessica</t>
  </si>
  <si>
    <t>2-FE</t>
  </si>
  <si>
    <t>FPR 24/26</t>
  </si>
  <si>
    <t>Alquiler abril piso FACTURA A NOMBRE DE JAM</t>
  </si>
  <si>
    <t>No hay fattura - a nombre de JAM</t>
  </si>
  <si>
    <t>Alquiler piso EUR</t>
  </si>
  <si>
    <t>No hay fattura</t>
  </si>
  <si>
    <t>FPR 15/26</t>
  </si>
  <si>
    <t>Alquiler Abril Oficina Marconi (Roma)</t>
  </si>
  <si>
    <t>FPR 25/26</t>
  </si>
  <si>
    <t>Alquiler  Abril Oficina EUR Roma</t>
  </si>
  <si>
    <t>Registracion contrato cuota del 50% 128€ - Recibo luz (ACEA) Dic25- Gen-26 58,90€ - Tasa Basura 1 trim 2026 69,30€ - Recibo ENI Gen- Feb-26 42,51€ - Anticipo recibo comunidad/calefaccion (Feb/ Mar-2026) 200€</t>
  </si>
  <si>
    <t>PP 34</t>
  </si>
  <si>
    <t>410.25 VIGNE VECCHIE</t>
  </si>
  <si>
    <t>407-1180596-9827558</t>
  </si>
  <si>
    <t xml:space="preserve">AMAZON </t>
  </si>
  <si>
    <t>TELEFONO SAMSUNG A16 - NO HAY Nº DE FACTURA LO GUARDAMOS EN PROFORMAS</t>
  </si>
  <si>
    <t>IT6NZ6SMAEUD</t>
  </si>
  <si>
    <t>AMAZON</t>
  </si>
  <si>
    <t>PROTECTOR DE PANTALLA</t>
  </si>
  <si>
    <t>IT6001V1XQOK7T</t>
  </si>
  <si>
    <t>FUNDA SAMSUNG</t>
  </si>
  <si>
    <t>FPR 236/26</t>
  </si>
  <si>
    <t>LINE COURIER</t>
  </si>
  <si>
    <t xml:space="preserve">Transporte </t>
  </si>
  <si>
    <t>407-2362200-9149121</t>
  </si>
  <si>
    <t>NESCAFÉ DOLCE GUSTO- NO HAY Nº DE FACTURA LO GUARDAMOS EN PROFORMAS</t>
  </si>
  <si>
    <t>IT6000W1XAAOPT</t>
  </si>
  <si>
    <t>Vasos de papel</t>
  </si>
  <si>
    <t>FPR 224/26</t>
  </si>
  <si>
    <t>017/2026</t>
  </si>
  <si>
    <t>INKOUT</t>
  </si>
  <si>
    <t>Personal Inkout para KEY ENERGY</t>
  </si>
  <si>
    <t>A 26000012</t>
  </si>
  <si>
    <t>A 26000013</t>
  </si>
  <si>
    <t>A 26000014</t>
  </si>
  <si>
    <t>A 26000015</t>
  </si>
  <si>
    <t>A26000020</t>
  </si>
  <si>
    <t>A26000021</t>
  </si>
  <si>
    <t>142.25 CASTROVILLARI B</t>
  </si>
  <si>
    <t>PP 71</t>
  </si>
  <si>
    <t>120.25 AVEZZANO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</si>
  <si>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</si>
  <si>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2/1747</t>
  </si>
  <si>
    <t>2/2445</t>
  </si>
  <si>
    <t>2/1755</t>
  </si>
  <si>
    <t>2/1770</t>
  </si>
  <si>
    <t>2/1762</t>
  </si>
  <si>
    <t>I+D+i</t>
  </si>
  <si>
    <t>F260002246ALC</t>
  </si>
  <si>
    <t>009.25 Mondragone 02-Pizzela</t>
  </si>
  <si>
    <t>F260002247ALC</t>
  </si>
  <si>
    <t>008.25 Mondragone 03- Palmieri</t>
  </si>
  <si>
    <t>PP160</t>
  </si>
  <si>
    <t>PF 260374</t>
  </si>
  <si>
    <t>F 260623</t>
  </si>
  <si>
    <t>341.25 Mazzara ALP</t>
  </si>
  <si>
    <t>PV 050.25 SCOLLO 259.25 CODROIPO, 281.25 POZZO NOVO, 410.25 VIGNE VECCHIE</t>
  </si>
  <si>
    <t>000210/2026</t>
  </si>
  <si>
    <t>Material obra Eur</t>
  </si>
  <si>
    <t>047/2026</t>
  </si>
  <si>
    <t>2- 50% Stand feria KEY ENERGY</t>
  </si>
  <si>
    <t>NOTA DE CREDITO 068/2026</t>
  </si>
  <si>
    <t>Descuento por personal feria KEY ENERGY</t>
  </si>
  <si>
    <t>PP249</t>
  </si>
  <si>
    <t>540.25 Terralba</t>
  </si>
  <si>
    <t>FVS26-1181</t>
  </si>
  <si>
    <t>317.25 Said 7</t>
  </si>
  <si>
    <t>745035-2026/IE</t>
  </si>
  <si>
    <t>RYANAIR DAC</t>
  </si>
  <si>
    <t>Booking Reference: T4J9FQ</t>
  </si>
  <si>
    <t>FV061995</t>
  </si>
  <si>
    <t>FV061996</t>
  </si>
  <si>
    <t>FV061997</t>
  </si>
  <si>
    <t>FV062403</t>
  </si>
  <si>
    <t>FV061998</t>
  </si>
  <si>
    <t>FV062073</t>
  </si>
  <si>
    <t>FV062074</t>
  </si>
  <si>
    <t>FV062075</t>
  </si>
  <si>
    <t>FV062076</t>
  </si>
  <si>
    <t xml:space="preserve">430.25 Pontoglio </t>
  </si>
  <si>
    <t>FV062077</t>
  </si>
  <si>
    <t>FV062078</t>
  </si>
  <si>
    <t>FV062079</t>
  </si>
  <si>
    <t>FV062080</t>
  </si>
  <si>
    <t>FV062081</t>
  </si>
  <si>
    <t>FV062082</t>
  </si>
  <si>
    <t>FV062174</t>
  </si>
  <si>
    <t>GOLDEN HOSTESS &amp; MODELS AGENCY</t>
  </si>
  <si>
    <t>AZAFATAS FERIA RIMINI</t>
  </si>
  <si>
    <t>BOLIGRAFOS ALPHATRACKER FERIA KEY ENERGY</t>
  </si>
  <si>
    <t>PF 260375</t>
  </si>
  <si>
    <t>F 260624</t>
  </si>
  <si>
    <t>PF 260409</t>
  </si>
  <si>
    <t>F 260429</t>
  </si>
  <si>
    <t>F260002111ALC</t>
  </si>
  <si>
    <t>F260002110ALC</t>
  </si>
  <si>
    <t xml:space="preserve">314.25 Carafa Donato </t>
  </si>
  <si>
    <t>F260002112ALC</t>
  </si>
  <si>
    <t>F260002113ALC</t>
  </si>
  <si>
    <t>F260002115ALC</t>
  </si>
  <si>
    <t>F260002114ALC</t>
  </si>
  <si>
    <t>000166/2026</t>
  </si>
  <si>
    <t>301/2026</t>
  </si>
  <si>
    <t>SARAGONI DONATELLA ¬ C SAS</t>
  </si>
  <si>
    <t>RIMINI SUITE HOTEL - gastos extra de estancia- FERIA KEY ENERGY (hotel Montage)</t>
  </si>
  <si>
    <t>1</t>
  </si>
  <si>
    <t>La Rocca SRL</t>
  </si>
  <si>
    <t>Estancia hotel en Venezia del 11/03/2026 al 12/03/2026 FLOR Y ANTONIO</t>
  </si>
  <si>
    <t>409/03</t>
  </si>
  <si>
    <t>ATLANTIC HOTEL DI TUTTOMEETING SRL</t>
  </si>
  <si>
    <t>Hotel Feria Rimini -KEY ENERGY Resto de estancia y consumiciones</t>
  </si>
  <si>
    <t>496554-2026/IE</t>
  </si>
  <si>
    <t>Booking Reference: T3ZJ6D</t>
  </si>
  <si>
    <t>PF 260607</t>
  </si>
  <si>
    <t>F 260506</t>
  </si>
  <si>
    <t>A3403</t>
  </si>
  <si>
    <t>PF 260601</t>
  </si>
  <si>
    <t>F 260432</t>
  </si>
  <si>
    <t>PF 260608</t>
  </si>
  <si>
    <t>F 260533</t>
  </si>
  <si>
    <t>483.25 Proyecto Treia 4</t>
  </si>
  <si>
    <t>PF 260609</t>
  </si>
  <si>
    <t>F 260625</t>
  </si>
  <si>
    <t>344.25 Sant´ Omero</t>
  </si>
  <si>
    <t>PF 260651</t>
  </si>
  <si>
    <t>F 260505</t>
  </si>
  <si>
    <t>PF 260806</t>
  </si>
  <si>
    <t>F 260430</t>
  </si>
  <si>
    <t>PF 260807</t>
  </si>
  <si>
    <t>F 260431</t>
  </si>
  <si>
    <t>PF 260833</t>
  </si>
  <si>
    <t>F 260534</t>
  </si>
  <si>
    <t>PF 261083</t>
  </si>
  <si>
    <t>F 260621</t>
  </si>
  <si>
    <t>PF 261121</t>
  </si>
  <si>
    <t>F 260622</t>
  </si>
  <si>
    <t>048.25 Comiso 3 Ovodiana</t>
  </si>
  <si>
    <t>PF 261122</t>
  </si>
  <si>
    <t>F 260620</t>
  </si>
  <si>
    <t>052.52 Vizzini Ovest</t>
  </si>
  <si>
    <t>PF 261145</t>
  </si>
  <si>
    <t>F 260504</t>
  </si>
  <si>
    <t>PF 261412</t>
  </si>
  <si>
    <t>F 260662</t>
  </si>
  <si>
    <t>PF 261414</t>
  </si>
  <si>
    <t>F 260707</t>
  </si>
  <si>
    <t xml:space="preserve">El total de la factura es de 2.388,35€ para que cuadrase hemos tenido que ajustar el total de la factura </t>
  </si>
  <si>
    <t>PF 261415</t>
  </si>
  <si>
    <t>F 260706</t>
  </si>
  <si>
    <t>2/1769</t>
  </si>
  <si>
    <t>FRP 56/26</t>
  </si>
  <si>
    <t>FVS26-1187</t>
  </si>
  <si>
    <t>A 133</t>
  </si>
  <si>
    <t>Ledwall Feria Rimini</t>
  </si>
  <si>
    <t>PAGO DEL RESTO DE LA FACTURA AHORA QUE TENEMOS TOTAL FACTURA</t>
  </si>
  <si>
    <t>PM0000009953</t>
  </si>
  <si>
    <t>FV26-1739</t>
  </si>
  <si>
    <t>342.25 Roccamena HAY DOS FACTURAS DE ESTE PROYECO, JUNTAS SUMAN EL TOTAL DE LA PROFORMA FV26-1739 Y FV26-1740 total proforma 40.003,62€</t>
  </si>
  <si>
    <t>AC/000037/2026</t>
  </si>
  <si>
    <t>30% Obra ofician Eur</t>
  </si>
  <si>
    <t>FRB/1832</t>
  </si>
  <si>
    <t>FV26-1740</t>
  </si>
  <si>
    <t>Alquiler Marzo piso EUR (trabajadores)</t>
  </si>
  <si>
    <t>FPF 10/26</t>
  </si>
  <si>
    <t>Alquiler Marzo Oficina Marconi (Roma)</t>
  </si>
  <si>
    <t>FPR 18/26</t>
  </si>
  <si>
    <t>FASBOC ITALIA Srl</t>
  </si>
  <si>
    <t xml:space="preserve">Alquiler  Marzo Oficina EUR (Roma) + registracion contrato + comunidad </t>
  </si>
  <si>
    <t>A2600278</t>
  </si>
  <si>
    <t>Alquiler piso JAM</t>
  </si>
  <si>
    <t>Factura a nombre de JAM</t>
  </si>
  <si>
    <t>0125/26</t>
  </si>
  <si>
    <t>2026/9000601965</t>
  </si>
  <si>
    <t>TREN RIMINI-BOLOGNA CENTRALE</t>
  </si>
  <si>
    <t>FRP 41/26</t>
  </si>
  <si>
    <t>078.25 CHIOPRIS, 274.25 RAVENNA, 008.25 MONDRAGONE 2, 009.25 MONDRAGONE 03</t>
  </si>
  <si>
    <t>260/242</t>
  </si>
  <si>
    <t>Feria Rimini 2026</t>
  </si>
  <si>
    <t>001</t>
  </si>
  <si>
    <t>MARIA DEL CARMEN SANCHEZ GALLARDO</t>
  </si>
  <si>
    <t>Alquiler anual del 1d e febrero 2026 a 31 de enero 2027 de finca rustica poligono 84 poligono 224 partifo alto antequera</t>
  </si>
  <si>
    <t xml:space="preserve">Se pagó el 05/02/2026 y devolvieron el recibo. </t>
  </si>
  <si>
    <t>FV25/4674</t>
  </si>
  <si>
    <t>F260000848ALC</t>
  </si>
  <si>
    <t>PF 261413</t>
  </si>
  <si>
    <t>F 260857</t>
  </si>
  <si>
    <t>F260001324ALC</t>
  </si>
  <si>
    <t>FVS26-0850</t>
  </si>
  <si>
    <t>394.24 Rotello 1</t>
  </si>
  <si>
    <t>FVS26-0822</t>
  </si>
  <si>
    <t>Reparación 2 TCU Prototipos</t>
  </si>
  <si>
    <t>FV26-1099</t>
  </si>
  <si>
    <t>AC/000034/2026</t>
  </si>
  <si>
    <t>Anticipo Presupuesto Oficina Italia</t>
  </si>
  <si>
    <t>Varios Feria Rimini</t>
  </si>
  <si>
    <t>EL IMPORTE DE LA FACTURA ES DE 1502€, COMPROBAR EL PAGO QUE SE HA REALIZADO PARA CUADRAR DATOS</t>
  </si>
  <si>
    <t>FRP 451/25</t>
  </si>
  <si>
    <t>260/294</t>
  </si>
  <si>
    <t>ES6CUCUABEI</t>
  </si>
  <si>
    <t>4 TECLADO CON CABLE</t>
  </si>
  <si>
    <t>IRS PERIODO 2026/01</t>
  </si>
  <si>
    <t>BEDETTI</t>
  </si>
  <si>
    <t>0109/26</t>
  </si>
  <si>
    <t>C202600000119894</t>
  </si>
  <si>
    <t>VUELING AIRLINES SA</t>
  </si>
  <si>
    <t>FERIA INTERSOLAR</t>
  </si>
  <si>
    <t>PAGO INMEDIATO HOY EL 19/02/2026</t>
  </si>
  <si>
    <t>FV26-1110</t>
  </si>
  <si>
    <t>FVS26-0735</t>
  </si>
  <si>
    <t>053.23 Giop</t>
  </si>
  <si>
    <t>FVS26-0734</t>
  </si>
  <si>
    <t>267.24 Horus</t>
  </si>
  <si>
    <t>FVS26-0732</t>
  </si>
  <si>
    <t>268.24 Mazzocchio 0</t>
  </si>
  <si>
    <t>PP 32</t>
  </si>
  <si>
    <t>050.25 SCOLLO 750 CALTAGIRONE</t>
  </si>
  <si>
    <t>PP 211</t>
  </si>
  <si>
    <t xml:space="preserve">PP 186 </t>
  </si>
  <si>
    <t>344.25 Sant'Omero</t>
  </si>
  <si>
    <t>PP 70</t>
  </si>
  <si>
    <t>453.25 RAGUSA</t>
  </si>
  <si>
    <t>PP351</t>
  </si>
  <si>
    <t>PP 74</t>
  </si>
  <si>
    <t>259.25 CODROIPO</t>
  </si>
  <si>
    <t>PP 31</t>
  </si>
  <si>
    <t>047.25 COCI SAN MICHELE</t>
  </si>
  <si>
    <t>PP350</t>
  </si>
  <si>
    <t>048.25 Comiso 3</t>
  </si>
  <si>
    <t>A2600240</t>
  </si>
  <si>
    <t>Feria KEY ENERGY - 2 Camiones solo IDA</t>
  </si>
  <si>
    <t>2/2470</t>
  </si>
  <si>
    <t>2/1768</t>
  </si>
  <si>
    <t>F260000425ALC</t>
  </si>
  <si>
    <t>F260000424ALC</t>
  </si>
  <si>
    <t>F260000423ALC</t>
  </si>
  <si>
    <t>F260000422ALC</t>
  </si>
  <si>
    <t>410.25 vIGNE</t>
  </si>
  <si>
    <t>410.25 Cozzo</t>
  </si>
  <si>
    <t>KG10120430006</t>
  </si>
  <si>
    <t>CHANEL S.L.U.</t>
  </si>
  <si>
    <t>Certificado Electronico</t>
  </si>
  <si>
    <t>FVS26-0729</t>
  </si>
  <si>
    <t>006.24 San Biagio</t>
  </si>
  <si>
    <t>FRB/1789</t>
  </si>
  <si>
    <t>2/2488</t>
  </si>
  <si>
    <t>2/1778</t>
  </si>
  <si>
    <t>254/3</t>
  </si>
  <si>
    <t>TUTTO MEETING SRL</t>
  </si>
  <si>
    <t>30% HOTEL RIMINI</t>
  </si>
  <si>
    <t>La ftt llegará despues del Check - out</t>
  </si>
  <si>
    <t>302069-2026/IE</t>
  </si>
  <si>
    <t>C202600000117588</t>
  </si>
  <si>
    <t>C202600000117595</t>
  </si>
  <si>
    <t>300762/2026/IE</t>
  </si>
  <si>
    <t>075-2532225754</t>
  </si>
  <si>
    <t>VUELO RUBEN BOLOGNA- MADRID- MÁLAGA</t>
  </si>
  <si>
    <t>Hotel Feria Rimini -KEY ENERGY  Anticipo</t>
  </si>
  <si>
    <t>2026/9000410638</t>
  </si>
  <si>
    <t>FV062175</t>
  </si>
  <si>
    <t>FV062176</t>
  </si>
  <si>
    <t>FV062177</t>
  </si>
  <si>
    <t>FV062178</t>
  </si>
  <si>
    <t>FV062404</t>
  </si>
  <si>
    <t>FV062179</t>
  </si>
  <si>
    <t>FV062180</t>
  </si>
  <si>
    <t>FV062181</t>
  </si>
  <si>
    <t>FV062182</t>
  </si>
  <si>
    <t>FV062405</t>
  </si>
  <si>
    <t>FV062117</t>
  </si>
  <si>
    <t>FV062184</t>
  </si>
  <si>
    <t>FV062183</t>
  </si>
  <si>
    <t>FV062236</t>
  </si>
  <si>
    <t>FV062237</t>
  </si>
  <si>
    <t>FV062238</t>
  </si>
  <si>
    <t>FV062239</t>
  </si>
  <si>
    <t>FV062240</t>
  </si>
  <si>
    <t>FV062241</t>
  </si>
  <si>
    <t>FV062242</t>
  </si>
  <si>
    <t>FV062243</t>
  </si>
  <si>
    <t>FV062244</t>
  </si>
  <si>
    <t>FV062245</t>
  </si>
  <si>
    <t>UGbzm4Ynh-1770877200</t>
  </si>
  <si>
    <t>ALFOMBRILLAS RATON - RECLAMAR A PROVEEDOR</t>
  </si>
  <si>
    <t>FV062406</t>
  </si>
  <si>
    <t>FV062407</t>
  </si>
  <si>
    <t>FV062291</t>
  </si>
  <si>
    <t>FV062292</t>
  </si>
  <si>
    <t>FV062293</t>
  </si>
  <si>
    <t>FV062294</t>
  </si>
  <si>
    <t>FV062295</t>
  </si>
  <si>
    <t>FRP 2/26</t>
  </si>
  <si>
    <t>Servicio de limpieza</t>
  </si>
  <si>
    <t>Alquiler Febrero piso Eur (Trabajadores)</t>
  </si>
  <si>
    <t>FPT 15/26</t>
  </si>
  <si>
    <t xml:space="preserve">Alquiler  Febrero Oficina EUR (Roma) + registracion contrato + comunidad </t>
  </si>
  <si>
    <t>311.25 Ondulor, 157.25 Dalmasso, 285.25 Rosignano Marittimo, 198.25 Lecce</t>
  </si>
  <si>
    <t xml:space="preserve">1 - 50% Stand Energaia </t>
  </si>
  <si>
    <t>FPR 9/26</t>
  </si>
  <si>
    <t>Alquiler Febrero Oficina Marconi (Roma)</t>
  </si>
  <si>
    <t>A 25000364</t>
  </si>
  <si>
    <t>FVS26-0731</t>
  </si>
  <si>
    <t>215.24 Mungetti</t>
  </si>
  <si>
    <t>FVS26-0728</t>
  </si>
  <si>
    <t>FVS26-0733</t>
  </si>
  <si>
    <t>236.24 Nociglia 3</t>
  </si>
  <si>
    <t>FVS26-0730</t>
  </si>
  <si>
    <t xml:space="preserve">252.23 Soleto </t>
  </si>
  <si>
    <t>FVS26-0616</t>
  </si>
  <si>
    <t>Alquiler piso Jose Antonio (Roma)</t>
  </si>
  <si>
    <t>No hay factura</t>
  </si>
  <si>
    <t>300/2026</t>
  </si>
  <si>
    <t>RIMINI SUITE HOTEL - Hotel Montaje (2 han) - FERIA KEY ENERGY</t>
  </si>
  <si>
    <t>Concepto transferencia: CAPARRA PENITENZIALE 79247</t>
  </si>
  <si>
    <t>2/1783</t>
  </si>
  <si>
    <t>007.25 Fattoria y 142.25 Castrovillari A, B, C</t>
  </si>
  <si>
    <t>RGE-153489</t>
  </si>
  <si>
    <t xml:space="preserve">Alquiler coche Argentina </t>
  </si>
  <si>
    <t>SANTANDER</t>
  </si>
  <si>
    <t>RGE-154797</t>
  </si>
  <si>
    <t>Alquiler coche Munich La factura llega despues del servicio.</t>
  </si>
  <si>
    <t>IT6ARY4OAEUD</t>
  </si>
  <si>
    <t xml:space="preserve">PULIDOR METALES </t>
  </si>
  <si>
    <t>IT6000HLFHPGDT</t>
  </si>
  <si>
    <t>ZAPATOS DE TRABAJO MUJER</t>
  </si>
  <si>
    <t>XX600053NSNH3T</t>
  </si>
  <si>
    <t>Pulidor de relojes y spray limpiador relojes</t>
  </si>
  <si>
    <t xml:space="preserve">LIMPIADOR ACERO, PLATA, PULIMENTO, </t>
  </si>
  <si>
    <t>IT600A81NIP7LT</t>
  </si>
  <si>
    <t>PAPEL DE MANOS</t>
  </si>
  <si>
    <t>ES6002JUXAAOPU</t>
  </si>
  <si>
    <t>Vasos desechables</t>
  </si>
  <si>
    <t>FV062296</t>
  </si>
  <si>
    <t>FV062297</t>
  </si>
  <si>
    <t>FV062298</t>
  </si>
  <si>
    <t>FV062299</t>
  </si>
  <si>
    <t>FV062402</t>
  </si>
  <si>
    <t>036.25 Soleto 3 factura que anula factura-FV062377</t>
  </si>
  <si>
    <t>FV062408</t>
  </si>
  <si>
    <t>FERIA KEY ENERGY 2023</t>
  </si>
  <si>
    <t>1225-0000863</t>
  </si>
  <si>
    <t>VALENTINA TUNDIS</t>
  </si>
  <si>
    <t>0126-0000328</t>
  </si>
  <si>
    <t>A 25000345</t>
  </si>
  <si>
    <t>FVS26-0615</t>
  </si>
  <si>
    <t>FVS26-0637</t>
  </si>
  <si>
    <t>118.24 Racamulto 2</t>
  </si>
  <si>
    <t>FVS26-0638</t>
  </si>
  <si>
    <t>270.24 Mazzocchio 6</t>
  </si>
  <si>
    <t>FVS26-0639</t>
  </si>
  <si>
    <t>269.24 Mazzocchio 5</t>
  </si>
  <si>
    <t>FVS26-0640</t>
  </si>
  <si>
    <t>255.23 Nocciano</t>
  </si>
  <si>
    <t>FVS26-0641</t>
  </si>
  <si>
    <t>233.23 Donema</t>
  </si>
  <si>
    <t>FVS26-0642</t>
  </si>
  <si>
    <t>FVS26-0643</t>
  </si>
  <si>
    <t>119.24 Racamulto 3</t>
  </si>
  <si>
    <t>FVS26-0644</t>
  </si>
  <si>
    <t>182.24 Boni Viadana- Monitoring</t>
  </si>
  <si>
    <t>PF 595</t>
  </si>
  <si>
    <t>9.600 pago 6 meses piso Flor + 284,45 Luz (Octubre Noviembre), gas (noviembre, dieiciembre) + comunidad (Diembre y enero)</t>
  </si>
  <si>
    <t>F250022094ALC</t>
  </si>
  <si>
    <t>FERIA FRANCIA 12/2025</t>
  </si>
  <si>
    <t>F250022297ALC</t>
  </si>
  <si>
    <t>425.24 Pachino 2, 426.24 Noto</t>
  </si>
  <si>
    <t>F250022220ALC</t>
  </si>
  <si>
    <t xml:space="preserve">473.24 Eichendorf+046.25 Asi Caltagirone+ Feria Francia </t>
  </si>
  <si>
    <t>FV062379</t>
  </si>
  <si>
    <t>FV062380</t>
  </si>
  <si>
    <t>FV062381</t>
  </si>
  <si>
    <t>FA.2026/412</t>
  </si>
  <si>
    <t>DI VERIS-CONTAB. E SERV.APOIO À GESTÃO, LDA</t>
  </si>
  <si>
    <t>Cuota mensual</t>
  </si>
  <si>
    <t>A11796</t>
  </si>
  <si>
    <t>Embutidos FERIA MUNICH INTERSOLAR</t>
  </si>
  <si>
    <t>260/121</t>
  </si>
  <si>
    <t>FVS26-0655</t>
  </si>
  <si>
    <t>FVS26-0656</t>
  </si>
  <si>
    <t>FVS26-0657</t>
  </si>
  <si>
    <t>259.24 Parabita</t>
  </si>
  <si>
    <t>FVS26-0670</t>
  </si>
  <si>
    <t>442.24 Alameda 1</t>
  </si>
  <si>
    <t>FVS26-0561</t>
  </si>
  <si>
    <t>197.24 Mitterskirchen</t>
  </si>
  <si>
    <t>FVS26-0584</t>
  </si>
  <si>
    <t>FVS26-0889</t>
  </si>
  <si>
    <t>FVS26-0406</t>
  </si>
  <si>
    <t>104.25 San Giorgio Di Lomellina</t>
  </si>
  <si>
    <t>PF 597</t>
  </si>
  <si>
    <t>RGE-156205</t>
  </si>
  <si>
    <t>IT651S9MAEUD</t>
  </si>
  <si>
    <t>AMAZON EU SARL</t>
  </si>
  <si>
    <t>EX260002</t>
  </si>
  <si>
    <t>M. C. COPIGRAFIA S.L.</t>
  </si>
  <si>
    <t>Envio libretas</t>
  </si>
  <si>
    <t>2026/9000113000</t>
  </si>
  <si>
    <t>TD04</t>
  </si>
  <si>
    <t>19/01/206</t>
  </si>
  <si>
    <t>ABONO TREN ITALIA</t>
  </si>
  <si>
    <t>ES62QEEABEI</t>
  </si>
  <si>
    <t>TRITURADORA</t>
  </si>
  <si>
    <t>0018/26</t>
  </si>
  <si>
    <t>IRS PERIODO 2025/12</t>
  </si>
  <si>
    <t>C202600000025713</t>
  </si>
  <si>
    <t>Vuelo Florencia</t>
  </si>
  <si>
    <t>DWAM-43149662</t>
  </si>
  <si>
    <t xml:space="preserve"> (AGP-FCO)</t>
  </si>
  <si>
    <t>6566955/4</t>
  </si>
  <si>
    <t>Alquiler de junio 2026</t>
  </si>
  <si>
    <t>Transferencia de 1.500, nos devuelven la retencion</t>
  </si>
  <si>
    <t>GEMA KundenCenter</t>
  </si>
  <si>
    <t>Uso de nuestra musica en feria de MUNICH- Hemos reclamado el IVA de las facturas pendientes de que nos comenten</t>
  </si>
  <si>
    <t>FV062470</t>
  </si>
  <si>
    <t>FV062471</t>
  </si>
  <si>
    <t>FV062472</t>
  </si>
  <si>
    <t>FV062473</t>
  </si>
  <si>
    <t>FV062474</t>
  </si>
  <si>
    <t>A 25000331</t>
  </si>
  <si>
    <t>046.25 Asi Caltagirone/049.25 San Moro Caltagirone/285.25 Rosignano Marittimo</t>
  </si>
  <si>
    <t>FVS26-0398</t>
  </si>
  <si>
    <t>105.25 Valle Lomellina</t>
  </si>
  <si>
    <t>FVS26-0351</t>
  </si>
  <si>
    <t>047.24 San Giorgio Di Lomelli</t>
  </si>
  <si>
    <t>FVS26-0363</t>
  </si>
  <si>
    <t>116.24 CRC 2</t>
  </si>
  <si>
    <t>FVS26-0364</t>
  </si>
  <si>
    <t>FV25/4786</t>
  </si>
  <si>
    <t>FV25/4788</t>
  </si>
  <si>
    <t>FVS26-0285</t>
  </si>
  <si>
    <t>182.24 Boni Viadana - Commissioning Online</t>
  </si>
  <si>
    <t>FVS26-0286</t>
  </si>
  <si>
    <t>099.25 Boni Cesare - Commissioning On site</t>
  </si>
  <si>
    <t>FVS26-0268</t>
  </si>
  <si>
    <t>188.24 Apollo 1</t>
  </si>
  <si>
    <t>FVS26-0223</t>
  </si>
  <si>
    <t>FRB/1750</t>
  </si>
  <si>
    <t>2/22460</t>
  </si>
  <si>
    <t>2/1789</t>
  </si>
  <si>
    <t>2/2414</t>
  </si>
  <si>
    <t>2/1785</t>
  </si>
  <si>
    <t>2/2545</t>
  </si>
  <si>
    <t>2/1784</t>
  </si>
  <si>
    <t>2/2387</t>
  </si>
  <si>
    <t>2/1786</t>
  </si>
  <si>
    <t>007.25 Fattoria Solare La Varchera</t>
  </si>
  <si>
    <t>La factura proforma tenia un importe más alto que la factura que emitiron posteriormente hemos conseguido ajustarlo 1º pago de 4.219€ y el 2º pago de 4,135</t>
  </si>
  <si>
    <t>2/2397</t>
  </si>
  <si>
    <t>2/1788</t>
  </si>
  <si>
    <t>ALMACENES CARMONA S.A.</t>
  </si>
  <si>
    <t>Devolucion Jamones 01138054</t>
  </si>
  <si>
    <t>DWAM-42938054</t>
  </si>
  <si>
    <t>AGP-FCO / FCO-AGP</t>
  </si>
  <si>
    <t>FV062475</t>
  </si>
  <si>
    <t>Alquiler Enero piso EUR</t>
  </si>
  <si>
    <t>FPR 2/26</t>
  </si>
  <si>
    <t>Alquiler Enero Oficina Marconi (Roma)</t>
  </si>
  <si>
    <t>A 25000326</t>
  </si>
  <si>
    <t>FVS26-0113</t>
  </si>
  <si>
    <t>483.24 Ginosa - Monitoring Annual</t>
  </si>
  <si>
    <t>FVS26-0121</t>
  </si>
  <si>
    <t>483.24 Ginosa -Commissioning</t>
  </si>
  <si>
    <t>FVS26-0051</t>
  </si>
  <si>
    <t>099.25 Boni Cesare - Commissioning</t>
  </si>
  <si>
    <t>2/2398</t>
  </si>
  <si>
    <t>2/1787</t>
  </si>
  <si>
    <t>Alquiler enero piso JAM</t>
  </si>
  <si>
    <t>FVS26-0052</t>
  </si>
  <si>
    <t>099.25 Boni Cesare - Monitoring</t>
  </si>
  <si>
    <t>FPR 713/25</t>
  </si>
  <si>
    <t>AENA, S.M.E SA</t>
  </si>
  <si>
    <t>HQV3D/9028NJF</t>
  </si>
  <si>
    <t xml:space="preserve">PAGADO CON SOLUTIONS, PEDIMOS CAMBIO DATOS DE FACTURACIÓN </t>
  </si>
  <si>
    <t>LA2KF/8123HVD</t>
  </si>
  <si>
    <t>Anulan esta factura con la 01003476</t>
  </si>
  <si>
    <t>ES61789ABEI</t>
  </si>
  <si>
    <t>Papel DE MANOS</t>
  </si>
  <si>
    <t>ES61FE7ABEI</t>
  </si>
  <si>
    <t>ES600086XQOK7S</t>
  </si>
  <si>
    <t>Material oficina</t>
  </si>
  <si>
    <t>ES61JHRABEI</t>
  </si>
  <si>
    <t>Post it, cuadernos, marcadores y grapadoras</t>
  </si>
  <si>
    <t>ES61JFHABEI</t>
  </si>
  <si>
    <t>ES6258KABEI</t>
  </si>
  <si>
    <t>Percheros</t>
  </si>
  <si>
    <t>ES61XTGABEI</t>
  </si>
  <si>
    <t>Elevadores monitor</t>
  </si>
  <si>
    <t>Perchero,</t>
  </si>
  <si>
    <t>ES628ISABEI</t>
  </si>
  <si>
    <t xml:space="preserve">Regleta </t>
  </si>
  <si>
    <t>ES628IBABEI</t>
  </si>
  <si>
    <t>Sobres Acolchados</t>
  </si>
  <si>
    <t>ES60000AC1749I</t>
  </si>
  <si>
    <t>Ganchos adhesivos transparentes</t>
  </si>
  <si>
    <t>Soporte Monitor Escritorio</t>
  </si>
  <si>
    <t>Regleta</t>
  </si>
  <si>
    <t>ES62BLUABEI</t>
  </si>
  <si>
    <t>Bandejas oficina ogranizadores</t>
  </si>
  <si>
    <t>ES62I9AABEI</t>
  </si>
  <si>
    <t>Señales y grapas pared</t>
  </si>
  <si>
    <t>INV-ES-Q171938-2026-810</t>
  </si>
  <si>
    <t>Cargador USB</t>
  </si>
  <si>
    <t>ES600002VM69TS</t>
  </si>
  <si>
    <t>Tope pueta suelo</t>
  </si>
  <si>
    <t>ES6000GNNYJY3I</t>
  </si>
  <si>
    <t>ES64TSWABEI</t>
  </si>
  <si>
    <t>Rollo burbujas</t>
  </si>
  <si>
    <t>ES64V9BABEI</t>
  </si>
  <si>
    <t>Film transparente pra embalar</t>
  </si>
  <si>
    <t>ES60000AI41RVS</t>
  </si>
  <si>
    <t>Cubre zapatos lluvia - Reclamar proveedor</t>
  </si>
  <si>
    <t>ES60001JGTMFJI</t>
  </si>
  <si>
    <t>Pizarra Calendario</t>
  </si>
  <si>
    <t>ES60003J3Z9LBS</t>
  </si>
  <si>
    <t>ES65BAHABEI</t>
  </si>
  <si>
    <t>Guantes para electricidad</t>
  </si>
  <si>
    <t>ES65HSOABEI</t>
  </si>
  <si>
    <t>3 Ratones y caja de tipex</t>
  </si>
  <si>
    <t>ES64UC9ABEI</t>
  </si>
  <si>
    <t>Film negro para embalar</t>
  </si>
  <si>
    <t>ES65HTXABEI</t>
  </si>
  <si>
    <t>2 Filamento impresora 3D, Cinta adhesiva</t>
  </si>
  <si>
    <t xml:space="preserve">3 Calucladoras </t>
  </si>
  <si>
    <t>ES659IYABEI</t>
  </si>
  <si>
    <t>Caja de boligrafos</t>
  </si>
  <si>
    <t>ES65E1WABEI</t>
  </si>
  <si>
    <t xml:space="preserve">Portalapices </t>
  </si>
  <si>
    <t>ES600059MBARPS</t>
  </si>
  <si>
    <t>3 Adaptadores USB</t>
  </si>
  <si>
    <t>ES66106ABEI</t>
  </si>
  <si>
    <t>5 Auriculares</t>
  </si>
  <si>
    <t>ES65HVPABEI</t>
  </si>
  <si>
    <t>Bloc de notas</t>
  </si>
  <si>
    <t>ES60006E89UNBS</t>
  </si>
  <si>
    <t>Camara videoportero Reclamar por CIF</t>
  </si>
  <si>
    <t>ES66EOWABEI</t>
  </si>
  <si>
    <t>Caja de archivo</t>
  </si>
  <si>
    <t>ES66D0LABEI</t>
  </si>
  <si>
    <t>Señal Botequin</t>
  </si>
  <si>
    <t>ES66BN3ABEI</t>
  </si>
  <si>
    <t>Cinta de doble cara</t>
  </si>
  <si>
    <t>ES600076CLRCRI</t>
  </si>
  <si>
    <t>Arnes de seguridad</t>
  </si>
  <si>
    <t>2AZBI7BUB6AWKQMPIAJT</t>
  </si>
  <si>
    <t>ES6784FABEI</t>
  </si>
  <si>
    <t>Elevadores monitores 5 y guantes trabajo</t>
  </si>
  <si>
    <t>171-3264457-1383508</t>
  </si>
  <si>
    <t>NESCAFÉ, LIMPIADOR ACERO..- NO HAY Nº DE FACTURA LO GUARDAMOS EN PROFORMAS</t>
  </si>
  <si>
    <t>IT6AGML5AEUD</t>
  </si>
  <si>
    <t>Cape Cod Pulido de Metales | B00A3IJTYW</t>
  </si>
  <si>
    <t>UG3jBTKsf-1770360038</t>
  </si>
  <si>
    <t>ES68JFFABEI</t>
  </si>
  <si>
    <t>Candado</t>
  </si>
  <si>
    <t>H2VGZ-FM3XH-INS</t>
  </si>
  <si>
    <t>SEGUROS VARIOS POR HERRAMIENTAS</t>
  </si>
  <si>
    <t>ES69201ABEI</t>
  </si>
  <si>
    <t>Inyector de fertilizante</t>
  </si>
  <si>
    <t>ES691ZWABEI</t>
  </si>
  <si>
    <t>ES691ZTABEI</t>
  </si>
  <si>
    <t>ES691ZRABEI</t>
  </si>
  <si>
    <t>ES696CPABEI</t>
  </si>
  <si>
    <t>Vasos</t>
  </si>
  <si>
    <t>ES690UKABEI</t>
  </si>
  <si>
    <t>Platos papel</t>
  </si>
  <si>
    <t>ES690THABEI</t>
  </si>
  <si>
    <t>Ratones y guantes</t>
  </si>
  <si>
    <t>ES69286ABEI</t>
  </si>
  <si>
    <t>ES693ANABEI</t>
  </si>
  <si>
    <t>Cucharas de plastico</t>
  </si>
  <si>
    <t>ES6000I0E5QXRI</t>
  </si>
  <si>
    <t>Telefonos oficina</t>
  </si>
  <si>
    <t>ES6000MVZJACNI</t>
  </si>
  <si>
    <t>5 Monodosis tomate natural</t>
  </si>
  <si>
    <t>IT600051XQOK7I</t>
  </si>
  <si>
    <t>ES69ZV5ABEI</t>
  </si>
  <si>
    <t>Elevadores monitores 5</t>
  </si>
  <si>
    <t>ES6A9KJABEI</t>
  </si>
  <si>
    <t>Velas cumpleaños</t>
  </si>
  <si>
    <t>ES6AAXMABEI</t>
  </si>
  <si>
    <t>Teclado</t>
  </si>
  <si>
    <t>ES6AAXAABEI</t>
  </si>
  <si>
    <t>ES6AAWZABEI</t>
  </si>
  <si>
    <t>ES6AAXPABEI</t>
  </si>
  <si>
    <t>ES6AAXRABEI</t>
  </si>
  <si>
    <t>ES6AMEEABEI</t>
  </si>
  <si>
    <t>ES6AMYXABEI</t>
  </si>
  <si>
    <t>Super glue</t>
  </si>
  <si>
    <t>ES6AMDWABEI</t>
  </si>
  <si>
    <t>ES6ATPAABEI</t>
  </si>
  <si>
    <t xml:space="preserve">FOLIOS </t>
  </si>
  <si>
    <t>408-5393393-7869106</t>
  </si>
  <si>
    <t>Altavoz con microfono</t>
  </si>
  <si>
    <t>ES6001723FRJJI</t>
  </si>
  <si>
    <t>Vasos plastico</t>
  </si>
  <si>
    <t>ES6001753FRJJI</t>
  </si>
  <si>
    <t>ES6B4WDABEI</t>
  </si>
  <si>
    <t>AEI AMZ56122-29373</t>
  </si>
  <si>
    <t>ASSURANT EUROPE INSURANCE NV</t>
  </si>
  <si>
    <t>CINYE - AMAZON</t>
  </si>
  <si>
    <t>Corbatas</t>
  </si>
  <si>
    <t>1052/FFR/01/2026</t>
  </si>
  <si>
    <t>ELECTROSMART WĘGRZYN SPÓŁKA</t>
  </si>
  <si>
    <t>Movil (AMAZON)</t>
  </si>
  <si>
    <t>402-8564057-8013115</t>
  </si>
  <si>
    <t>FRP 14/26</t>
  </si>
  <si>
    <t>NOTA DE CREDITO -  Se compensa con FRP 10/26</t>
  </si>
  <si>
    <t>FRP 10/26</t>
  </si>
  <si>
    <t>INCORRECTA -  Se compensa con FRP 14/26</t>
  </si>
  <si>
    <t>GOOGLE IRELAND LIMITED</t>
  </si>
  <si>
    <t>Google ADS Enero</t>
  </si>
  <si>
    <t>E302630000361</t>
  </si>
  <si>
    <t>HERMES IBERICA</t>
  </si>
  <si>
    <t>Con tarjeta</t>
  </si>
  <si>
    <t>HOTELERA ST. GERMAIN S.A</t>
  </si>
  <si>
    <t>295,126$ Hotel Chile enero</t>
  </si>
  <si>
    <t>075-2532225752</t>
  </si>
  <si>
    <t>VUELO JAM BOLOGNA- MADRID. MALAGA</t>
  </si>
  <si>
    <t>075-2532225753</t>
  </si>
  <si>
    <t>VUELO FLORENCIA BOLOGNA- MADRID-MALAGA</t>
  </si>
  <si>
    <t>FR60007Y1NGATU</t>
  </si>
  <si>
    <t>IBK STORE</t>
  </si>
  <si>
    <t>Amazon IT</t>
  </si>
  <si>
    <t>2202239603842</t>
  </si>
  <si>
    <t>LUFTHANSA</t>
  </si>
  <si>
    <t>Vuelo Malaga - Munich</t>
  </si>
  <si>
    <t>2202239603840</t>
  </si>
  <si>
    <t>2202239603841</t>
  </si>
  <si>
    <t>2025-00820</t>
  </si>
  <si>
    <t>MANH TRANSPORT</t>
  </si>
  <si>
    <t>´01003476</t>
  </si>
  <si>
    <t>Factura que rectifica la factura1100094</t>
  </si>
  <si>
    <t>0068/26</t>
  </si>
  <si>
    <t>FVS26-0053</t>
  </si>
  <si>
    <t>FVS26-0037</t>
  </si>
  <si>
    <t>099.25 Boni Cesare - Ovecast</t>
  </si>
  <si>
    <t>0096/26</t>
  </si>
  <si>
    <t>ES6000XWQOK7S</t>
  </si>
  <si>
    <t>ESTA FACTURA NO TIENE NUESTRO CIF</t>
  </si>
  <si>
    <t>FVS26-0036</t>
  </si>
  <si>
    <t>182.24 Boni Viadana - Overcast</t>
  </si>
  <si>
    <t>FVS26-0065</t>
  </si>
  <si>
    <t>004.24 OPF - Monitoring</t>
  </si>
  <si>
    <t>FVS26-0067</t>
  </si>
  <si>
    <t>296.24 Pegognana - Commissioning</t>
  </si>
  <si>
    <t>FV26-0129</t>
  </si>
  <si>
    <t>387.25 Mariolisi</t>
  </si>
  <si>
    <t>FV26-0130</t>
  </si>
  <si>
    <t>FVS26-0016</t>
  </si>
  <si>
    <t>FVS26-0009</t>
  </si>
  <si>
    <t>237.24 Turi</t>
  </si>
  <si>
    <t>PP 102</t>
  </si>
  <si>
    <t xml:space="preserve">373.25 Mordano2 </t>
  </si>
  <si>
    <t>PP122</t>
  </si>
  <si>
    <t>PP 123</t>
  </si>
  <si>
    <t>PF 1518</t>
  </si>
  <si>
    <t>000085</t>
  </si>
  <si>
    <t>PP 69</t>
  </si>
  <si>
    <t>078.25 CHIOPRIS VISCONE</t>
  </si>
  <si>
    <t>PF 598</t>
  </si>
  <si>
    <t xml:space="preserve">PP 190 </t>
  </si>
  <si>
    <t>FRB/1700</t>
  </si>
  <si>
    <t>Servicio contabilidad - DICIEMBRE</t>
  </si>
  <si>
    <t>323242-2026/IE</t>
  </si>
  <si>
    <t>FT 001/86308</t>
  </si>
  <si>
    <t>250904-2026/IE</t>
  </si>
  <si>
    <t>Vuelo</t>
  </si>
  <si>
    <t>251675-2026/IE</t>
  </si>
  <si>
    <t>200090-2026/IE</t>
  </si>
  <si>
    <t>199992-2026/IE</t>
  </si>
  <si>
    <t>SG CONCEPT ONLINE S.R.L.</t>
  </si>
  <si>
    <t>Y8Q2JO</t>
  </si>
  <si>
    <t>SOCIETE AIR FRANCE S.A.</t>
  </si>
  <si>
    <t>Vuelo Jessica Taris, Carolina Iervolino - Energaia</t>
  </si>
  <si>
    <t>XE5HAU</t>
  </si>
  <si>
    <t>VUelo Jose Antonio, Maxi - Argentina</t>
  </si>
  <si>
    <t>FV062538</t>
  </si>
  <si>
    <t>FV062539</t>
  </si>
  <si>
    <t>FV062540</t>
  </si>
  <si>
    <t>FV062541</t>
  </si>
  <si>
    <t>052.25 Vizzini Ovest</t>
  </si>
  <si>
    <t>FV062542</t>
  </si>
  <si>
    <t>Tren Roma Termini - Bologna</t>
  </si>
  <si>
    <t>2026/9000410845</t>
  </si>
  <si>
    <t>Tren Bologna - Roma</t>
  </si>
  <si>
    <t>2026/9000411242</t>
  </si>
  <si>
    <t>Bologna Centrale - ROma Termini</t>
  </si>
  <si>
    <t>2026/9000056743</t>
  </si>
  <si>
    <t>2026/9000113190</t>
  </si>
  <si>
    <t>2026/9000410534</t>
  </si>
  <si>
    <t>Tren Roma Temini - Bologna Centrale</t>
  </si>
  <si>
    <t>2026/860027609</t>
  </si>
  <si>
    <t>Tren Bologna - Rimini</t>
  </si>
  <si>
    <t>2026/860027596</t>
  </si>
  <si>
    <t>Tren Bologna - RImini</t>
  </si>
  <si>
    <t>VISS TRAVEL SRL</t>
  </si>
  <si>
    <t>Moodificación Vuelo JAM</t>
  </si>
  <si>
    <t>FT 101/108085201</t>
  </si>
  <si>
    <t>VODAFONE</t>
  </si>
  <si>
    <t>Linea Portugal mes diciembre 25</t>
  </si>
  <si>
    <t>2026/AES007023</t>
  </si>
  <si>
    <t>VOLOTEA S.L.</t>
  </si>
  <si>
    <t>Vuelo Malaga - Asturias</t>
  </si>
  <si>
    <t>C202600000037671</t>
  </si>
  <si>
    <t>Vuelo Florencia Vuelta</t>
  </si>
  <si>
    <t>C202600000044350</t>
  </si>
  <si>
    <t>C202600000062678</t>
  </si>
  <si>
    <t>DWAM-44541951</t>
  </si>
  <si>
    <t>Vuelo Malaga - Fiumicino</t>
  </si>
  <si>
    <t>DWAN-44913861</t>
  </si>
  <si>
    <t>Vuelo Malaga - Roma</t>
  </si>
  <si>
    <t>DWAM-44917007</t>
  </si>
  <si>
    <t>PIECES</t>
  </si>
  <si>
    <t>DWAM-45094805</t>
  </si>
  <si>
    <t>AGP-FCO Flight ticket</t>
  </si>
  <si>
    <t>FVS26-0034</t>
  </si>
  <si>
    <t>1POHB/8015LWV FACTURA RECTIFICADA POR 1950732091, SE HA CAMBIADO DATOS DE FACTURACION- SOLUTIONS</t>
  </si>
  <si>
    <t>2026/9000541762</t>
  </si>
  <si>
    <t>FT 001/89504</t>
  </si>
  <si>
    <t>NOTA DE ABONO AFES0032641394</t>
  </si>
  <si>
    <t xml:space="preserve"> ABONO RELACIONADO CON DOCUMENTO 0572353845072</t>
  </si>
  <si>
    <t>AFES0032623961</t>
  </si>
  <si>
    <t>DOCUMENTO 0572353845072 ESTA FECTURA SE HA DEVUELTO ENTERA ENTRE 3 ABONOS</t>
  </si>
  <si>
    <t>NOTA DE ABONO AFES0032641412</t>
  </si>
  <si>
    <t>ABONO RELACIONADO CON DOCUMENTO 0572353845072</t>
  </si>
  <si>
    <t>NOTA DE ABONO AFES0032641396</t>
  </si>
  <si>
    <t>ES6CCU5ABEI</t>
  </si>
  <si>
    <t>SELLO</t>
  </si>
  <si>
    <t>EJIN389766748</t>
  </si>
  <si>
    <t>EASYJET</t>
  </si>
  <si>
    <t>ES6000MJE5QXRI</t>
  </si>
  <si>
    <t>075-2532959917</t>
  </si>
  <si>
    <t xml:space="preserve">Vuelo Kenny de Tacna,  a Málaga </t>
  </si>
  <si>
    <t>Google ADS Febrero</t>
  </si>
  <si>
    <t>300762-2026/IE</t>
  </si>
  <si>
    <t>Booking Reference: X7414E</t>
  </si>
  <si>
    <t>Booking Reference: K35FWQ</t>
  </si>
  <si>
    <t>Booking Reference: L5NSTX</t>
  </si>
  <si>
    <t>0067/26</t>
  </si>
  <si>
    <t>0070/26</t>
  </si>
  <si>
    <t>FT 101/109809128</t>
  </si>
  <si>
    <t>Linea Portugal mes febrero</t>
  </si>
  <si>
    <t>F 2266045388</t>
  </si>
  <si>
    <t>ITALIA TRASPORTO AEREO SPA</t>
  </si>
  <si>
    <t xml:space="preserve">Factura vuelo cancelado ITA AIRWAYS </t>
  </si>
  <si>
    <t>DWAM- 45741154</t>
  </si>
  <si>
    <t>0137/26</t>
  </si>
  <si>
    <t>SS/26000054270</t>
  </si>
  <si>
    <t xml:space="preserve">AIR EUROPA </t>
  </si>
  <si>
    <t>Vuelo Flor</t>
  </si>
  <si>
    <t>SS/26000054271</t>
  </si>
  <si>
    <t>Vuelo Antonio Martin</t>
  </si>
  <si>
    <t>EJIN389766761</t>
  </si>
  <si>
    <t>Basel- Málaga</t>
  </si>
  <si>
    <t>075-2532882865</t>
  </si>
  <si>
    <t>Vuelo JAM Malaga- Madrid- Bologna billete 02/03/2026</t>
  </si>
  <si>
    <t>075-2532126972</t>
  </si>
  <si>
    <t>Vuelo JAM Madrid- Roma billete 11/02/2026</t>
  </si>
  <si>
    <t>075-2531937190</t>
  </si>
  <si>
    <t>075-2532102969</t>
  </si>
  <si>
    <t>Vuelo Ismael Madrid- Milan- Madrid billete 10-02-2026</t>
  </si>
  <si>
    <t>075-2531525148</t>
  </si>
  <si>
    <t>Vuelo JAM Malaga- Madrid- Asturias billete 27/01/2026</t>
  </si>
  <si>
    <t>075-2533282103</t>
  </si>
  <si>
    <t>Vuelo Neyber Cali- Bogota- Madrid- Malaga billete 12/03/2026</t>
  </si>
  <si>
    <t>DWAM- 46298913</t>
  </si>
  <si>
    <t>Vuelo Carolina y Giulia  de Málaga a Roma Fiumicino</t>
  </si>
  <si>
    <t>7LDCR/ 9028 NFJ</t>
  </si>
  <si>
    <t>FV062476</t>
  </si>
  <si>
    <t>FV062543</t>
  </si>
  <si>
    <t>FV062544</t>
  </si>
  <si>
    <t>FV062545</t>
  </si>
  <si>
    <t>FV062546</t>
  </si>
  <si>
    <t>BLA2026030501ES</t>
  </si>
  <si>
    <t>CABLES HDMI</t>
  </si>
  <si>
    <t>FV062602</t>
  </si>
  <si>
    <t>FVS26-0035</t>
  </si>
  <si>
    <t>296.24 Pegognana</t>
  </si>
  <si>
    <t>FV062603</t>
  </si>
  <si>
    <t>FV062604</t>
  </si>
  <si>
    <t>FV062605</t>
  </si>
  <si>
    <t>DWAM-46900820</t>
  </si>
  <si>
    <t>Vuelo Málaga a Fiumicino</t>
  </si>
  <si>
    <t>´2202239603839</t>
  </si>
  <si>
    <t xml:space="preserve">	</t>
  </si>
  <si>
    <t>FA260496</t>
  </si>
  <si>
    <t>TIENDA SOLAR INSTALACIONES SL</t>
  </si>
  <si>
    <t>3 876,09</t>
  </si>
  <si>
    <t>Placas solares *33</t>
  </si>
  <si>
    <t>ES6CFCIABEI</t>
  </si>
  <si>
    <t>ES6CR25ABEI</t>
  </si>
  <si>
    <t>A 26000107</t>
  </si>
  <si>
    <t>A 26000108</t>
  </si>
  <si>
    <t>2026 / 60</t>
  </si>
  <si>
    <t>SolarPower Europe AISBL</t>
  </si>
  <si>
    <t>Membership</t>
  </si>
  <si>
    <t>A 26000109</t>
  </si>
  <si>
    <t>A 26000110</t>
  </si>
  <si>
    <t>A 26000111</t>
  </si>
  <si>
    <t>FVS26-0005</t>
  </si>
  <si>
    <t>005.24 Pettorazza - Monitoring anual</t>
  </si>
  <si>
    <t>FVS26-0006</t>
  </si>
  <si>
    <t>259.24 Parabita - Monitoring anual</t>
  </si>
  <si>
    <t>FVS26-0004</t>
  </si>
  <si>
    <t>234.24 Cerignola - Monitoring anual</t>
  </si>
  <si>
    <t>FT 001/92787</t>
  </si>
  <si>
    <t>17/12/2025</t>
  </si>
  <si>
    <t>FV25/4723</t>
  </si>
  <si>
    <t>Anticipo 473.24 Eichendorf</t>
  </si>
  <si>
    <t>4RUCR / 7203MXF</t>
  </si>
  <si>
    <t>TM1PU / 7203MXF</t>
  </si>
  <si>
    <t>Q6ZWF/9028NJF</t>
  </si>
  <si>
    <t>UPR2A/5565LCC FACTURA RECTIFICADA POR 1950732092 , SE HA CAMBIADO DATOS DE FACTURACION- SOLUTIONS</t>
  </si>
  <si>
    <t>RGE-158073</t>
  </si>
  <si>
    <t>RGE-158072</t>
  </si>
  <si>
    <t>RGE-161456</t>
  </si>
  <si>
    <t>Pago pendiente coche Argentina (por devolver 1 día mas tarde el coche)</t>
  </si>
  <si>
    <t>TOTAL FACTURA  267+ 312,95= 579,95</t>
  </si>
  <si>
    <t>RGE- 163443</t>
  </si>
  <si>
    <t>Coche Venezia ( Antonio Martin)</t>
  </si>
  <si>
    <t>RRGE- 14120</t>
  </si>
  <si>
    <t>Factura ERRONEA rectificativa de RGE-158073. Coche Italia</t>
  </si>
  <si>
    <t>RGE- 164968</t>
  </si>
  <si>
    <t>Vuelven a emitir factura con mismo importe, expediente 498791 coche italia Antonio</t>
  </si>
  <si>
    <t>RRGE-14449</t>
  </si>
  <si>
    <t>Factura rectificativa perteneciente a fact RGE-164968. COCHE ITALIA</t>
  </si>
  <si>
    <t>FT 101/111537368</t>
  </si>
  <si>
    <t>Linea Portugal mes marzo</t>
  </si>
  <si>
    <t>Linea Portugal mes enero</t>
  </si>
  <si>
    <t>DWAM-47824493</t>
  </si>
  <si>
    <t>(FCO-AGP / AGP-FCO)</t>
  </si>
  <si>
    <t>DWAM-47894574</t>
  </si>
  <si>
    <t>(FCO-AGP)</t>
  </si>
  <si>
    <t>DWAM-48100525</t>
  </si>
  <si>
    <t>Flight ticket (FCO-AGP)</t>
  </si>
  <si>
    <t>Google ADS Marzo</t>
  </si>
  <si>
    <t>G137446297</t>
  </si>
  <si>
    <t>Factura de actividad 27/01/26</t>
  </si>
  <si>
    <t>G138284267</t>
  </si>
  <si>
    <t>Factura de actividad el 02/02/2026</t>
  </si>
  <si>
    <t>G141078382</t>
  </si>
  <si>
    <t>Factura de actividad el 13/02/2026</t>
  </si>
  <si>
    <t>G149077175</t>
  </si>
  <si>
    <t>Factura de actividad el 27/03/2026</t>
  </si>
  <si>
    <t>G152116718</t>
  </si>
  <si>
    <t>Factura de actividad el 09/04/2026</t>
  </si>
  <si>
    <t>G152824268</t>
  </si>
  <si>
    <t>Factura de actividad el 13/04/2026</t>
  </si>
  <si>
    <t>A 26000129</t>
  </si>
  <si>
    <t>A 26000130</t>
  </si>
  <si>
    <t>A 26000131</t>
  </si>
  <si>
    <t>A 26000136</t>
  </si>
  <si>
    <t>A 26000137</t>
  </si>
  <si>
    <t>FV062606</t>
  </si>
  <si>
    <t>DWAM-48215289</t>
  </si>
  <si>
    <t>DWAM-48223734</t>
  </si>
  <si>
    <t>Flight ticket (FCO-OTP)</t>
  </si>
  <si>
    <t>DWAM-48243647</t>
  </si>
  <si>
    <t>Flight ticket (OTP-SVQ)- LA FACTURA VIENE EN OTRA MONEDA</t>
  </si>
  <si>
    <t>SC CREATIVE BUSINESS MANAGEMENT SRL</t>
  </si>
  <si>
    <t>FERIA RUMANIA  SEBS2026- ORDER Nº 978616</t>
  </si>
  <si>
    <t>FV062607</t>
  </si>
  <si>
    <t>FV062608</t>
  </si>
  <si>
    <t>FV062609</t>
  </si>
  <si>
    <t>FV062610</t>
  </si>
  <si>
    <t>FV062611</t>
  </si>
  <si>
    <t>FPR 175/26</t>
  </si>
  <si>
    <t>PAGAR 489,04 LE RESTAMOS IMPORTE DE NOTA DE CREDITO FPR 181/26</t>
  </si>
  <si>
    <t>NOTA DE CREDITO FPR 181/26</t>
  </si>
  <si>
    <t>ESTA NOTA DE CREDITO HACE QUE HAYA QUE PAGAR 489,04 POR LA FACTURA FPR 175/26</t>
  </si>
  <si>
    <t>145/2026</t>
  </si>
  <si>
    <t>GEOSOLARIS SERVICES SRL</t>
  </si>
  <si>
    <t>DWAM-48461611</t>
  </si>
  <si>
    <t>6561354/4</t>
  </si>
  <si>
    <t>Alquiler de julio oficina Portugal</t>
  </si>
  <si>
    <t>260/879</t>
  </si>
  <si>
    <t>500 TARJETAS INVITACION ALPHAPARTY 10.5 X 14.8</t>
  </si>
  <si>
    <t>210992-2026/F</t>
  </si>
  <si>
    <t>Codice pagamento: 1294915343- Hemos solicitado que se emitan las facturas sin IVA</t>
  </si>
  <si>
    <t>211005-2026/F</t>
  </si>
  <si>
    <t>Codice pagamento: 1294932865- Hemos solicitado que se emitan las facturas sin IVA</t>
  </si>
  <si>
    <t>210995-2026/F</t>
  </si>
  <si>
    <t>Codice pagamento: 1294920421- Hemos solicitado que se emitan las facturas sin IVA</t>
  </si>
  <si>
    <t>210986-2026/F</t>
  </si>
  <si>
    <t>Codice pagamento: 1294906264- Hemos solicitado que se emitan las facturas sin IVA</t>
  </si>
  <si>
    <t>A 26000146</t>
  </si>
  <si>
    <t>A 26000147</t>
  </si>
  <si>
    <t>RGE-168938</t>
  </si>
  <si>
    <t>Factura RGE-168938 COCHE ITALIA</t>
  </si>
  <si>
    <t>RGE-170105</t>
  </si>
  <si>
    <t>ENTREGA: 15/04/2026 - APTO. CATANIA
DEVOLUCIÓN: 17/04/2026 - APTO. PALERMO</t>
  </si>
  <si>
    <t>EX.548094</t>
  </si>
  <si>
    <t>RGE-176823</t>
  </si>
  <si>
    <t>FERIA MUNICH 3 COCHES EXPEDIENTE 548094- DEVOLVEMOS UN COCHE Y SE HACE FACT RESTANDO ESTE IMPORTE RRGE-15687</t>
  </si>
  <si>
    <t>DEVOLVEMOS UN COCHE Y SE HACE FACT RESTANDO ESTE IMPORTE RRGE-15687</t>
  </si>
  <si>
    <t>PP349</t>
  </si>
  <si>
    <t>796980-2026/IE</t>
  </si>
  <si>
    <t>PF 1519</t>
  </si>
  <si>
    <t>000104</t>
  </si>
  <si>
    <t>PP 189</t>
  </si>
  <si>
    <t>PF 573</t>
  </si>
  <si>
    <t>918382-2026/IE</t>
  </si>
  <si>
    <t>Booking Reference: JQPTXB</t>
  </si>
  <si>
    <t>03/12/2025</t>
  </si>
  <si>
    <t>FV25/4556</t>
  </si>
  <si>
    <t>21.233,75€ 373.25 Mordano 2 FACTURAS CORRESPONDIENTES A LA PROFORMA 96769</t>
  </si>
  <si>
    <t>25.410€ 373.25 Mordano 2 FACTURAS CORRESPONDIENTES A LA PROFORMA 96769</t>
  </si>
  <si>
    <t>22.538,65€ 373.25 Mordano 2 FACTURAS CORRESPONDIENTES A LA PROFORMA 96769</t>
  </si>
  <si>
    <t>G155069693</t>
  </si>
  <si>
    <t>Factura de actividad el 27/04/2026</t>
  </si>
  <si>
    <t>Google ADS abril</t>
  </si>
  <si>
    <t>A 26000148</t>
  </si>
  <si>
    <t>A 26000160</t>
  </si>
  <si>
    <t>A 26000164</t>
  </si>
  <si>
    <t>10/2/2025</t>
  </si>
  <si>
    <t>FV25/4654</t>
  </si>
  <si>
    <t>FT 101/113269751</t>
  </si>
  <si>
    <t>Linea Portugal mes abril</t>
  </si>
  <si>
    <t>DWAM-49530430</t>
  </si>
  <si>
    <t>Flight ticket (AGP-FCO / FCO-AGP)</t>
  </si>
  <si>
    <t>DWAM-49490577</t>
  </si>
  <si>
    <t>DWAM-49295679</t>
  </si>
  <si>
    <t>DWAM-49792974</t>
  </si>
  <si>
    <t>FT 2026/15</t>
  </si>
  <si>
    <t>Prestación de servicios, correccion de UNIPESSOAL</t>
  </si>
  <si>
    <t>FV26-0401</t>
  </si>
  <si>
    <t>PF 261892</t>
  </si>
  <si>
    <t>F 260855</t>
  </si>
  <si>
    <t>FV26-000535</t>
  </si>
  <si>
    <t>26B-000028</t>
  </si>
  <si>
    <t>ABONO DE LA
FACTURA FV26-000478 - MATERIAL ENTREGADO
Y FACTURADO EN LA
FACTURA FV26-000535</t>
  </si>
  <si>
    <t>FV26-000542</t>
  </si>
  <si>
    <t>26B-000029</t>
  </si>
  <si>
    <t>ABONO DE LA
FACTURA FV26-000478-
MATERIAL ENTREGADO
Y FACTURADO EN LA
FACTURA FV26-000542</t>
  </si>
  <si>
    <t>FV26-000569</t>
  </si>
  <si>
    <t>26B-000032</t>
  </si>
  <si>
    <t>ABONO DE LA
FACTURA FV26-000478-
MATERIAL ENTREGADO
Y FACTURADO EN LA
FACTURA FV26-000569</t>
  </si>
  <si>
    <t>FV26-000554</t>
  </si>
  <si>
    <t>26B-000031</t>
  </si>
  <si>
    <t>ABONO DE LA FACTURA FV26-000478-
MATERIAL ENTREGADO
Y FACTURADO EN LA
FACTURA FV26-000554</t>
  </si>
  <si>
    <t>FV26-000547</t>
  </si>
  <si>
    <t>26B-000030</t>
  </si>
  <si>
    <t>ABONO DE LA
FACTURA FV26-000478-
MATERIAL ENTREGADO
Y FACTURADO EN LA
FACTURA FV26-000547</t>
  </si>
  <si>
    <t>DWAM-49841473</t>
  </si>
  <si>
    <t>A 26000186</t>
  </si>
  <si>
    <t>A 26000185</t>
  </si>
  <si>
    <t>PF 261969</t>
  </si>
  <si>
    <t>F 260813</t>
  </si>
  <si>
    <t>9NVMP/9028NJF</t>
  </si>
  <si>
    <t>F260007225ALC</t>
  </si>
  <si>
    <t>F260007224ALC</t>
  </si>
  <si>
    <t>FPR 43/26</t>
  </si>
  <si>
    <t>FACTURA A NOMBRE DE JAM</t>
  </si>
  <si>
    <t>Alquiler junio piso EUR</t>
  </si>
  <si>
    <t>FPR 17/26</t>
  </si>
  <si>
    <t>Alquiler junio Oficina Marconi (Roma)</t>
  </si>
  <si>
    <t>Alquiler junio Oficina EUR Roma</t>
  </si>
  <si>
    <t>AGGF26076804</t>
  </si>
  <si>
    <t>INFRAMOURA-EMPR I VILAMOURA</t>
  </si>
  <si>
    <t>Gasto agua por renta de Portugal pagar en cuenta PT50 0010 0000 379770 4000 119 TOTAL FACTURA 70,98</t>
  </si>
  <si>
    <t>Pagar en cuenta PT50 0010 0000 379770 4000 119</t>
  </si>
  <si>
    <t>Alquiler de julio 2026</t>
  </si>
  <si>
    <t>NC 2026/2</t>
  </si>
  <si>
    <t>NOTA DE CREDITO DE LA FACTURA FT 2026/12</t>
  </si>
  <si>
    <t>A 26000165</t>
  </si>
  <si>
    <t>FVS26-0025</t>
  </si>
  <si>
    <t>RGE-127605</t>
  </si>
  <si>
    <t>RECLAMADAS POR VB Sistema de navegación</t>
  </si>
  <si>
    <t>RGE-131153</t>
  </si>
  <si>
    <t>RECLAMADAS POR VB Cargo extra gasolina</t>
  </si>
  <si>
    <t>RGE-131691</t>
  </si>
  <si>
    <t xml:space="preserve">RECLAMADAS POR VB Servicio de repostaje </t>
  </si>
  <si>
    <t>FP.LIS26/43</t>
  </si>
  <si>
    <t>FR2.LIS26/52</t>
  </si>
  <si>
    <t>FP.LIS26/44</t>
  </si>
  <si>
    <t>FR2.LIS26/53</t>
  </si>
  <si>
    <t>F260007389ALC</t>
  </si>
  <si>
    <t>Serv. comunicacion mayo</t>
  </si>
  <si>
    <t>FA.2026/77</t>
  </si>
  <si>
    <t>50% sobre analisis de 2025</t>
  </si>
  <si>
    <t>FA.2025/956</t>
  </si>
  <si>
    <t>50% sobre analisis de 2026</t>
  </si>
  <si>
    <t>F260007427ALC</t>
  </si>
  <si>
    <t>F260007428ALC</t>
  </si>
  <si>
    <t>F260007429ALC</t>
  </si>
  <si>
    <t>REC260007429ALC</t>
  </si>
  <si>
    <t>F260007430ALC</t>
  </si>
  <si>
    <t>F260007431ALC</t>
  </si>
  <si>
    <t>FVS26-0206</t>
  </si>
  <si>
    <t>182.24Boni Viadana</t>
  </si>
  <si>
    <t>DWAM-50318493</t>
  </si>
  <si>
    <t>DWAM-50308356</t>
  </si>
  <si>
    <t>F260007622ALC</t>
  </si>
  <si>
    <t>373.25 Mordano</t>
  </si>
  <si>
    <t>F260007623ALC</t>
  </si>
  <si>
    <t>F260007624ALC</t>
  </si>
  <si>
    <t>1053335-2026/IE</t>
  </si>
  <si>
    <t>Booking Reference: N41T4D</t>
  </si>
  <si>
    <t>1052977-2026/IE</t>
  </si>
  <si>
    <t>Booking Reference: DTVUTV</t>
  </si>
  <si>
    <t>AEROPORTI DI ROMA S.P.A</t>
  </si>
  <si>
    <t>VOUCHER FAST TRACK</t>
  </si>
  <si>
    <t>Seguro altavoz con microfono - PEDIR PROVEEDOR</t>
  </si>
  <si>
    <t>ES691ZXABEI</t>
  </si>
  <si>
    <t>SEGURO DAÑOS PARA UNAS CAMARAS A NOMBRE DE AVICOLA LOS NONOS</t>
  </si>
  <si>
    <t>LAZOS VERDES- RECLAMADO A PROVEEDOR</t>
  </si>
  <si>
    <t>DE6000WOQQPZFI</t>
  </si>
  <si>
    <t xml:space="preserve">Zapatos seguridad </t>
  </si>
  <si>
    <t>5699/FDE/01/2026</t>
  </si>
  <si>
    <t>FVS26-0205</t>
  </si>
  <si>
    <t>099.25 Boni Cesare</t>
  </si>
  <si>
    <t>17/2026</t>
  </si>
  <si>
    <t>CO. TEC. IMPIANTI SRL</t>
  </si>
  <si>
    <t>Anticipo 30% aire acondicionado oficina nueva en ROMA</t>
  </si>
  <si>
    <t>FVS26-0207</t>
  </si>
  <si>
    <t>Caja de carton</t>
  </si>
  <si>
    <t>FVS26-0267</t>
  </si>
  <si>
    <t>FVS26-0348</t>
  </si>
  <si>
    <t>FV26-0566</t>
  </si>
  <si>
    <t>FV26-0823</t>
  </si>
  <si>
    <t>000499/2026</t>
  </si>
  <si>
    <t>Paneles fibra mineral obra EUR</t>
  </si>
  <si>
    <t>Pagar en cuenta PT50 0010 0000 379770 4000 119, ESTAMOS A LA ESPERA DE QUE NOS ADJUNTEN MÁS DATOS PARA HACER EL PAGO</t>
  </si>
  <si>
    <t>IT610HV52AEUD</t>
  </si>
  <si>
    <t>Juego de llaves de ajuste de bisagra</t>
  </si>
  <si>
    <t>DWAM-50565761</t>
  </si>
  <si>
    <t>1078774-2026/IE</t>
  </si>
  <si>
    <t>FV26-0106</t>
  </si>
  <si>
    <t>Anticipo 387.25 Mariolisi</t>
  </si>
  <si>
    <t>NOTA DE ABONO FACTURA AB26/0020</t>
  </si>
  <si>
    <t>FV26-0107</t>
  </si>
  <si>
    <t>NOTA DE ABONO FACTURA AB26/0019</t>
  </si>
  <si>
    <t>AB26/0049</t>
  </si>
  <si>
    <t>Correccion de la factura FV26-0865</t>
  </si>
  <si>
    <t>FV26-1251</t>
  </si>
  <si>
    <t>FVS26-0849</t>
  </si>
  <si>
    <t xml:space="preserve">182.24 Boni Viadana </t>
  </si>
  <si>
    <t>FVS26-0894</t>
  </si>
  <si>
    <t>121.24 Montepulciano</t>
  </si>
  <si>
    <t>R 26000003</t>
  </si>
  <si>
    <t>R 26000002</t>
  </si>
  <si>
    <t>FVS26-0917</t>
  </si>
  <si>
    <t>163.23 Muro Leccese</t>
  </si>
  <si>
    <t>Glasl’s Landhotel</t>
  </si>
  <si>
    <t xml:space="preserve">Estancia hotel semana 23 </t>
  </si>
  <si>
    <t>RGE- 180244</t>
  </si>
  <si>
    <t>Reserva nº 83HFTP Coche a nombre de Javier Cano Munich</t>
  </si>
  <si>
    <t>120.25 AVEZZANO, 376.25 CAMPLI, 377.25 CASTIGLIONE, 344.25 SANT´OMERO</t>
  </si>
  <si>
    <t>FVS26-0919</t>
  </si>
  <si>
    <t>Stock</t>
  </si>
  <si>
    <t>DWAM-50746721</t>
  </si>
  <si>
    <t>Flight ticket (AGP-FCO / FCO-AGP)-VUELO CANCELADO DEBEN DE HACER DEVOLUCIÓN</t>
  </si>
  <si>
    <t>DWAM-50744845</t>
  </si>
  <si>
    <t>Flight ticket (-) GASTO CANCELACIÓN FLOR</t>
  </si>
  <si>
    <t>14-E</t>
  </si>
  <si>
    <t>GLOBE ITALIA SRL</t>
  </si>
  <si>
    <t>SPONSORSHIP ENERGY MUNDI</t>
  </si>
  <si>
    <t>FVS26-0930</t>
  </si>
  <si>
    <t>318.25 Valle 1 Commissioning</t>
  </si>
  <si>
    <t>DE61TJBOPAEUI</t>
  </si>
  <si>
    <t>AMAZON ITALIA Adaptador para vasos de impacto de 1/2" y 3/4"</t>
  </si>
  <si>
    <t>SIAP SRL - Società Industriale Albergo delle Palme</t>
  </si>
  <si>
    <t>Alojamiento 08 al 09 de junio total de 358,50 € (alojamiento + aparcamiento + tasa turística)</t>
  </si>
  <si>
    <t>RGE-181486</t>
  </si>
  <si>
    <t>ALQUILER COCHE BRINDISI - 8-9 JUNIO 2026 83QC8U</t>
  </si>
  <si>
    <t>6561354/1</t>
  </si>
  <si>
    <t>Pago del ultimo mes del contrato que vence en 2029</t>
  </si>
  <si>
    <t>6561354/2</t>
  </si>
  <si>
    <t>Alquiler de junio oficina Portugal</t>
  </si>
  <si>
    <t>6561354/3</t>
  </si>
  <si>
    <t>Alquiler de mayo oficina Portugal</t>
  </si>
  <si>
    <t>FVS26-0931</t>
  </si>
  <si>
    <t>ES600028TVNPDI</t>
  </si>
  <si>
    <t>AMAZON ITALIA Taladro percutor inalámbrico DCA de 20 V</t>
  </si>
  <si>
    <t>IT26-AEUI-7783574</t>
  </si>
  <si>
    <t>AMAZON ITALIA Ventilador</t>
  </si>
  <si>
    <t>IT26-AEUI-8226416</t>
  </si>
  <si>
    <t xml:space="preserve">AMAZON ITALIA Juego de brocas </t>
  </si>
  <si>
    <t>IT6005P2CZV97I</t>
  </si>
  <si>
    <t xml:space="preserve">AMAZON ITALIA Rollo de plastico de burbujas </t>
  </si>
  <si>
    <t>FVS26-0932</t>
  </si>
  <si>
    <t>318.25 Valle 1 Monitoring</t>
  </si>
  <si>
    <t>FVS26-0943</t>
  </si>
  <si>
    <t>114.24 Giolitti</t>
  </si>
  <si>
    <t>FVS26-0944</t>
  </si>
  <si>
    <t xml:space="preserve">022.24 Avezzano </t>
  </si>
  <si>
    <t>FVS26-0945</t>
  </si>
  <si>
    <t>115.24 Giardini</t>
  </si>
  <si>
    <t>FVS26-0946</t>
  </si>
  <si>
    <t>235.24 Lamezia 2</t>
  </si>
  <si>
    <t>`2202247753322</t>
  </si>
  <si>
    <t>Vuelo Malaga - Munich JAVI CANO</t>
  </si>
  <si>
    <t>´2202247753323</t>
  </si>
  <si>
    <t xml:space="preserve">Vuelo Malaga - Munich IGNACIO </t>
  </si>
  <si>
    <t>´2202245375144</t>
  </si>
  <si>
    <t>Munich- Málaga - JAVI CANO</t>
  </si>
  <si>
    <t>´2202245375143</t>
  </si>
  <si>
    <t>Munich- Málaga - IGNACIO ALCLÁ</t>
  </si>
  <si>
    <t>87/2026</t>
  </si>
  <si>
    <t>Ensayos POT de 059.25 PV Ghedi</t>
  </si>
  <si>
    <t>315785-2026/F</t>
  </si>
  <si>
    <t>TARIFFA PRENOTAZIONE Z4MQ9T</t>
  </si>
  <si>
    <t>315788-2026/F</t>
  </si>
  <si>
    <t>TARIFFA PRENOTAZIONE ASK4QY</t>
  </si>
  <si>
    <t>FVS26-0947</t>
  </si>
  <si>
    <t>PF 255779</t>
  </si>
  <si>
    <t>F 260275</t>
  </si>
  <si>
    <t>AKD9N/9682JTS</t>
  </si>
  <si>
    <t>FT 101/115001877</t>
  </si>
  <si>
    <t>Linea Portugal mes mayo</t>
  </si>
  <si>
    <t>F260103</t>
  </si>
  <si>
    <t>Feria Rimini Key Energy 2026</t>
  </si>
  <si>
    <t>1140818-2026/IE</t>
  </si>
  <si>
    <t>Booking Reference: L7HTSK</t>
  </si>
  <si>
    <t>F 260763</t>
  </si>
  <si>
    <t>Feria Intersolar</t>
  </si>
  <si>
    <t>FRB/1967</t>
  </si>
  <si>
    <t>Servicios contables de 2025 y 2026</t>
  </si>
  <si>
    <t xml:space="preserve">Jose Repullo </t>
  </si>
  <si>
    <t>F260006919ALC</t>
  </si>
  <si>
    <t>FVS26-0948</t>
  </si>
  <si>
    <t>392.24 Polignano</t>
  </si>
  <si>
    <t>FVS26-1006</t>
  </si>
  <si>
    <t>285.25 Rosignano Maritimo</t>
  </si>
  <si>
    <t>´2202248236406</t>
  </si>
  <si>
    <t>Vuelo IDA Y VUELTA  Malaga - Munich JAVI CANO</t>
  </si>
  <si>
    <t>´2202248236442</t>
  </si>
  <si>
    <t>Vuelo IDA Y VUELTA  Malaga - Munich FLOR</t>
  </si>
  <si>
    <t>´2202248236443</t>
  </si>
  <si>
    <t>Vuelo IDA Y VUELTA  Malaga - Munich Maria de la O</t>
  </si>
  <si>
    <t>´2202248236466</t>
  </si>
  <si>
    <t>Vuelo IDA Y VUELTA  Malaga - Munich Ruben Morales</t>
  </si>
  <si>
    <t>´2202248236467</t>
  </si>
  <si>
    <t>Vuelo IDA Y VUELTA  Malaga - Munich Blanca</t>
  </si>
  <si>
    <t>´2202248236499</t>
  </si>
  <si>
    <t>Vuelo IDA Y VUELTA  Malaga - Munich Estrella del Alba</t>
  </si>
  <si>
    <t>´2202248244582</t>
  </si>
  <si>
    <t>Vuelo IDA Y VUELTA  Roma- Munich Giulia</t>
  </si>
  <si>
    <t>´2202248244583</t>
  </si>
  <si>
    <t>Vuelo IDA Y VUELTA  Roma- Munich Carolina</t>
  </si>
  <si>
    <t>´2202248236364</t>
  </si>
  <si>
    <t>Vuelo IDA Y VUELTA  Malaga - Munich Antonio Martin</t>
  </si>
  <si>
    <t>N° TICKET 0552115624027</t>
  </si>
  <si>
    <t>N° TICKET 0552115619076</t>
  </si>
  <si>
    <t>F260006920ALC</t>
  </si>
  <si>
    <t>FVS26-1007</t>
  </si>
  <si>
    <t>R04769484</t>
  </si>
  <si>
    <t>TeamViewer Germany GmbH</t>
  </si>
  <si>
    <t>SUSCRIPCIÓN 10 Junio, 2026 a 09 Junio, 2027</t>
  </si>
  <si>
    <t xml:space="preserve">Valentina Tundis </t>
  </si>
  <si>
    <t>Lo cargan directamente a la cuenta, NO debemos de pagarlo nosotros por transferencia</t>
  </si>
  <si>
    <t>NO VAMOS A TENER FACUTRA</t>
  </si>
  <si>
    <t>Factura de ACEA (febrero-marzo 2026): 58,52- Factura de ENI (marzo-abril 2026): 41,99- Tasa de residuos segundo trimestre (abril-junio 2026): 69,30-
Anticipo de gastos de comunidad y calefacción (abril-mayo 2026): 200,00 €</t>
  </si>
  <si>
    <t>NO VAMOS A TENER FACTURA</t>
  </si>
  <si>
    <t>9018</t>
  </si>
  <si>
    <t>INTERCITY HOTEL INGOLSTADT</t>
  </si>
  <si>
    <t>FERIA MUNICH: HOTEL- TOTAL FACTURA 7952,80</t>
  </si>
  <si>
    <t>FVS26-1005</t>
  </si>
  <si>
    <t>Estancia hotel semana 25  MUNICH -Maria de la O y Javier B</t>
  </si>
  <si>
    <t xml:space="preserve">PENDIENTE DE FACTURA </t>
  </si>
  <si>
    <t>RGE-182880</t>
  </si>
  <si>
    <t>Alquiler coche Munich Javi B y Maria de la O Expediente: 566674</t>
  </si>
  <si>
    <t>Hotel Villarosa</t>
  </si>
  <si>
    <t>Estancia Roma Andrés, se ha pagado esta factura tambien con solutions hemos solicitado devolución de este importe</t>
  </si>
  <si>
    <t>F 260762</t>
  </si>
  <si>
    <t>Prototipos</t>
  </si>
  <si>
    <t>DWAM-51510117</t>
  </si>
  <si>
    <t>´2202247977105</t>
  </si>
  <si>
    <t>Vuelo IDA Y VUELTA  Malaga - Munich  Francisco Javier Muñoz</t>
  </si>
  <si>
    <t>´2202247977106</t>
  </si>
  <si>
    <t xml:space="preserve">Vuelo IDA Y VUELTA  Malaga - Munich  Rocio López </t>
  </si>
  <si>
    <t>´2202248236498</t>
  </si>
  <si>
    <t>Vuelo IDA Y VUELTA  Malaga - Munich  Angela Torreno de Haro</t>
  </si>
  <si>
    <t>´2202248236497</t>
  </si>
  <si>
    <t xml:space="preserve">Vuelo IDA Y VUELTA  Malaga - Munich  Elizabeth MRS Ros Hollis </t>
  </si>
  <si>
    <t>FVS26-1018</t>
  </si>
  <si>
    <t>316.25 Said 5</t>
  </si>
  <si>
    <t>FVS26-1106</t>
  </si>
  <si>
    <t>FVS26-1107</t>
  </si>
  <si>
    <t>1200157-2026/IE</t>
  </si>
  <si>
    <t>Booking Reference: T6D5KA</t>
  </si>
  <si>
    <t>N° TICKET 0552115612915</t>
  </si>
  <si>
    <t>FVS26-1108</t>
  </si>
  <si>
    <t>162.23 Galatone</t>
  </si>
  <si>
    <t>FVS26-1047</t>
  </si>
  <si>
    <t>Stock, ANTICIPO FACT FVS26-0919</t>
  </si>
  <si>
    <t>FVS26-1048</t>
  </si>
  <si>
    <t>FVS26-1049</t>
  </si>
  <si>
    <t>FV26-0783</t>
  </si>
  <si>
    <t>FV26-0416</t>
  </si>
  <si>
    <t>AB26/0020</t>
  </si>
  <si>
    <t>ABONO FACTURA FV26-0106 PV 387.25 Mariolisi</t>
  </si>
  <si>
    <t>AB26/0019</t>
  </si>
  <si>
    <t>ABONO FACTURA FV26-0107 PV 387.25 Mariolisi</t>
  </si>
  <si>
    <t xml:space="preserve">PF 262645 </t>
  </si>
  <si>
    <t>260/862</t>
  </si>
  <si>
    <t>VINILOS CHAPAS PARA LOS TRACKERS Y ESTRUCTURAS</t>
  </si>
  <si>
    <t>260/863</t>
  </si>
  <si>
    <t>Bolsas verdes grabadas 300UD</t>
  </si>
  <si>
    <t>260/864</t>
  </si>
  <si>
    <t>Folletos, tarjetas visita, carpetas y roll up</t>
  </si>
  <si>
    <t>AVS26-0003</t>
  </si>
  <si>
    <t>NOTA DE ABONO DE LA FACTURA FVS26-0029</t>
  </si>
  <si>
    <t>PF 2/2306</t>
  </si>
  <si>
    <t>REVIEW ENERGY S.L</t>
  </si>
  <si>
    <t>PUBLICIDAD MARKETING FERIA DE MUNICH- INTERSOLAR</t>
  </si>
  <si>
    <t>26FV/1581</t>
  </si>
  <si>
    <t>35% sTAND FERIA MUNICH INTERSOLAR 2026</t>
  </si>
  <si>
    <t>REC2600505ALC</t>
  </si>
  <si>
    <t>RECTIFICATIVA DE LA FACTURA F260009028ALC</t>
  </si>
  <si>
    <t>Uso de nuestra musica en feria de MUNICH- Rectifican la factura 7117161497 y emiten la 7117184408</t>
  </si>
  <si>
    <t>Uso de nuestra musica en feria de MUNICH- Falta nuestro cif en la factura, la factura correcta es la 7117219529</t>
  </si>
  <si>
    <t>AVS26-0002</t>
  </si>
  <si>
    <t>NOTA DE ABONO DE LA FACTURA FVS26-0028</t>
  </si>
  <si>
    <t>FVS26-0028</t>
  </si>
  <si>
    <t>FACTURA CON NOTA DE ABONO AVS26-0002</t>
  </si>
  <si>
    <t>FVS26-0029</t>
  </si>
  <si>
    <t>FACTURA CON NOTA DE ABONO AVS26-0003</t>
  </si>
  <si>
    <t>RGE-184193</t>
  </si>
  <si>
    <t>24JUN.- RE: TRASLADO JOSE ANTONIO, JOSE MALDONADO AEROPUERTO - INTERSOLAR. IDA Y VUELTA</t>
  </si>
  <si>
    <t>FVS26-1060</t>
  </si>
  <si>
    <t>129877-N6M7</t>
  </si>
  <si>
    <t>Norwegian Air Shuttle AOC AS</t>
  </si>
  <si>
    <t>Malaga Airport - Munich Referencia de la reserva: YZ95D4</t>
  </si>
  <si>
    <t>´2202248236500</t>
  </si>
  <si>
    <t>Vuelo IDA Y VUELTA  Malaga - Munich  Maria Elena Brazo Angulo</t>
  </si>
  <si>
    <t>´2202248652422</t>
  </si>
  <si>
    <t>Vuelo IDA Y VUELTA   Malaga - Munich Javier Bedoya</t>
  </si>
  <si>
    <t>´2202248652423</t>
  </si>
  <si>
    <t xml:space="preserve">Vuelo IDA Y VUELTA   Malaga - Munich Maria de la O </t>
  </si>
  <si>
    <t>F 260854</t>
  </si>
  <si>
    <t>PF 262611</t>
  </si>
  <si>
    <t>F 261101</t>
  </si>
  <si>
    <t>PF 262625</t>
  </si>
  <si>
    <t>F 261102</t>
  </si>
  <si>
    <t>JA7GR / 7203MXF</t>
  </si>
  <si>
    <t>2/2461</t>
  </si>
  <si>
    <t>2/1802</t>
  </si>
  <si>
    <t>´7242349355890</t>
  </si>
  <si>
    <t>Swiss International Air Lines AG</t>
  </si>
  <si>
    <t>Billete JAM</t>
  </si>
  <si>
    <t>2/2515</t>
  </si>
  <si>
    <t>2/1801</t>
  </si>
  <si>
    <t>2/2514</t>
  </si>
  <si>
    <t>2/1800</t>
  </si>
  <si>
    <t>PF 2/2637</t>
  </si>
  <si>
    <t>2/1865</t>
  </si>
  <si>
    <t>2/1790</t>
  </si>
  <si>
    <t>2/1793</t>
  </si>
  <si>
    <t>142.25 Castrovillari A, B y C</t>
  </si>
  <si>
    <t>´7242349355891</t>
  </si>
  <si>
    <t>Billete Jose Maldonado</t>
  </si>
  <si>
    <t>PF 2/2459</t>
  </si>
  <si>
    <t>2/1797</t>
  </si>
  <si>
    <t>TRANSMEC DE BORTOLI GROUP ESPAÑA S.A</t>
  </si>
  <si>
    <t>F260008608ALC</t>
  </si>
  <si>
    <t>FVS26-1109</t>
  </si>
  <si>
    <t>260/891</t>
  </si>
  <si>
    <t>6 Impresiones pegatina A4</t>
  </si>
  <si>
    <t>DQ1BT/3082MXX FACTURA RECTIFICADA POR 1950732094, SE HA CAMBIADO DATOS DE FACTURACION- SOLUTIONS</t>
  </si>
  <si>
    <t>REC2600531ALC</t>
  </si>
  <si>
    <t>DWAM-52322004</t>
  </si>
  <si>
    <t>DWAM-52317643</t>
  </si>
  <si>
    <t>1293793-2026/IE</t>
  </si>
  <si>
    <t>Booking Reference: N52N9Q</t>
  </si>
  <si>
    <t>7QLAA/8123HVD FACTURA RECTIFICADA POR 1950732096, SE HA CAMBIADO DATOS DE FACTURACION- SOLUTIONS</t>
  </si>
  <si>
    <t>2MAKU / 7203MXF</t>
  </si>
  <si>
    <t>5XDVG/9682JTS FACTURA RECTIFICADA POR 1950732095, SE HA CAMBIADO DATOS DE FACTURACION- SOLUTIONS</t>
  </si>
  <si>
    <t>FVS26-1110</t>
  </si>
  <si>
    <t>FVS26-1157</t>
  </si>
  <si>
    <t>315.25 D´Orsi Edvige</t>
  </si>
  <si>
    <t>FVS26-1137</t>
  </si>
  <si>
    <t>EDP COMERCIAL</t>
  </si>
  <si>
    <t>LUZ OFICINA FARO, datos para pagar _ Entidade: 20174
Referência: 865889692
Montante: 18.31 €
 Datos para pagar _ Entidade: 20174
Referência: 865889692
Montante: 18.31 €</t>
  </si>
  <si>
    <t>FERIA MUNICH- INTERSOLAR. Consumiciones hotel Reference: Alphatracker Ref 323558 - TOTAL FACTURA 7952,80</t>
  </si>
  <si>
    <t>RGE-188310</t>
  </si>
  <si>
    <t>TOTAL FACTURA 136,66€ Se han hecho 2 pagos, expediente 576549 Coche Ines</t>
  </si>
  <si>
    <t>F260009847ALC</t>
  </si>
  <si>
    <t>PF 262821</t>
  </si>
  <si>
    <t>F 261219</t>
  </si>
  <si>
    <t>FV063174</t>
  </si>
  <si>
    <t>FV063175</t>
  </si>
  <si>
    <t>289.26 Assolau</t>
  </si>
  <si>
    <t>FV063171</t>
  </si>
  <si>
    <t>FV063172</t>
  </si>
  <si>
    <t>077.26 Scurcola- Luco</t>
  </si>
  <si>
    <t>FV063173</t>
  </si>
  <si>
    <t>FV063176</t>
  </si>
  <si>
    <t>FV063177</t>
  </si>
  <si>
    <t>PF 262647</t>
  </si>
  <si>
    <t>PF 262820</t>
  </si>
  <si>
    <t>F 261231</t>
  </si>
  <si>
    <t>PF 262827</t>
  </si>
  <si>
    <t>F 261226</t>
  </si>
  <si>
    <t>2/2487</t>
  </si>
  <si>
    <t>2/1810</t>
  </si>
  <si>
    <t>F260009486ALC</t>
  </si>
  <si>
    <t>PF 2/2544</t>
  </si>
  <si>
    <t>2/1813</t>
  </si>
  <si>
    <t>PF 2/2555</t>
  </si>
  <si>
    <t>2/ 1888</t>
  </si>
  <si>
    <t>RGE-187223</t>
  </si>
  <si>
    <t>No es correcta envian factura rectificativa RRGE-15943. Expediente: 548094 - SISTEMA DE NAVEGACIÓN 41,77 €</t>
  </si>
  <si>
    <t>RRGE-15943</t>
  </si>
  <si>
    <t>Factura rectificativa perteneciente a fact RGE-187223 -Expediente: 548094 - SISTEMA DE NAVEGACIÓN 41,77 €</t>
  </si>
  <si>
    <t>FT 101/116734979</t>
  </si>
  <si>
    <t>Linea Portugal mes junio</t>
  </si>
  <si>
    <t>F260009029ALC</t>
  </si>
  <si>
    <t>F260009063ALC</t>
  </si>
  <si>
    <t>FVS26-1140</t>
  </si>
  <si>
    <t>F260009064ALC</t>
  </si>
  <si>
    <t>F260009065ALC</t>
  </si>
  <si>
    <t>FPR 205/26</t>
  </si>
  <si>
    <t>Tubos Aranda, S.L.</t>
  </si>
  <si>
    <t>F260009066ALC</t>
  </si>
  <si>
    <t>375.25 Mordano 2</t>
  </si>
  <si>
    <t>DWAM-52714776</t>
  </si>
  <si>
    <t xml:space="preserve">260/943 </t>
  </si>
  <si>
    <t>Vinilos corte para logotipos oficina</t>
  </si>
  <si>
    <t>F260009028ALC</t>
  </si>
  <si>
    <t>RECTIFICADA POR LA FACTURA  REC2600505ALC</t>
  </si>
  <si>
    <t>98151</t>
  </si>
  <si>
    <t>Luz del 1 de abril al 31 de mayo 2026</t>
  </si>
  <si>
    <t>DWAM-52765495</t>
  </si>
  <si>
    <t>260/963</t>
  </si>
  <si>
    <t xml:space="preserve">Rotulación de furgoneta </t>
  </si>
  <si>
    <t>DWAM-52892318</t>
  </si>
  <si>
    <t>Flight ticket (-) GASTO CANCELACIÓN KENNY</t>
  </si>
  <si>
    <t>PF 952</t>
  </si>
  <si>
    <t>146.26 Manduria</t>
  </si>
  <si>
    <t>PF 953</t>
  </si>
  <si>
    <t>148.26 Matino</t>
  </si>
  <si>
    <t>PF 954</t>
  </si>
  <si>
    <t>264.26 Figurtta 2</t>
  </si>
  <si>
    <t>PF 955</t>
  </si>
  <si>
    <t>265.26 Figurtta 1</t>
  </si>
  <si>
    <t>PF 956</t>
  </si>
  <si>
    <t>294.26 Albanacci</t>
  </si>
  <si>
    <t>PF 957</t>
  </si>
  <si>
    <t>295.26 Schievone</t>
  </si>
  <si>
    <t>PF 958</t>
  </si>
  <si>
    <t>296.26 Sant´Agata</t>
  </si>
  <si>
    <t>0375/26</t>
  </si>
  <si>
    <t>RELOJ ROLEX DATEJUST</t>
  </si>
  <si>
    <t>129/2026</t>
  </si>
  <si>
    <t>JOSE ANTONIO MARTIN FABIO- AFILADOS FABIO</t>
  </si>
  <si>
    <t xml:space="preserve">AFILADO CUCHILOS FERIAS </t>
  </si>
  <si>
    <t>FT 001/103669</t>
  </si>
  <si>
    <t>FA.LIS26/244</t>
  </si>
  <si>
    <t>FA.LIS26/280</t>
  </si>
  <si>
    <t>FA5.LIS26/148</t>
  </si>
  <si>
    <t>Gastos bancarios</t>
  </si>
  <si>
    <t>FA.LIS26/320</t>
  </si>
  <si>
    <t>FT2026 K3426/340023953551</t>
  </si>
  <si>
    <t>Entidade: 20174
Referência: 591 563 279
Montante: 35,45 €</t>
  </si>
  <si>
    <t>Uso de nuestra musica en feria de MUNICH- Correcta</t>
  </si>
  <si>
    <t>AGGF26092161</t>
  </si>
  <si>
    <t>gasto agua por alquiler de Portugal pagar multibanco Entidade 21263
Referência 472 025 385
Montante € 19,27</t>
  </si>
  <si>
    <t xml:space="preserve"> PAGAR POR MULTIBANCO</t>
  </si>
  <si>
    <t>F260010105ALC</t>
  </si>
  <si>
    <t>F260010106ALC</t>
  </si>
  <si>
    <t>F260010107ALC</t>
  </si>
  <si>
    <t>FR2.LIS26/38</t>
  </si>
  <si>
    <t>FP.LIS26/73</t>
  </si>
  <si>
    <t>Honorarios, contrato de trabajo Inés</t>
  </si>
  <si>
    <t>FP.LIS26/74</t>
  </si>
  <si>
    <t xml:space="preserve">Honorarios, traduccion y apostilla </t>
  </si>
  <si>
    <t>PM0000009992</t>
  </si>
  <si>
    <t>146.24 Capua</t>
  </si>
  <si>
    <t>A 26000261</t>
  </si>
  <si>
    <t>A 26000265</t>
  </si>
  <si>
    <t>FVS26-1210</t>
  </si>
  <si>
    <t>123.25 Scurola 2</t>
  </si>
  <si>
    <t>FVS26-1211</t>
  </si>
  <si>
    <t>FVS26-1212</t>
  </si>
  <si>
    <t>165/2026</t>
  </si>
  <si>
    <t>PF 2/2645</t>
  </si>
  <si>
    <t>FV063239</t>
  </si>
  <si>
    <t>FV063240</t>
  </si>
  <si>
    <t>FV063241</t>
  </si>
  <si>
    <t>FV063242</t>
  </si>
  <si>
    <t>FV063243</t>
  </si>
  <si>
    <t>FV063244</t>
  </si>
  <si>
    <t>FV063245</t>
  </si>
  <si>
    <t>FV063246</t>
  </si>
  <si>
    <t>FV063247</t>
  </si>
  <si>
    <t>5XDVG/9682JTS FACTURA RECTIFICATIVA DE 1852384301, SE HA CAMBIADO DATOS DE FACTURACION- SOLUTIONS</t>
  </si>
  <si>
    <t>1POHB/8015LWV FACTURA RECTIFICATIVA DE 1852362056, SE HA CAMBIADO DATOS DE FACTURACION- SOLUTIONS</t>
  </si>
  <si>
    <t>DQ1BT/3082MXX FACTURA RECTIFICATIVA DE 1852384300 , SE HA CAMBIADO DATOS DE FACTURACION- SOLUTIONS</t>
  </si>
  <si>
    <t>7QLAA/8123HVD  FACTURA RECTIFICATIVA DE 1852384302, SE HA CAMBIADO DATOS DE FACTURACION- SOLUTIONS</t>
  </si>
  <si>
    <t>UPR2A/5565LCC FACTURA RECTIFICATIVA DE 1852375989 , SE HA CAMBIADO DATOS DE FACTURACION- SOLUTIONS</t>
  </si>
  <si>
    <t>PF 985</t>
  </si>
  <si>
    <t>511.25 Kalkan</t>
  </si>
  <si>
    <t>PF 983</t>
  </si>
  <si>
    <t>280.26 Impianto 998</t>
  </si>
  <si>
    <t>260/984</t>
  </si>
  <si>
    <t>Rotulacion Totem 2 caras ED CADI, Rotulacion vinilos y en lona</t>
  </si>
  <si>
    <t>PF 982</t>
  </si>
  <si>
    <t>193.26 Castiglione</t>
  </si>
  <si>
    <t>PF 984</t>
  </si>
  <si>
    <t>194.26 Buseto</t>
  </si>
  <si>
    <t>Google ADS mayo</t>
  </si>
  <si>
    <t>Google Ads junio</t>
  </si>
  <si>
    <t>Fecha Proforma</t>
  </si>
  <si>
    <t>Importe</t>
  </si>
  <si>
    <t xml:space="preserve">Fecha Vencimiento </t>
  </si>
  <si>
    <t>Estado</t>
  </si>
  <si>
    <t>Descripcion</t>
  </si>
  <si>
    <t>Fecha de pago</t>
  </si>
  <si>
    <t>Responsable2</t>
  </si>
  <si>
    <t>BANCO</t>
  </si>
  <si>
    <t>COMPROBADO EN LISTADO</t>
  </si>
  <si>
    <t>2501C00026429</t>
  </si>
  <si>
    <t>SECURITAS DIRECT ESPAÑA, SAU</t>
  </si>
  <si>
    <t>Nº de contrato / instalación: 6201351</t>
  </si>
  <si>
    <t>2025-12-004</t>
  </si>
  <si>
    <t>BY ANTON INC</t>
  </si>
  <si>
    <t>FE25000484</t>
  </si>
  <si>
    <t>JOSE CARLOS INGLADA MUÑOZ</t>
  </si>
  <si>
    <t>Oxperta</t>
  </si>
  <si>
    <t>FA-V-25-051492</t>
  </si>
  <si>
    <t>MAQUINARIA Y SERVICIOS GARMO S.L.</t>
  </si>
  <si>
    <t>DEV GASTOS CAROLINA IERVOLINO</t>
  </si>
  <si>
    <t>DEV GASTOS JESSICA TARIS</t>
  </si>
  <si>
    <t>PENDIENTE NOTA DE ABONO</t>
  </si>
  <si>
    <t>DEV GASTOS ROMINA PAULA VILLA</t>
  </si>
  <si>
    <t>DEV GASTOS GIULIA GIACCIO</t>
  </si>
  <si>
    <t>ASESORIA J. ALFONSO URBANO</t>
  </si>
  <si>
    <t>182/2025</t>
  </si>
  <si>
    <t>RAMON JOSE GRANADOS PODADERA</t>
  </si>
  <si>
    <t>Taxi</t>
  </si>
  <si>
    <t>01/2026</t>
  </si>
  <si>
    <t>26FVN0023</t>
  </si>
  <si>
    <t>NAVEX CONSULTORIA INFORMATICA S.L.</t>
  </si>
  <si>
    <t>Mes de enero</t>
  </si>
  <si>
    <t>A-V2026-0000131601</t>
  </si>
  <si>
    <t>MERCADONA S.A.</t>
  </si>
  <si>
    <t>C 2600112</t>
  </si>
  <si>
    <t>INOLOGY S.A.</t>
  </si>
  <si>
    <t>SABADELL</t>
  </si>
  <si>
    <t>Mari cambia datos de facturacion a ALphatracker LDA</t>
  </si>
  <si>
    <t>MAYFERSUR S.L.</t>
  </si>
  <si>
    <t>F26/114</t>
  </si>
  <si>
    <t>DON CURADO S.L.</t>
  </si>
  <si>
    <t>Jamon para oficina</t>
  </si>
  <si>
    <t>Cajamar</t>
  </si>
  <si>
    <t>MA20250260</t>
  </si>
  <si>
    <t>CARRAÑACA ALQUILER Y VENTA DE MAQ S.L.</t>
  </si>
  <si>
    <t>Alquiler de maquinaria</t>
  </si>
  <si>
    <t>AE26390000020388</t>
  </si>
  <si>
    <t>NATURGY CLIENTES</t>
  </si>
  <si>
    <t>FE26390002926743_x000D_</t>
  </si>
  <si>
    <t>19/2026</t>
  </si>
  <si>
    <t>NOLEGGIAMI ITALIA SRLS</t>
  </si>
  <si>
    <t>12600002-A</t>
  </si>
  <si>
    <t>ANA ISABEL QUERO GONZALEZ NOTARIO</t>
  </si>
  <si>
    <t>05/2026</t>
  </si>
  <si>
    <t>DD226-7080</t>
  </si>
  <si>
    <t>DON DOMINIO SOLUCIONES CORPORATIVAS IP S.L.</t>
  </si>
  <si>
    <t>00303-00016960</t>
  </si>
  <si>
    <t>TUR LYFE S.A- INTERSUR RECOLETA HOTLES</t>
  </si>
  <si>
    <t>Hotel JAM Argentina</t>
  </si>
  <si>
    <t>No corresponde el total con el banco por el cambio</t>
  </si>
  <si>
    <t>5/26</t>
  </si>
  <si>
    <t>ALIA, SL</t>
  </si>
  <si>
    <t>A-V2026-00000249997</t>
  </si>
  <si>
    <t>A-V2026-00000352108</t>
  </si>
  <si>
    <t>DD2026-15180</t>
  </si>
  <si>
    <t>F26/225</t>
  </si>
  <si>
    <t>F202677</t>
  </si>
  <si>
    <t>MULTISERIVCIOS LA ESPERANZA S.L.</t>
  </si>
  <si>
    <t>DD2026-16550</t>
  </si>
  <si>
    <t>Proc Seguridad SOcial</t>
  </si>
  <si>
    <t>JOSE ROJAS MORENO</t>
  </si>
  <si>
    <t>5 Mandos persianas</t>
  </si>
  <si>
    <t>2026-01-005</t>
  </si>
  <si>
    <t>Gestion estrategica de redes dociales Enero</t>
  </si>
  <si>
    <t>E10010612460-0126</t>
  </si>
  <si>
    <t>ORANGE</t>
  </si>
  <si>
    <t>2602C0O160049</t>
  </si>
  <si>
    <t>Nº contrato 6201705</t>
  </si>
  <si>
    <t>2602C0O141097</t>
  </si>
  <si>
    <t>AENA SM.E, S.A.</t>
  </si>
  <si>
    <t>00033</t>
  </si>
  <si>
    <t>ROADHOUSE LOGISTICA S.L.U.</t>
  </si>
  <si>
    <t>Pendiente devolución</t>
  </si>
  <si>
    <t>DEVOLUCIÓN GASTOS TRABAJADORES</t>
  </si>
  <si>
    <t>Carolina Iervolino</t>
  </si>
  <si>
    <t>Tomas Galiana Martin</t>
  </si>
  <si>
    <t>4/170</t>
  </si>
  <si>
    <t>FEMAR ASESORES</t>
  </si>
  <si>
    <t>2600011/C</t>
  </si>
  <si>
    <t>2600420/C</t>
  </si>
  <si>
    <t>MOLLETE SAN ROQUE S.A</t>
  </si>
  <si>
    <t>Molletes Feria KEYENERY</t>
  </si>
  <si>
    <t>A-V2026-00000545001</t>
  </si>
  <si>
    <t>A18</t>
  </si>
  <si>
    <t>RUBEN FERNANDEZ GUTIERREZ</t>
  </si>
  <si>
    <t>Hosting ICBM PLUS</t>
  </si>
  <si>
    <t>2026-0008</t>
  </si>
  <si>
    <t>ALBERTO BRUÑA DASAIRAS</t>
  </si>
  <si>
    <t>Sillas, mesas... KEY ENERGY</t>
  </si>
  <si>
    <t>A 397</t>
  </si>
  <si>
    <t>FERRETERIA LINDE</t>
  </si>
  <si>
    <t>A 598</t>
  </si>
  <si>
    <t>MA20250254</t>
  </si>
  <si>
    <t>JOSE ANTONIO CARMONA MORALES - PIOBIEM</t>
  </si>
  <si>
    <t>2 Tartas de queso de 1 kg + Piononos</t>
  </si>
  <si>
    <t>E10010711795-0226</t>
  </si>
  <si>
    <t>Alquiler Nave + Comunidad Trimestral</t>
  </si>
  <si>
    <t>A-V2026-00000656963</t>
  </si>
  <si>
    <t>Compra</t>
  </si>
  <si>
    <t>FRANCISCO JOSE LUQUE RIERA - FERRETERIA LA LLAVE</t>
  </si>
  <si>
    <t>MA20260022</t>
  </si>
  <si>
    <t>7/55</t>
  </si>
  <si>
    <t>07/24</t>
  </si>
  <si>
    <t>G136455241</t>
  </si>
  <si>
    <t>MICROSOFT IBERIA S.R.L.</t>
  </si>
  <si>
    <t>A-V2026-00000380131</t>
  </si>
  <si>
    <t>9ES0133908</t>
  </si>
  <si>
    <t>ADEVINTA JOBS S.L.U.</t>
  </si>
  <si>
    <t>2601C00040894</t>
  </si>
  <si>
    <t>Nº contrato 6178952</t>
  </si>
  <si>
    <t>2601C00059096</t>
  </si>
  <si>
    <t>Nª contrato 6201705</t>
  </si>
  <si>
    <t>2602C00174879</t>
  </si>
  <si>
    <t>01015565</t>
  </si>
  <si>
    <t>COMPRA FERIA RIMINI</t>
  </si>
  <si>
    <t>FE26390006901961</t>
  </si>
  <si>
    <t>A21</t>
  </si>
  <si>
    <t>5 Monitores</t>
  </si>
  <si>
    <t>07/2026</t>
  </si>
  <si>
    <t>Taxi id y vuelta Notaria</t>
  </si>
  <si>
    <t>TRAMILEX LEGAL COMPLIANCE S.L.</t>
  </si>
  <si>
    <t>2600421/C</t>
  </si>
  <si>
    <t>MOlletes Feria KEY ENERGY</t>
  </si>
  <si>
    <t>Pagar de forma inmediata</t>
  </si>
  <si>
    <t xml:space="preserve">CARMEN MARIA MORENTE </t>
  </si>
  <si>
    <t>PAGADO EFECTIVO</t>
  </si>
  <si>
    <t>DECOR RUENFA SL</t>
  </si>
  <si>
    <t>A-V2026-00000778573</t>
  </si>
  <si>
    <t>9ES0135670</t>
  </si>
  <si>
    <t>A-V2026-00000800548</t>
  </si>
  <si>
    <t>A/40</t>
  </si>
  <si>
    <t>ANTONIO MORALES LUNA</t>
  </si>
  <si>
    <t>F014/26</t>
  </si>
  <si>
    <t>CHAPA Y PINTURA FERNANDO CHICON GUERRERO</t>
  </si>
  <si>
    <t>B143873</t>
  </si>
  <si>
    <t>RAGAZZONI PERALTA S.L</t>
  </si>
  <si>
    <t>GRUPO WIFIMAX</t>
  </si>
  <si>
    <t>MA20260031</t>
  </si>
  <si>
    <t>09/2026</t>
  </si>
  <si>
    <t>11/2026</t>
  </si>
  <si>
    <t>Taxi Fran M</t>
  </si>
  <si>
    <t>AFFR0032409951</t>
  </si>
  <si>
    <t>AIRFRANCE</t>
  </si>
  <si>
    <t>A- 202600026</t>
  </si>
  <si>
    <t>JARDINERIA M. SORIA, S.L.</t>
  </si>
  <si>
    <t>A 1349</t>
  </si>
  <si>
    <t>2026/C4/24</t>
  </si>
  <si>
    <t>TIENDAS FRUYVER S.L</t>
  </si>
  <si>
    <t>DIGITALOCEAN LLC</t>
  </si>
  <si>
    <t>Hemos comprobado en el banco que el importe cobrado es de 6,12 en factura aparece 7,20</t>
  </si>
  <si>
    <t>H-26/00065</t>
  </si>
  <si>
    <t xml:space="preserve">DINAMIC ATLANTIC, S.L- ANTEQUERA GOLF </t>
  </si>
  <si>
    <t>F26/589</t>
  </si>
  <si>
    <t>2026/AES008809</t>
  </si>
  <si>
    <t xml:space="preserve">VOLOTEA, S.L </t>
  </si>
  <si>
    <t>A-V2026-00000866473</t>
  </si>
  <si>
    <t>MA20260037</t>
  </si>
  <si>
    <t>QRCGPRO-2729751</t>
  </si>
  <si>
    <t>BITLY EUROPE GMBH</t>
  </si>
  <si>
    <t>2026-02-006</t>
  </si>
  <si>
    <t>Gestion estrategica de redes Sociales Febrero</t>
  </si>
  <si>
    <t>´000539</t>
  </si>
  <si>
    <t>JOSE MANUEL GARCÍA RODRÍGUEZ</t>
  </si>
  <si>
    <t>Juan Pedro Hidalgo</t>
  </si>
  <si>
    <t>Casa JAM</t>
  </si>
  <si>
    <t>2603C00124133</t>
  </si>
  <si>
    <t>CONTRATO 6201351</t>
  </si>
  <si>
    <t>F260041</t>
  </si>
  <si>
    <t>VALLADOS JOSE ANTONIO CHAMIZO S.L</t>
  </si>
  <si>
    <t>Pendiente de pago para TOTAL</t>
  </si>
  <si>
    <t>Este importe ya se ha abonaado queda por pagar 3747,97 hasta el 05/03/26</t>
  </si>
  <si>
    <t>2603C0085209</t>
  </si>
  <si>
    <t>CONTRATO 6201705</t>
  </si>
  <si>
    <t>2603C00114326</t>
  </si>
  <si>
    <t>CONTRATO 6178952</t>
  </si>
  <si>
    <t>CIA. ANTEQUERANA DE LIMPIEZA, S.L</t>
  </si>
  <si>
    <t xml:space="preserve">Liampieza mes de Febrero </t>
  </si>
  <si>
    <t>VALE REAL ESTATE SRL IH HOTELS MILANO CENTRALE</t>
  </si>
  <si>
    <t>Pagado con tarjeta</t>
  </si>
  <si>
    <t>4/359</t>
  </si>
  <si>
    <t>A225835</t>
  </si>
  <si>
    <t>NACEX</t>
  </si>
  <si>
    <t>A-V2026-00001041147</t>
  </si>
  <si>
    <t>JUAN ANTONIO MONCAYO BORREGO</t>
  </si>
  <si>
    <t>Pegatinas ALphatracker (Javi Bedoya)</t>
  </si>
  <si>
    <t>26FVN0151</t>
  </si>
  <si>
    <t>Mes de febrero</t>
  </si>
  <si>
    <t>Iguala</t>
  </si>
  <si>
    <t>´6002026811502</t>
  </si>
  <si>
    <t>PC COMPONENTES Y MULTIMEDIA SLU</t>
  </si>
  <si>
    <t>Disco duro para informaticos</t>
  </si>
  <si>
    <t>26FVN0087</t>
  </si>
  <si>
    <t>Mes de marzo</t>
  </si>
  <si>
    <t>Alquiler Nave</t>
  </si>
  <si>
    <t>A-V2026-00001115560</t>
  </si>
  <si>
    <t>Seguro Microondas- RECLAMADO A PROVEEDOR</t>
  </si>
  <si>
    <t>SEGURO DE VENTILADOR- RECLAMADO A PROVEEDOR</t>
  </si>
  <si>
    <t>ES618790ABEI</t>
  </si>
  <si>
    <t>Cartulinas</t>
  </si>
  <si>
    <t>ES6X7NSABEI</t>
  </si>
  <si>
    <t>Marcador</t>
  </si>
  <si>
    <t>ES600075XU869I</t>
  </si>
  <si>
    <t>Pines conectores</t>
  </si>
  <si>
    <t>ES6KL1DABEI</t>
  </si>
  <si>
    <t>Super Glue</t>
  </si>
  <si>
    <t>ES60008VXQOKI</t>
  </si>
  <si>
    <t>Funda movil</t>
  </si>
  <si>
    <t>Twylh5f1R-772929356</t>
  </si>
  <si>
    <t>Juego de reglas</t>
  </si>
  <si>
    <t>ES6Q4OTABEI</t>
  </si>
  <si>
    <t xml:space="preserve">Maracador de tinta </t>
  </si>
  <si>
    <t>ES6008ALF52RRI</t>
  </si>
  <si>
    <t>Alcohol 70º</t>
  </si>
  <si>
    <t>ES6000FJ4OF5XI</t>
  </si>
  <si>
    <t>Cartel señalización prohibido</t>
  </si>
  <si>
    <t>ES6RHDVABEI</t>
  </si>
  <si>
    <t>Gomas y lápices</t>
  </si>
  <si>
    <t>ES6ZISGABEI</t>
  </si>
  <si>
    <t>Cable pelado</t>
  </si>
  <si>
    <t>SOCIEDAD HOTELERA LOZANO S.L</t>
  </si>
  <si>
    <t>Alojamiento Kenny Nicals Roldan Bargas del 9/3- al 13-3</t>
  </si>
  <si>
    <t>F260009958</t>
  </si>
  <si>
    <t>HOLDED TECHNOLOGIES S.L</t>
  </si>
  <si>
    <t>Enero</t>
  </si>
  <si>
    <t>F260063614</t>
  </si>
  <si>
    <t>Febrero</t>
  </si>
  <si>
    <t>F260119666</t>
  </si>
  <si>
    <t>Marzo</t>
  </si>
  <si>
    <t>A30</t>
  </si>
  <si>
    <t>4 Monitores View Sonic</t>
  </si>
  <si>
    <t>SP 2</t>
  </si>
  <si>
    <t>4 Portatiles HP</t>
  </si>
  <si>
    <t>SP 1</t>
  </si>
  <si>
    <t>2 Portatil Hp, Ampliacion SSD, Instalacion s.o y app</t>
  </si>
  <si>
    <t>Taxi del aeropuerto de Malaga, a Antequera y Roda de Andalucía</t>
  </si>
  <si>
    <t>18/2026</t>
  </si>
  <si>
    <t>Taxi del aeropuerto de Málaga, a hotel lozano</t>
  </si>
  <si>
    <t>3 alfombrillas</t>
  </si>
  <si>
    <t>ES61ABYUABEI</t>
  </si>
  <si>
    <t>1 alcohol isopropílitico</t>
  </si>
  <si>
    <t>TCq6mwXkk-1778559282</t>
  </si>
  <si>
    <t>Soporte autoadhesivo RECLAMADO PROVEEDOR</t>
  </si>
  <si>
    <t>ES6000PMX83API</t>
  </si>
  <si>
    <t>Rotuladores permanenetes- RECLAMADO PROVEEDOR. FACTURA CON DATOS DE LDA</t>
  </si>
  <si>
    <t>ES6SBSGAEUI</t>
  </si>
  <si>
    <t>Cartullinas</t>
  </si>
  <si>
    <t>ES6SK8XABEI</t>
  </si>
  <si>
    <t>Cartel señalización</t>
  </si>
  <si>
    <t>E10010808230-0326</t>
  </si>
  <si>
    <t>FACTURA FEBRERO</t>
  </si>
  <si>
    <t>EC-000090835</t>
  </si>
  <si>
    <t>Real Betis Balompié, S.A.D.</t>
  </si>
  <si>
    <t>COMPRA DE CAMISETAS REAL BETIS PARA EL TORNEO</t>
  </si>
  <si>
    <t>*7/86</t>
  </si>
  <si>
    <t>GESTION TRABAJADORES</t>
  </si>
  <si>
    <t>26D 6</t>
  </si>
  <si>
    <t>H&amp;M ASESORES TRIBUTARIOS S.L</t>
  </si>
  <si>
    <t>HONORARIOS PREST MODELO 806</t>
  </si>
  <si>
    <t>12600056-L</t>
  </si>
  <si>
    <t>NOTARIA</t>
  </si>
  <si>
    <t>22600059-L</t>
  </si>
  <si>
    <t xml:space="preserve">D. FEDERICO CARMONA CASTEJON </t>
  </si>
  <si>
    <t>Caixa Renting</t>
  </si>
  <si>
    <t>RENTING SKODA FABIA ENERO</t>
  </si>
  <si>
    <t xml:space="preserve">RENTING SKODA FABIA </t>
  </si>
  <si>
    <t>RENTING SKODA FABIA FEBRERO</t>
  </si>
  <si>
    <t>RENTING SKODA FABIA MARZO</t>
  </si>
  <si>
    <t>Alojamiento GULIA y Carolina</t>
  </si>
  <si>
    <t>MA20260051</t>
  </si>
  <si>
    <t>Alquiler torito descarga camiones feria RIMINI 2026</t>
  </si>
  <si>
    <t>F23- 2890</t>
  </si>
  <si>
    <t>FERRETERIA CRUZ BLANCA</t>
  </si>
  <si>
    <t>Copia de llave- Pagado efectivo</t>
  </si>
  <si>
    <t>A-V2026-00001199636</t>
  </si>
  <si>
    <t>9ES0142475</t>
  </si>
  <si>
    <t>F260021</t>
  </si>
  <si>
    <t>ALOJAMIENTO  Estancia del 20 al 21 de 03/2026</t>
  </si>
  <si>
    <t>DD2026-48774</t>
  </si>
  <si>
    <t xml:space="preserve"> B2B Group- MATERIAL ESCOLAR</t>
  </si>
  <si>
    <t>Materiales diversos</t>
  </si>
  <si>
    <t>Adhesivo de montaje</t>
  </si>
  <si>
    <t>Recibo XX6004RVRZWB5T</t>
  </si>
  <si>
    <t xml:space="preserve">Cinta de doble cara </t>
  </si>
  <si>
    <t xml:space="preserve"> INV-UN-ES00000041</t>
  </si>
  <si>
    <t>Gafas de trabajo</t>
  </si>
  <si>
    <t>Aceite 3 en 1</t>
  </si>
  <si>
    <t>FR60025YTE5QFI</t>
  </si>
  <si>
    <t>1 raspador de vidrio</t>
  </si>
  <si>
    <t>DEVOLUCION GASTOS TRABAJADORES</t>
  </si>
  <si>
    <t>Jessica Taris</t>
  </si>
  <si>
    <t>Francisco Muñoz</t>
  </si>
  <si>
    <t>26OT000137945</t>
  </si>
  <si>
    <t>Archivaodres y cajas archivo</t>
  </si>
  <si>
    <t>ES6XHQ6ABEI</t>
  </si>
  <si>
    <t>FE26390010857514</t>
  </si>
  <si>
    <t xml:space="preserve">NATURGY CLIENTES </t>
  </si>
  <si>
    <t>Periodo del 10/02/26 al 09/03/26</t>
  </si>
  <si>
    <t>2026/03/016639</t>
  </si>
  <si>
    <t>ODOO S.A</t>
  </si>
  <si>
    <t>ERP- CMR DEBEMOS ESTAR PENDIENTE HACEN DEVOLUCION 0SS POR IVA</t>
  </si>
  <si>
    <t>ES6KEP4ABEI</t>
  </si>
  <si>
    <t>Cucharas postre</t>
  </si>
  <si>
    <t>A-V2026-00001289703</t>
  </si>
  <si>
    <t>R04100337012</t>
  </si>
  <si>
    <t>ONLINE PRINTERS</t>
  </si>
  <si>
    <t>Sello</t>
  </si>
  <si>
    <t>EC-000090874</t>
  </si>
  <si>
    <t>FC26 / 692</t>
  </si>
  <si>
    <t>INCOTEX- INSTALACIÓN Y CONSERVACIÓN DE EXTINTORES, S.L.</t>
  </si>
  <si>
    <t>EXTINTORES</t>
  </si>
  <si>
    <t xml:space="preserve">Taxi de antequera a notaria </t>
  </si>
  <si>
    <t>21/2026</t>
  </si>
  <si>
    <t>Taxi del aeropuerto de Malaga, a Antequera</t>
  </si>
  <si>
    <t>23/2026</t>
  </si>
  <si>
    <t>F26/1023</t>
  </si>
  <si>
    <t>PANADERIA DAYPAN S.L</t>
  </si>
  <si>
    <t>Tarta cumpleaños Juani</t>
  </si>
  <si>
    <t>A-V2026-00001393149</t>
  </si>
  <si>
    <t>DD2026-55607</t>
  </si>
  <si>
    <t>26P00001</t>
  </si>
  <si>
    <t>2026/000009</t>
  </si>
  <si>
    <t>Lydia López Traducciones</t>
  </si>
  <si>
    <t>Traducción jurada ES&gt;IT</t>
  </si>
  <si>
    <t>H/26- 0104</t>
  </si>
  <si>
    <t>COMIDA PRIMAVERA</t>
  </si>
  <si>
    <t xml:space="preserve">Tomas Galiana Martin </t>
  </si>
  <si>
    <t>DEPOSITO COMIDA PRIMAVERA, ENTREGA A CUENTA</t>
  </si>
  <si>
    <t xml:space="preserve">Julian Ligero Rico </t>
  </si>
  <si>
    <t>A/81553932</t>
  </si>
  <si>
    <t>MOVILDATA</t>
  </si>
  <si>
    <t xml:space="preserve">GPS coches </t>
  </si>
  <si>
    <t>A-V2026-00001408380</t>
  </si>
  <si>
    <t>DD2026-56336</t>
  </si>
  <si>
    <t>´269000392424</t>
  </si>
  <si>
    <t>PETROPIX ENERGIA SL</t>
  </si>
  <si>
    <t>COMBUSTIBLE PAGADO EN EFECTIVO</t>
  </si>
  <si>
    <t>2026/1736</t>
  </si>
  <si>
    <t>MOLLETES</t>
  </si>
  <si>
    <t>ES618TU7ABEI</t>
  </si>
  <si>
    <t>Candado combinación</t>
  </si>
  <si>
    <t>ES6P2T8ABEI</t>
  </si>
  <si>
    <t>Tijeras, 3 marcadores permanentes</t>
  </si>
  <si>
    <t>ES6000A0XQOK7I</t>
  </si>
  <si>
    <t>Fundas movil</t>
  </si>
  <si>
    <t>P/12</t>
  </si>
  <si>
    <t>A-37</t>
  </si>
  <si>
    <t>CARMEN ROCIO HORTIGOSA CARNERERO- POLIESTER HC</t>
  </si>
  <si>
    <t>Anticipo del 30%Deposito 20,000L  TOTAL FACTURA  2153,80</t>
  </si>
  <si>
    <t>F26043015</t>
  </si>
  <si>
    <t>MAS PREVENCIÓN</t>
  </si>
  <si>
    <t>Facturación Mes de marzo</t>
  </si>
  <si>
    <t>26/06350</t>
  </si>
  <si>
    <t>001-D26-000003</t>
  </si>
  <si>
    <t>FINCA ESLAVA SL</t>
  </si>
  <si>
    <t>Comida 19 marzo</t>
  </si>
  <si>
    <t>Factura con importe de 31,76 , pero al cambio son 27,75€</t>
  </si>
  <si>
    <t>A00028</t>
  </si>
  <si>
    <t>GOLOSINAS Y DISFRACES MONTENEGRO, S.C.</t>
  </si>
  <si>
    <t>TARTA CUMPLEAÑOS RUBEN</t>
  </si>
  <si>
    <t>AL-000154426</t>
  </si>
  <si>
    <t>CAMISETAS BETIS</t>
  </si>
  <si>
    <t>2604C00090391</t>
  </si>
  <si>
    <t>1192137/1302440/26/EU</t>
  </si>
  <si>
    <t>CODE TWO</t>
  </si>
  <si>
    <t xml:space="preserve">FIRMAS PROGRAMADAS </t>
  </si>
  <si>
    <t>JOSE REPULLO- RODRIGO</t>
  </si>
  <si>
    <t>ES6000DJXQOK7I</t>
  </si>
  <si>
    <t>DD2026-61773</t>
  </si>
  <si>
    <t>Renovación alojamiento profesional anual</t>
  </si>
  <si>
    <t>DD2026-62933</t>
  </si>
  <si>
    <t xml:space="preserve">Renovación domionio </t>
  </si>
  <si>
    <t>Limpieza mes de Marzo</t>
  </si>
  <si>
    <t>26FVN0216</t>
  </si>
  <si>
    <t>Mes de abril</t>
  </si>
  <si>
    <t>E10010905722-0426</t>
  </si>
  <si>
    <t>FACTURA MARZO</t>
  </si>
  <si>
    <t>26P00002</t>
  </si>
  <si>
    <t>2026/000013</t>
  </si>
  <si>
    <t>Traducción jurada IT&gt;ES</t>
  </si>
  <si>
    <t>12600066-L</t>
  </si>
  <si>
    <t xml:space="preserve">LEGITIMACIÓN </t>
  </si>
  <si>
    <t>22600073-L</t>
  </si>
  <si>
    <t>APOSTILLA</t>
  </si>
  <si>
    <t>12600299-A</t>
  </si>
  <si>
    <t>PODERES</t>
  </si>
  <si>
    <t>DOC13/2026/7963</t>
  </si>
  <si>
    <t>REGISTRO MERCANTIL MÁLAGA</t>
  </si>
  <si>
    <t>REGISTRO</t>
  </si>
  <si>
    <t>2026-03-007</t>
  </si>
  <si>
    <t>DIAN MEDIA LLC</t>
  </si>
  <si>
    <t>Gestión de RRSS y creación de contenido</t>
  </si>
  <si>
    <t>ES6UOVZABEI</t>
  </si>
  <si>
    <t>Platos</t>
  </si>
  <si>
    <t>ES6002EBWLC3VI</t>
  </si>
  <si>
    <t>Cable AUX USB C</t>
  </si>
  <si>
    <t>2604C00121449</t>
  </si>
  <si>
    <t>2604C00071345</t>
  </si>
  <si>
    <t>Alojamiento Arriana</t>
  </si>
  <si>
    <t>A-V2026-00001724091</t>
  </si>
  <si>
    <t>Alquiler Nave 14</t>
  </si>
  <si>
    <t>A226011</t>
  </si>
  <si>
    <t>A-V2026-00001644374</t>
  </si>
  <si>
    <t>DE60002V8RE7VI</t>
  </si>
  <si>
    <t>Medallas</t>
  </si>
  <si>
    <t>ES612EK6ABEI</t>
  </si>
  <si>
    <t>1 pack de 36 pilas</t>
  </si>
  <si>
    <t>01926FI019000000260</t>
  </si>
  <si>
    <t>E.S. LA PENITA S.A</t>
  </si>
  <si>
    <t>Gasolina coche empresa EFECTIVO</t>
  </si>
  <si>
    <t>Parking recogida de Arianna EFECTIVO</t>
  </si>
  <si>
    <t>DD2026-65504</t>
  </si>
  <si>
    <t>Renovación mail anual</t>
  </si>
  <si>
    <t>A42</t>
  </si>
  <si>
    <t>5 Portatiles HP Administrativos</t>
  </si>
  <si>
    <t>Vuelo Maxi y JAM</t>
  </si>
  <si>
    <t>DD2026-67664</t>
  </si>
  <si>
    <t>Registro de dominio anual</t>
  </si>
  <si>
    <t>DD2026-67658</t>
  </si>
  <si>
    <t>G142371195</t>
  </si>
  <si>
    <t>G148122339</t>
  </si>
  <si>
    <t>Hon.Asesoramiento laboral de ABRIL</t>
  </si>
  <si>
    <t xml:space="preserve">Giulia Giaccio </t>
  </si>
  <si>
    <t xml:space="preserve">Carolina Iervolino </t>
  </si>
  <si>
    <t>A-V2026-00001828592</t>
  </si>
  <si>
    <t>PROFORMA</t>
  </si>
  <si>
    <t>CR26N-201</t>
  </si>
  <si>
    <t>SEVILLA HOOK, SL. ( CASA ROBLES)</t>
  </si>
  <si>
    <t xml:space="preserve">Se pagó en dos partes. El primer pago ANTICIPO de 1768,80 se hizo con Solutions con transferencia y el segundo pago con tarjeta de LDA. </t>
  </si>
  <si>
    <t>´000560</t>
  </si>
  <si>
    <t xml:space="preserve">AIRE ACONDICIONADO SEGUN 
PRESUPUESTO 1-558 </t>
  </si>
  <si>
    <t>Pedido
6002026935613</t>
  </si>
  <si>
    <t>9ES0150131</t>
  </si>
  <si>
    <t>ES60004VHPKOFI</t>
  </si>
  <si>
    <t>Aerosol imprimacion</t>
  </si>
  <si>
    <t>ES6SU63ABEI</t>
  </si>
  <si>
    <t>2 Ratones</t>
  </si>
  <si>
    <t>ES6PAHIABEI</t>
  </si>
  <si>
    <t>ES6PAGGABEI</t>
  </si>
  <si>
    <t>ES6TWUMABEI</t>
  </si>
  <si>
    <t>ES6TX1BABEI</t>
  </si>
  <si>
    <t xml:space="preserve">2 Teclados </t>
  </si>
  <si>
    <t>A-V2026-00001855397</t>
  </si>
  <si>
    <t>ES6P2S8ABEI</t>
  </si>
  <si>
    <t>ES6RGB5ABEI</t>
  </si>
  <si>
    <t>3 Auriculares</t>
  </si>
  <si>
    <t>ES6PAODABEI</t>
  </si>
  <si>
    <t>Funda plasico</t>
  </si>
  <si>
    <t>ES6G6H9ABEI</t>
  </si>
  <si>
    <t>Cintas</t>
  </si>
  <si>
    <t>ES6185TKABEI</t>
  </si>
  <si>
    <t>Sobres (50 piezas) de papel, sobre sin ventana</t>
  </si>
  <si>
    <t>MAR2026A01-0302</t>
  </si>
  <si>
    <t>BUSES MARTINEZ S.L</t>
  </si>
  <si>
    <t>Bus feria Sevilla</t>
  </si>
  <si>
    <t>Alojamiento</t>
  </si>
  <si>
    <t>A47</t>
  </si>
  <si>
    <t>6 Monitores View Sonic</t>
  </si>
  <si>
    <t>Copias llaves oficina PAGADO EFECTIVO</t>
  </si>
  <si>
    <t>ES60007PMRYOHI</t>
  </si>
  <si>
    <t>Cable de Audio Estéreo Macho</t>
  </si>
  <si>
    <t>ES619VU2ABEI</t>
  </si>
  <si>
    <t>Cintas adhesivas</t>
  </si>
  <si>
    <t>A 2898</t>
  </si>
  <si>
    <t>Copia llaves pagado efectivo</t>
  </si>
  <si>
    <t>A 2929</t>
  </si>
  <si>
    <t>Devolucion copias defectuosas en efectivo</t>
  </si>
  <si>
    <t>´000576</t>
  </si>
  <si>
    <t>FSB001595</t>
  </si>
  <si>
    <t>MATAS RAMOS, S.L.- GAFISUR</t>
  </si>
  <si>
    <t>´72202600006106</t>
  </si>
  <si>
    <t>HOCATSASEIS, S.L - Catalonia Santa Justa</t>
  </si>
  <si>
    <t>HOTEL MARIAN (Feria De Sevilla)</t>
  </si>
  <si>
    <t>2 packs de medallas</t>
  </si>
  <si>
    <t>Pendrive 128 GB</t>
  </si>
  <si>
    <t>ES6000E5XQOK7I</t>
  </si>
  <si>
    <t>ES6QO4UABEI</t>
  </si>
  <si>
    <t>Pantalon de trabajo</t>
  </si>
  <si>
    <t>ES6KKK1ABEI</t>
  </si>
  <si>
    <t>Auriculares, y material oficina</t>
  </si>
  <si>
    <t>D/647/2026</t>
  </si>
  <si>
    <t>HOTEL EN UN PATIO EN SANTA CRUZ</t>
  </si>
  <si>
    <t>Pagado con tarjeta, Habitaciones hotel de Sevilla para comerciales (Feria de Sevilla)</t>
  </si>
  <si>
    <t>GAON-2026/2109</t>
  </si>
  <si>
    <t>Gaona Abogacía y Consultoría, S.L.P.</t>
  </si>
  <si>
    <t>Honorarios por asesoramiento fiscal del mes de abril</t>
  </si>
  <si>
    <t>26/08456</t>
  </si>
  <si>
    <t>A-V2026-00002014974</t>
  </si>
  <si>
    <t>1 mochila</t>
  </si>
  <si>
    <t>T1wRLm6pR-1773296183</t>
  </si>
  <si>
    <t>Alfombrillas raton- FACTURA MAL EMITIDA RECLAMAMOS PROVEEDOR</t>
  </si>
  <si>
    <t>ES6004VVXAAOPI</t>
  </si>
  <si>
    <t>Vasos café</t>
  </si>
  <si>
    <t>ES610ULIABEI</t>
  </si>
  <si>
    <t>Farolillos feria Munich</t>
  </si>
  <si>
    <t xml:space="preserve"> ES6FHFOABEI</t>
  </si>
  <si>
    <t>Scotch, clips, boligrafo Milan- FACTURA CON DATOS LDA  Y SOLUTIONS PEDIR A PROVEEDOR</t>
  </si>
  <si>
    <t>ES6QB7OABEI</t>
  </si>
  <si>
    <t>Ventilador de pie, 50 W, 3 velocidades de ventilación</t>
  </si>
  <si>
    <t>ES6QCZUABEI</t>
  </si>
  <si>
    <t>ES6QB7AABEI</t>
  </si>
  <si>
    <t>ES6QB82ABEI</t>
  </si>
  <si>
    <t>ES6QB94ABEI</t>
  </si>
  <si>
    <t>ES6QD05ABEI</t>
  </si>
  <si>
    <t>ES6QD0ZABEI</t>
  </si>
  <si>
    <t>ES6QB6HABEI</t>
  </si>
  <si>
    <t>ES6QD2KABEI</t>
  </si>
  <si>
    <t>ES6QCZJABEI</t>
  </si>
  <si>
    <t>ES6QD0HABEI</t>
  </si>
  <si>
    <t>ES6QD2ZABEI</t>
  </si>
  <si>
    <t>ES6QB7EABEI</t>
  </si>
  <si>
    <t>ES6QB7XABEI</t>
  </si>
  <si>
    <t>FW-78</t>
  </si>
  <si>
    <t>F. Negocio: 26/02/2026</t>
  </si>
  <si>
    <t>DD2026-19691</t>
  </si>
  <si>
    <t>Registro dominios NIKKAS</t>
  </si>
  <si>
    <t>2026-04-008</t>
  </si>
  <si>
    <t>26/00061</t>
  </si>
  <si>
    <t>SP 5</t>
  </si>
  <si>
    <t>5 Portatiles HP ELITEBOOK Administrativos</t>
  </si>
  <si>
    <t>520905-65976</t>
  </si>
  <si>
    <t>LAGARDERE RAVEL RETAIL S.A.U.</t>
  </si>
  <si>
    <t>Tarjeta Flor</t>
  </si>
  <si>
    <t>187-26</t>
  </si>
  <si>
    <t>LIDIA AGUILAR NAVARTA - ISOANDALUZA CONSULTORES</t>
  </si>
  <si>
    <t>Consultoria ISO cuota 1/5</t>
  </si>
  <si>
    <t>A-V2026-00002212469</t>
  </si>
  <si>
    <t>Asesoria laboral Mayo</t>
  </si>
  <si>
    <t xml:space="preserve">Se ha mandado una factura con mismo número por un total de 726€, se pagó inicialmetne 605€ Porcedimiento Judicial </t>
  </si>
  <si>
    <t>Limpieza mes de Abril</t>
  </si>
  <si>
    <t>29/2026</t>
  </si>
  <si>
    <t>Taxi Antequera - Aeropuerto</t>
  </si>
  <si>
    <t>30/2026</t>
  </si>
  <si>
    <t>Taxi Aeropuerto - Antequera</t>
  </si>
  <si>
    <t>33/2026</t>
  </si>
  <si>
    <t>FIANZA</t>
  </si>
  <si>
    <t>RECAMBIOS Y LUBRICANTES DEL SUR S.L- RELUSUR</t>
  </si>
  <si>
    <t>Fianza Nave Las Caleras 30-32</t>
  </si>
  <si>
    <t>AQ-1</t>
  </si>
  <si>
    <t>Alquiler Mayo Nave Las Caleras 30-32 + Comunidad</t>
  </si>
  <si>
    <t>50% PRESUPUESTOS 1-572</t>
  </si>
  <si>
    <t>Factura al final</t>
  </si>
  <si>
    <t>15/2026</t>
  </si>
  <si>
    <t>MIKE'S HOME SL</t>
  </si>
  <si>
    <t>Inmobiliaria 1 mes Nave La Caleras 30-32</t>
  </si>
  <si>
    <t>A 3389</t>
  </si>
  <si>
    <t>copia llaves pagado efectivo</t>
  </si>
  <si>
    <t>A 3320</t>
  </si>
  <si>
    <t>Brocas e hilo desbrozadora pagado efectivo</t>
  </si>
  <si>
    <t>A 3398</t>
  </si>
  <si>
    <t>Tuercas, areandelas, tornillos, masilla... pagado efectivo</t>
  </si>
  <si>
    <t>MA20260089</t>
  </si>
  <si>
    <t>Alquiler plataforma para prototipos</t>
  </si>
  <si>
    <t>2600030/C</t>
  </si>
  <si>
    <t>2601133/C</t>
  </si>
  <si>
    <t>Pitufos para evento el 15/05/26</t>
  </si>
  <si>
    <t>A 3249</t>
  </si>
  <si>
    <t>Disco de desbaste pagado efectivo</t>
  </si>
  <si>
    <t>ES6QB8QABEI</t>
  </si>
  <si>
    <t>TGyKdvgdk-1779792183</t>
  </si>
  <si>
    <t>Alfombrillas raton</t>
  </si>
  <si>
    <t>´000088</t>
  </si>
  <si>
    <t>José Hidalgo Distribuciones y Cortes de Jamón S.L. - Academia de Corte (ESPAÑA)</t>
  </si>
  <si>
    <t>Carro transporte box negro ref P y Jamonero articulado giratorio 360 PAGADO CON TARJETA ACABADA EN 6377</t>
  </si>
  <si>
    <t>ES6ZU2HABEI</t>
  </si>
  <si>
    <t>Soldador</t>
  </si>
  <si>
    <t>ES6000GRXQOK7I</t>
  </si>
  <si>
    <t>4 Fundas de móvil</t>
  </si>
  <si>
    <t>Lapiceros</t>
  </si>
  <si>
    <t>ES6000SPNJH9RI</t>
  </si>
  <si>
    <t>Rollo papel burbuja</t>
  </si>
  <si>
    <t>DE6000Q48IVZ1I</t>
  </si>
  <si>
    <t>Imanes</t>
  </si>
  <si>
    <t>R04100347307</t>
  </si>
  <si>
    <t>SELLOS LOS NONOS AGROPECUARIA , PAGADO CON TARJETA ACABADA EN 6377</t>
  </si>
  <si>
    <t>A 3156</t>
  </si>
  <si>
    <t>Aceite y brocas Pagado efectivo</t>
  </si>
  <si>
    <t>25/2026</t>
  </si>
  <si>
    <t>FERIA DE ABRIL SIGLO XXI</t>
  </si>
  <si>
    <t>PAGADO CON LDA, FACTURADO SOLUTIONS</t>
  </si>
  <si>
    <t>FE26390015698153</t>
  </si>
  <si>
    <t>10/03/2026 al 11/04/2026</t>
  </si>
  <si>
    <t>4/745</t>
  </si>
  <si>
    <t>GESTION ASESORIA</t>
  </si>
  <si>
    <t>2026 / C4 / 71</t>
  </si>
  <si>
    <t xml:space="preserve">MOLLETES PAGADO EFECTIVO </t>
  </si>
  <si>
    <t>PCW2605-012596</t>
  </si>
  <si>
    <t>W26023648</t>
  </si>
  <si>
    <t>DIGITAL AUDIMAGEN BQ SL</t>
  </si>
  <si>
    <t>ALTAVOCES PARA FERIAS</t>
  </si>
  <si>
    <t>DD2026-84700</t>
  </si>
  <si>
    <t>Registro dominio HORUS INFINITY</t>
  </si>
  <si>
    <t>F-706</t>
  </si>
  <si>
    <t>Comida</t>
  </si>
  <si>
    <t>26FVN0275</t>
  </si>
  <si>
    <t>Mes de mayo</t>
  </si>
  <si>
    <t>FO-2</t>
  </si>
  <si>
    <t>CLUB BALONMANO TORCAL</t>
  </si>
  <si>
    <t xml:space="preserve"> Patrocinio 25-26</t>
  </si>
  <si>
    <t>A-V2026-00002239704</t>
  </si>
  <si>
    <t>A 3519</t>
  </si>
  <si>
    <t>COPIA DE LLAVES PAGADO EFECTIVO</t>
  </si>
  <si>
    <t>DD2026-83550</t>
  </si>
  <si>
    <t>Renovación dominio</t>
  </si>
  <si>
    <t>Tarta cumpleaños Alejandro y Julián</t>
  </si>
  <si>
    <t>Tarta cumpleaños Sergio y Victor</t>
  </si>
  <si>
    <t>Tarta cumpleaños Kenny</t>
  </si>
  <si>
    <t>Tarta cumpleaños Mari</t>
  </si>
  <si>
    <t>FC26 / 3713</t>
  </si>
  <si>
    <t>Reubicación de extintores</t>
  </si>
  <si>
    <t>A-V2026-00002313752</t>
  </si>
  <si>
    <t xml:space="preserve">Cumpleaños Gabriel </t>
  </si>
  <si>
    <t>42/2026</t>
  </si>
  <si>
    <t xml:space="preserve">Taxi ed cadi antequera - notaria </t>
  </si>
  <si>
    <t>26FPN00261</t>
  </si>
  <si>
    <t>Gasolina EFECTIVO</t>
  </si>
  <si>
    <t>7/116</t>
  </si>
  <si>
    <t>Gestión mensual de trabajadores Régimen General</t>
  </si>
  <si>
    <t>F26/1617</t>
  </si>
  <si>
    <t>DD2026-66533</t>
  </si>
  <si>
    <t xml:space="preserve">Renovación del domionio </t>
  </si>
  <si>
    <t>PRL129984</t>
  </si>
  <si>
    <t>Fond Exim S.R.L- Hotel Parliament</t>
  </si>
  <si>
    <t xml:space="preserve">HOTEL BAISAN, MARIAN </t>
  </si>
  <si>
    <t>PRL129986</t>
  </si>
  <si>
    <t xml:space="preserve">HOTEL CARLOS JOSE, SOLANO GUERRERO </t>
  </si>
  <si>
    <t>PRL129988</t>
  </si>
  <si>
    <t xml:space="preserve">HOTEL GIULIA, GIACCIO  </t>
  </si>
  <si>
    <t>PRL129991</t>
  </si>
  <si>
    <t xml:space="preserve">HOTEL FLORENCIA AILEN, DI BELLO </t>
  </si>
  <si>
    <t>A-V2026-00002381805</t>
  </si>
  <si>
    <t>26FVN0297</t>
  </si>
  <si>
    <t>Bolsa de horas N26OV0069</t>
  </si>
  <si>
    <t>PRL130026</t>
  </si>
  <si>
    <t>BAR HOTEL PARLIAMENT,  TORAL DE LA FACTURA SON 69 EN MONEDA RUMANA</t>
  </si>
  <si>
    <t>26/2026</t>
  </si>
  <si>
    <t>AMPA SAN JUAN BAUTISTA DE LA SALLE COLEGIO SAN FRANCISCO JAVIER- LA SALLE</t>
  </si>
  <si>
    <t>PATROCINIO CARRERA ANTEQUERA</t>
  </si>
  <si>
    <t>A-V2026-00002394131</t>
  </si>
  <si>
    <t>Evento del 15/05/26- PAGADO EFECTIVO</t>
  </si>
  <si>
    <t>DD2026-88214</t>
  </si>
  <si>
    <t>Transferencia de dominio</t>
  </si>
  <si>
    <t>factura con importe de 45,40 pero al cambio son 38,96€</t>
  </si>
  <si>
    <t>7/146</t>
  </si>
  <si>
    <t>A-V2026-00002397513</t>
  </si>
  <si>
    <t>DD2026-88990</t>
  </si>
  <si>
    <t>ES6FJV8ABEI</t>
  </si>
  <si>
    <t>Tostadora- facturado a nombre de Solutions pago con LDA</t>
  </si>
  <si>
    <t>Señal de salida de camiones- Nave nueva</t>
  </si>
  <si>
    <t>FR6000NWIUSQRI</t>
  </si>
  <si>
    <t>Goo gone mac, removedor de liquido de superfices</t>
  </si>
  <si>
    <t>R04100348370</t>
  </si>
  <si>
    <t>SELLOS- SERVICIOS LEGALES Y FINANCIEROS , PAGADO CON TARJETA ACABADA EN 6377</t>
  </si>
  <si>
    <t>Señal de prohibido el paso - Nave nueva</t>
  </si>
  <si>
    <t>Vasos cafe</t>
  </si>
  <si>
    <t>5 cables de red</t>
  </si>
  <si>
    <t>XX6006NZGDQNFT</t>
  </si>
  <si>
    <t>Pendrive 256 GB</t>
  </si>
  <si>
    <t>ES618XAMABEI</t>
  </si>
  <si>
    <t>Señal de prohibido aparcar - Nave nueva</t>
  </si>
  <si>
    <t>FR60001EB4GWRI</t>
  </si>
  <si>
    <t>30 placas identificación magneticas</t>
  </si>
  <si>
    <t>PEDIDO CANCELADO DEBEN DEVOLVER EL IMPORTE COMPLETO Juego de vasos de impacto- ENVIADO A ITALIA</t>
  </si>
  <si>
    <t>E10011005432-0526</t>
  </si>
  <si>
    <t>FACTURA ABRIL</t>
  </si>
  <si>
    <t>45/2026</t>
  </si>
  <si>
    <t>26OT000271355</t>
  </si>
  <si>
    <t>Llaves alarma</t>
  </si>
  <si>
    <t>AQ-2</t>
  </si>
  <si>
    <t>Alquiler junio nave Las Caleras 30-32 + Comunidad</t>
  </si>
  <si>
    <t>FE26390019104024</t>
  </si>
  <si>
    <t>Período
del 12/04/2026 al 10/05/2026</t>
  </si>
  <si>
    <t>AQ-3</t>
  </si>
  <si>
    <t>Alquiler julio nave Las Caleras 30-32 + Comunidad</t>
  </si>
  <si>
    <t>Alquiler agosto nave Las Caleras 30-32 + Comunidad</t>
  </si>
  <si>
    <t>Alquiler septiembre nave Las Caleras 30-32 + Comunidad</t>
  </si>
  <si>
    <t>Alquiler octubre nave Las Caleras 30-32 + Comunidad</t>
  </si>
  <si>
    <t>Alquiler noviembre nave Las Caleras 30-32 + Comunidad</t>
  </si>
  <si>
    <t>Alquiler diciembre nave Las Caleras 30-32 + Comunidad</t>
  </si>
  <si>
    <t>2605C00135041</t>
  </si>
  <si>
    <t>2605C00064642</t>
  </si>
  <si>
    <t>2605C00052506</t>
  </si>
  <si>
    <t>ES6VY0DABEI</t>
  </si>
  <si>
    <t>Zapatos de seguridad T41</t>
  </si>
  <si>
    <t>Zapatos de seguridad T42</t>
  </si>
  <si>
    <t>Zapatos seguridad T43</t>
  </si>
  <si>
    <t>DE60002GYGOHZI</t>
  </si>
  <si>
    <t>Zapatos de seguridad T43</t>
  </si>
  <si>
    <t>TXny6PPlk-1779792183</t>
  </si>
  <si>
    <t>5 Alfombrillas ratón</t>
  </si>
  <si>
    <t>ES612AHBABEI</t>
  </si>
  <si>
    <t>40 imanes de neodimio extrafuertes, 10 kg</t>
  </si>
  <si>
    <t>FW-81</t>
  </si>
  <si>
    <t>Comida con clientes</t>
  </si>
  <si>
    <t>F26/249</t>
  </si>
  <si>
    <t>FRANCISCO JAVIER JIMENEZ MARTIN- E.P.I.S VESTURARIO PROFESIONAL Y UNIFORMES</t>
  </si>
  <si>
    <t xml:space="preserve">CAMISETAS Y PANTALONES TRABAJO PAGADO EFECTIVO </t>
  </si>
  <si>
    <t>A-V2026-00002478888</t>
  </si>
  <si>
    <t>A-V2026-00002478512</t>
  </si>
  <si>
    <t>F26/287</t>
  </si>
  <si>
    <t>PANTALONES SERGIO, PAGADO EFECTIVO</t>
  </si>
  <si>
    <t>2 Portalápices y vasos de café</t>
  </si>
  <si>
    <t>ES6UOV9ABEI</t>
  </si>
  <si>
    <t>Servilletas y cafetera</t>
  </si>
  <si>
    <t>ES6RZOVABEI</t>
  </si>
  <si>
    <t>Regleta enchufables</t>
  </si>
  <si>
    <t>SORELLAS</t>
  </si>
  <si>
    <t>Mantones Feria Alemania INTERSOLAR</t>
  </si>
  <si>
    <t>GAON/26/2728</t>
  </si>
  <si>
    <t>Honorarios por asesoramiento fiscal del mes de Mayo</t>
  </si>
  <si>
    <t>243/2026/FE</t>
  </si>
  <si>
    <t>Avv. Prof. Stefano Bellomo</t>
  </si>
  <si>
    <t>ABOGADOS ITALIA</t>
  </si>
  <si>
    <t>R04100347310</t>
  </si>
  <si>
    <t>SELLOS- DEROX ALPINE , PAGADO CON TARJETA ACABADA EN 6377</t>
  </si>
  <si>
    <t>R04100347309</t>
  </si>
  <si>
    <t>SELLOS-AVICOLA LOS NONOS , PAGADO CON TARJETA ACABADA EN 6377</t>
  </si>
  <si>
    <t>R04100347308</t>
  </si>
  <si>
    <t>SELLOS- HOURUS ALPINE , PAGADO CON TARJETA ACABADA EN 6377</t>
  </si>
  <si>
    <t>R04100347306</t>
  </si>
  <si>
    <t>SELLOS- NIKKAS OLEO S.L , PAGADO CON TARJETA ACABADA EN 6377</t>
  </si>
  <si>
    <t>R04100347299</t>
  </si>
  <si>
    <t>SELLOS- HORUS INFINITY , PAGADO CON TARJETA ACABADA EN 6377</t>
  </si>
  <si>
    <t>R04100347304</t>
  </si>
  <si>
    <t>SELLOS- ALPHATRACKER SOLUTIONS , PAGADO CON TARJETA ACABADA EN 6377</t>
  </si>
  <si>
    <t>14-26</t>
  </si>
  <si>
    <t>Indalecio Rosales Vega</t>
  </si>
  <si>
    <t xml:space="preserve">Perito Judicial Caligrafo </t>
  </si>
  <si>
    <t>G160136027</t>
  </si>
  <si>
    <t>ES6G7LOABEI</t>
  </si>
  <si>
    <t>Copas</t>
  </si>
  <si>
    <t>ES616WDXABEI</t>
  </si>
  <si>
    <t xml:space="preserve">Set de 3 Copas de Trofeo torneo de futbolin </t>
  </si>
  <si>
    <t>2 mochilas</t>
  </si>
  <si>
    <t>Carraca telescopica</t>
  </si>
  <si>
    <t>´6012026600314</t>
  </si>
  <si>
    <t>1 Barebone ASUS NUC BNUC13BRKP200B02I Intel N50 0 GB RAM 64 GB eMMC Wi-Fi 6E Doppia LAN Nero</t>
  </si>
  <si>
    <t>Hemos comprobado en el banco que el importe cobrado es de 6,07 en factura aparece 7,20</t>
  </si>
  <si>
    <t>F26096389</t>
  </si>
  <si>
    <t xml:space="preserve">Facturación mes de mayo </t>
  </si>
  <si>
    <t>ES6UPZLABEI</t>
  </si>
  <si>
    <t>Manteles</t>
  </si>
  <si>
    <t>ES6KKJWABEI</t>
  </si>
  <si>
    <t xml:space="preserve">Vasos desechables cafe </t>
  </si>
  <si>
    <t>Platos de papel</t>
  </si>
  <si>
    <t>MARIA SORZANO BAUSA</t>
  </si>
  <si>
    <t>Compra de pomada PAGADA EFECTIVO</t>
  </si>
  <si>
    <t>26P00004</t>
  </si>
  <si>
    <t>2026/000023</t>
  </si>
  <si>
    <t xml:space="preserve">Traducción jurada IT&gt;ES PAGADO 265,00 el 25/05/26 y el 26/05/26 pagado 84, 80 </t>
  </si>
  <si>
    <t xml:space="preserve">Tarta de cumpleaños Yoel </t>
  </si>
  <si>
    <t>52/2026</t>
  </si>
  <si>
    <t>Resto del pago del Deposito de 20,000L TOTAL FACTURA  2153,80</t>
  </si>
  <si>
    <t>D/26182</t>
  </si>
  <si>
    <t>ROTULOS AGR S.L</t>
  </si>
  <si>
    <t xml:space="preserve">Camisetas con estampacion </t>
  </si>
  <si>
    <t>ES6QCR2ABEI</t>
  </si>
  <si>
    <t>Juego de llaves de vaso</t>
  </si>
  <si>
    <t>4/552</t>
  </si>
  <si>
    <t>Cuota Mensual</t>
  </si>
  <si>
    <t>A74</t>
  </si>
  <si>
    <t xml:space="preserve">Portatiles ingenieros </t>
  </si>
  <si>
    <t>ES6G7RQABEI</t>
  </si>
  <si>
    <t>Ratones y auriculares</t>
  </si>
  <si>
    <t>A20250118423</t>
  </si>
  <si>
    <t>Empresa municipal de abastecimiento
de aguas de Antequera,
Aguas del Torcal,S.A.</t>
  </si>
  <si>
    <t>AGUA NOV-DIC.25</t>
  </si>
  <si>
    <t>A20260017771</t>
  </si>
  <si>
    <t>AGUA ENE-FEB.26</t>
  </si>
  <si>
    <t>A20260037881</t>
  </si>
  <si>
    <t>AGUA MAR-ABR.26</t>
  </si>
  <si>
    <t>DD2026-97195</t>
  </si>
  <si>
    <t>Renovación dominio Horus Infinity</t>
  </si>
  <si>
    <t>DD2026-97194</t>
  </si>
  <si>
    <t>Renovación dominio Horus Alpine</t>
  </si>
  <si>
    <t>26P00003</t>
  </si>
  <si>
    <t>2026/000022</t>
  </si>
  <si>
    <t xml:space="preserve">Traducción jurada ES&gt;IT </t>
  </si>
  <si>
    <t>Vasos desechables cafe- RECLAMADO PROVEEDOR</t>
  </si>
  <si>
    <t>ES6HA5KABEI</t>
  </si>
  <si>
    <t>Rollos de papel y pen drives de 128 GB</t>
  </si>
  <si>
    <t>ES600VOVDXVSJI</t>
  </si>
  <si>
    <t>5 adaptadores usb</t>
  </si>
  <si>
    <t>ES6RGA4ABEI</t>
  </si>
  <si>
    <t>Portalápices y vasos desechables</t>
  </si>
  <si>
    <t>ES6126XFABEI</t>
  </si>
  <si>
    <t>2 pack de 400 vasos de café 110ml</t>
  </si>
  <si>
    <t>ES6122I1ABEI</t>
  </si>
  <si>
    <t>2 pack de 200 vasos de café de 240ml.</t>
  </si>
  <si>
    <t>2606C00072912</t>
  </si>
  <si>
    <t>54/2026</t>
  </si>
  <si>
    <t>Taxi, aeropuerto al puerto de la torre y antequera</t>
  </si>
  <si>
    <t>A-V2026-00002641692</t>
  </si>
  <si>
    <t xml:space="preserve">Compra </t>
  </si>
  <si>
    <t>A-V2026-00002754746</t>
  </si>
  <si>
    <t xml:space="preserve">Molletes y jamon cocido CUMPLEAÑOS JOSE ANTONIO MALDONADO- PAGADO EFECTIVO </t>
  </si>
  <si>
    <t>FACTURA EN OTRA MONEDA, importe total factura 43,91,  se ha pagado 37,78</t>
  </si>
  <si>
    <t>MA20260117</t>
  </si>
  <si>
    <t>CARRETILLA ELEVADORA DIESEL</t>
  </si>
  <si>
    <t>A 226379</t>
  </si>
  <si>
    <t>SIG LUCA PAPALE</t>
  </si>
  <si>
    <t>HOTEL Papali 289 Estancia Bello Florencia Ailen, 85,00 €. Estancia Cano Valle Javier, 80,00 €. Estancia Martín Núñez, 80,00 €.</t>
  </si>
  <si>
    <t>2606C00166444</t>
  </si>
  <si>
    <t>2606C00062109</t>
  </si>
  <si>
    <t>231-26</t>
  </si>
  <si>
    <t>Consultoria ISO cuota 2/5</t>
  </si>
  <si>
    <t>F26105176</t>
  </si>
  <si>
    <t xml:space="preserve">Reconocimientos medicos </t>
  </si>
  <si>
    <t>Limpieza mes de Mayo</t>
  </si>
  <si>
    <t>Limpieza oficina 13</t>
  </si>
  <si>
    <t>HERRAMIENTAS machota, flexometro y guantes PAGADO EFECTIVO</t>
  </si>
  <si>
    <t>26FVN0346</t>
  </si>
  <si>
    <t>BC BASIC PLAN Oferta N25OV0140</t>
  </si>
  <si>
    <t>A 4241</t>
  </si>
  <si>
    <t>Canal Blanco, pagado efectivo, se les ha cobrado 6,30 en total</t>
  </si>
  <si>
    <t>A 4274</t>
  </si>
  <si>
    <t>Brocas- PAGADO EFECTIVO</t>
  </si>
  <si>
    <t>Tornillo broca</t>
  </si>
  <si>
    <t>26P00020</t>
  </si>
  <si>
    <t>2026/000027</t>
  </si>
  <si>
    <t xml:space="preserve">Traducción jurada ES&gt;IT- </t>
  </si>
  <si>
    <t>V2600044</t>
  </si>
  <si>
    <t>Mes de junio</t>
  </si>
  <si>
    <t>A-V2026-00002814044</t>
  </si>
  <si>
    <t>12141/A/26/000456</t>
  </si>
  <si>
    <t>REPSOL SOLUCIONES ENERGETICAS S.A</t>
  </si>
  <si>
    <t>FACTURA INCORRECTA SE HACE UNA RECTIFICATIVA DE LO QUE SE PAGÓ REALMENTE</t>
  </si>
  <si>
    <t>012141/X/26/000003</t>
  </si>
  <si>
    <t>Factura que anula la factura 12141/A/26/000456</t>
  </si>
  <si>
    <t>012141/V/000017</t>
  </si>
  <si>
    <t>FACTURA CORRECTA PAGADO EFECTIVO</t>
  </si>
  <si>
    <t>´01060713</t>
  </si>
  <si>
    <t xml:space="preserve">COMPRA FERIA MUNICH -INTERSOLAR </t>
  </si>
  <si>
    <t>ES61273QABEI</t>
  </si>
  <si>
    <t>A 4347</t>
  </si>
  <si>
    <t>Masilla, pistola dualpower, arandela, barra canal blanco...SE PAGAN 68 ,00  PAGADO EFECTIVO</t>
  </si>
  <si>
    <t>A 4362</t>
  </si>
  <si>
    <t>Copia de llaves pagado EFECTIVO- PEDIMOS DEVOLUCIÓN LA LLAVE NO FUNCIONA</t>
  </si>
  <si>
    <t>F26/1859</t>
  </si>
  <si>
    <t>A-V2026-00002877590</t>
  </si>
  <si>
    <t>30 Paquetes de folio- PAGADO EFECTIVO</t>
  </si>
  <si>
    <t>FA-V-26-022458</t>
  </si>
  <si>
    <t>ES6SU4FABEI</t>
  </si>
  <si>
    <t>6 Elevadores de monitores</t>
  </si>
  <si>
    <t>Microondas- RECLAMADO A PROVEEDOR</t>
  </si>
  <si>
    <t>ES600095K761VI</t>
  </si>
  <si>
    <t>Impresora de recibos</t>
  </si>
  <si>
    <t>copias llaves armario PAGADO EFECTIVO</t>
  </si>
  <si>
    <t>A 4420</t>
  </si>
  <si>
    <t>EFECTIVO-  DEVOLUCIÓN PORQUE LA LLAVE NO FUNCIONA</t>
  </si>
  <si>
    <t>FW-90</t>
  </si>
  <si>
    <t>Comida del 29/05/26</t>
  </si>
  <si>
    <t>Cubo de basura</t>
  </si>
  <si>
    <t>SE HA CANCELADO EL PEDIDO PENDIENTE DE QUE NOS DEVUELVAN LA PARTE QUE CORRESPONDE Cables USB, CABLES ADAPTAROR Y PIN IMPERMEABLE</t>
  </si>
  <si>
    <t>3 mochilas</t>
  </si>
  <si>
    <t>3 Calculadoras, 5 alfombrillas</t>
  </si>
  <si>
    <t>ES6127L5ABEI</t>
  </si>
  <si>
    <t>Film para Embalaje Industrial NEGRO</t>
  </si>
  <si>
    <t>ES6I0KRABEI</t>
  </si>
  <si>
    <t>Cafetera Nespresso</t>
  </si>
  <si>
    <t>A-V2026-00002921474</t>
  </si>
  <si>
    <t>DD2026-105335</t>
  </si>
  <si>
    <t>Renovacion dominio Alphatracker</t>
  </si>
  <si>
    <t>2600034/C</t>
  </si>
  <si>
    <t>2601397/C</t>
  </si>
  <si>
    <t>Molletes y pitufos Feria Munich- INTERSOLAR</t>
  </si>
  <si>
    <t xml:space="preserve">Procedimiento </t>
  </si>
  <si>
    <t>ES612K7VABEI</t>
  </si>
  <si>
    <t>Film para Embalaje NEGRO</t>
  </si>
  <si>
    <t>249/2026/FE</t>
  </si>
  <si>
    <t>MA-000484-26</t>
  </si>
  <si>
    <t xml:space="preserve">GESMAN SOLUCIONES INTEGRALES </t>
  </si>
  <si>
    <t>Servicio comprobación aire acondicionado despacho Jose Antonio</t>
  </si>
  <si>
    <t>ES6VY0MABEI</t>
  </si>
  <si>
    <t>Carpetas y 5 calculadoras</t>
  </si>
  <si>
    <t>D/26216</t>
  </si>
  <si>
    <t>Pegatinas para la FERIA DE MUNICH- INTERSOLAR</t>
  </si>
  <si>
    <t>A 4514</t>
  </si>
  <si>
    <t>Tornillos PAGADO EFECTIVO</t>
  </si>
  <si>
    <t>A 4469</t>
  </si>
  <si>
    <t>Broca PAGADO EFECTIVOF</t>
  </si>
  <si>
    <t>A 4475</t>
  </si>
  <si>
    <t>Canal Blanco FERIA MUNICH- INTERSOLAR PAGADO EFECTIVO</t>
  </si>
  <si>
    <t>Zapatos de seguridad, bosh, carraca telescopica</t>
  </si>
  <si>
    <t>ES6187ASABEI</t>
  </si>
  <si>
    <t>Mirilla digital - Nave nueva</t>
  </si>
  <si>
    <t>AEC- 00005915</t>
  </si>
  <si>
    <t>Sedigrafia camisetas PAGADO EFECTIVO</t>
  </si>
  <si>
    <t>´01061611</t>
  </si>
  <si>
    <t>COMPRA DE VASOS PARA LA FERIA DE MUNICH- INTERSOLAR PAGADO EFECTIVO</t>
  </si>
  <si>
    <t>WORLD SURT SOTORE S.L- CORTE CHINO</t>
  </si>
  <si>
    <t>Compra Flores, cintas e imperdibles- Feria de MUNICH- INTERSOLAR PAGADO EFECTIVO</t>
  </si>
  <si>
    <t>DECIMARKET NUMERO 8 S.L- BRICOBAZAR</t>
  </si>
  <si>
    <t>Bridas, cajas almacenamiento transp, set de costura_ FERIA MUNICH- INTERSOLAR_ PAGADO EFECTIVO</t>
  </si>
  <si>
    <t>V/2462</t>
  </si>
  <si>
    <t>TUGARO ANTEQUERA S.L</t>
  </si>
  <si>
    <t>Material para arreglar depósito de agua PROTOTIPOS - PAGADO EFECTIVO</t>
  </si>
  <si>
    <t>A 4571</t>
  </si>
  <si>
    <t>Gorras y zapatos de seguridad</t>
  </si>
  <si>
    <t>A-V2026-00003011864</t>
  </si>
  <si>
    <t>A 4579</t>
  </si>
  <si>
    <t>Tubo Politileno, Machon, Mangito PVC- PAGADO EFECTIVO</t>
  </si>
  <si>
    <t>FR600AQ4R2DEBI</t>
  </si>
  <si>
    <t>Zapatos de seguridad T43 T42</t>
  </si>
  <si>
    <t>ALQUILER JUNIO NAVE 14</t>
  </si>
  <si>
    <t>CINTA AMERICANA PAGADO EFECTIVO</t>
  </si>
  <si>
    <t>26P00021</t>
  </si>
  <si>
    <t>2026/000029</t>
  </si>
  <si>
    <t>PENDIENTE FACTURA</t>
  </si>
  <si>
    <t>Toner negro, amarillo y cyan</t>
  </si>
  <si>
    <t>FPR 64/26</t>
  </si>
  <si>
    <t>STUDIO COLOSSEO S.R.L</t>
  </si>
  <si>
    <t xml:space="preserve">Traduccion </t>
  </si>
  <si>
    <t>Hon.Asesoramiento laboral de JUNIO</t>
  </si>
  <si>
    <t>F26/2007</t>
  </si>
  <si>
    <t>FE26390023332970</t>
  </si>
  <si>
    <t>Período electricidad:
del 11/05/2026 al 08/06/2026</t>
  </si>
  <si>
    <t>A-V2026-00003090133</t>
  </si>
  <si>
    <t>A-V2026-00003131643</t>
  </si>
  <si>
    <t>Taxi Ed Cadi antequera - notaria ida y vuelta</t>
  </si>
  <si>
    <t>61/2026</t>
  </si>
  <si>
    <t>Taxi Ed. Cadi Antequera - Aeropuerto</t>
  </si>
  <si>
    <t>EC-000100984</t>
  </si>
  <si>
    <t>CAMISETAS REAL BETIS SEDIGRAFIADAS PARA EL TORNEO</t>
  </si>
  <si>
    <t>A20260057904</t>
  </si>
  <si>
    <t>AGUA MAY-JUN.26</t>
  </si>
  <si>
    <t>GAON/26/3386</t>
  </si>
  <si>
    <t>Honorarios por asesoramiento fiscal del mes de Junio.</t>
  </si>
  <si>
    <t>Estancia Antequera Giulia, Kenny, Carolina, Arianna, Ismael ---Habitación extra para Inés FACTURA PROFORMA  11753 eran 1008€ + esta habitación extra para Ines de 280€, TOTAL PROFOMA 11761 es 1288€ + DIAS SUPLEMENTARIOS KENNY 280€ EL TOTAL FACUTRA ES 1.568€</t>
  </si>
  <si>
    <t>A-V2026-00003188371</t>
  </si>
  <si>
    <t>F26115196</t>
  </si>
  <si>
    <t>Facturación mes de junio</t>
  </si>
  <si>
    <t>Tarta de cumpleaños Valentina</t>
  </si>
  <si>
    <t>Tarta de cumpleaños Juani</t>
  </si>
  <si>
    <t>G166453778</t>
  </si>
  <si>
    <t>´03000067</t>
  </si>
  <si>
    <t>A03009737</t>
  </si>
  <si>
    <t>R. MARGO 2020 S.L- HOTEL GOARTIN</t>
  </si>
  <si>
    <t>Estancia Kenny</t>
  </si>
  <si>
    <t>HOTEL VILLAROSA S.R.L</t>
  </si>
  <si>
    <t xml:space="preserve">PAGO ERRONEO, DEBEN DE HACER LA DEVOLUCIÓN DE ESTE IMPORTE, SE HA PAGADO CON LDA Y SOLUTIONS DEBEN DE DEVOLVERLO </t>
  </si>
  <si>
    <t>A-V2026-00003259570</t>
  </si>
  <si>
    <t>2026-0156</t>
  </si>
  <si>
    <t>MACHADO SILVA, RHUAN WALLACE</t>
  </si>
  <si>
    <t>Limpieza completa y pulido completo BMW X6</t>
  </si>
  <si>
    <t>MA20260150</t>
  </si>
  <si>
    <t>CARRETILLA DIESEL</t>
  </si>
  <si>
    <t>Ventilador- RECLAMAR A PROVEEDOR</t>
  </si>
  <si>
    <t>FAC00071</t>
  </si>
  <si>
    <t>Jesús David Cuenca Palos (Instalaciones eléctricas y
telecomunicaciones David Cuenca)</t>
  </si>
  <si>
    <t>Reparación averia en señal de antena.
Desde las 10.00 hasta las 14.30
Dia 29/06/2026</t>
  </si>
  <si>
    <t>Limpieza mes de Junio</t>
  </si>
  <si>
    <t>DD2026-117167</t>
  </si>
  <si>
    <t>alphatracker.eu   Renovación del Alojamiento Profesional</t>
  </si>
  <si>
    <t>ES6QC88ABEI</t>
  </si>
  <si>
    <t>Casco de seguridad, juego de llaves, y flexometro</t>
  </si>
  <si>
    <t>ES6000ISE4GBZI</t>
  </si>
  <si>
    <t>3 Mesas</t>
  </si>
  <si>
    <t>ES6FMR3ABEI</t>
  </si>
  <si>
    <t xml:space="preserve">Compra de movil </t>
  </si>
  <si>
    <t>DE6006KVZF4FVI</t>
  </si>
  <si>
    <t>HP 250 G6 Original Cargador 45 vatios Normal</t>
  </si>
  <si>
    <t>2607C00123199</t>
  </si>
  <si>
    <t>2607C00155967</t>
  </si>
  <si>
    <t>2607C00027664</t>
  </si>
  <si>
    <t>279-26</t>
  </si>
  <si>
    <t>Consultoria ISO cuota 3/5</t>
  </si>
  <si>
    <t>Nº PEDIDO: 1160.011071</t>
  </si>
  <si>
    <t>´2250950</t>
  </si>
  <si>
    <t>OLEOESTEPA S.C.A</t>
  </si>
  <si>
    <t>20 Estuches Aceite premium TOTAL FACTURA 538,99</t>
  </si>
  <si>
    <t xml:space="preserve">FACTURA EN OTRA MONEDA, importe total factura 45,40  se ha pagado 39,89 segun veo en el control de tesoreria </t>
  </si>
  <si>
    <t>V/2738</t>
  </si>
  <si>
    <t>TEFLON PAGADO EFECTIVO</t>
  </si>
  <si>
    <t>Se ha mandado una factura por un total de 726€, se pagó inicialmetne 605€ Porcedimiento Judicial</t>
  </si>
  <si>
    <t>V2602234</t>
  </si>
  <si>
    <t>Wifimax Fibra SL</t>
  </si>
  <si>
    <t xml:space="preserve">Mes de julio </t>
  </si>
  <si>
    <t>A-V2026-00003397241</t>
  </si>
  <si>
    <t xml:space="preserve">2 Tartas de la abuela de X kg + Piononos Cumpleaños MARIA DE LA O y Arthur </t>
  </si>
  <si>
    <t>F26/ 2144</t>
  </si>
  <si>
    <t>´269000905032</t>
  </si>
  <si>
    <t>Bombillo serreta PAGADO EFECTIVO</t>
  </si>
  <si>
    <t>H/26- 0266</t>
  </si>
  <si>
    <t>DEPOSITO COMIDA VERANO 03/07/26, ENTREGA A CUENTA</t>
  </si>
  <si>
    <t>ES6UM3JABEI</t>
  </si>
  <si>
    <t>4 Zapatos de seguridad y funda movil</t>
  </si>
  <si>
    <t>A 5190</t>
  </si>
  <si>
    <t>Copia llave - PAGADO EFECTIVO</t>
  </si>
  <si>
    <t>A 5189</t>
  </si>
  <si>
    <t>11026FE000002502</t>
  </si>
  <si>
    <t>MARKOIL S.A.U</t>
  </si>
  <si>
    <t>Compra Llave dinamométrica digital, Torquímetro de pantalla digital electrónica alta precisión a dirección de ITALIA - RECLAMADO PROVEEDOR</t>
  </si>
  <si>
    <t>PL6000L9VNGJ3I</t>
  </si>
  <si>
    <t>Inclinómetro BOSCH</t>
  </si>
  <si>
    <t>2600287/2026</t>
  </si>
  <si>
    <t>Hormigones Acedo, S.L</t>
  </si>
  <si>
    <t>Hormigon para los prototipos</t>
  </si>
  <si>
    <t>R04100357209</t>
  </si>
  <si>
    <t xml:space="preserve"> PAGADO CON TARJETA ACABADA EN 6377</t>
  </si>
  <si>
    <t>ES6000Q79ICU5I</t>
  </si>
  <si>
    <t>Grúa Hidráulica de Taller Plegable 2 Toneladas – Elevador para Motores y
Maquinaria con Brazo Ajustable,</t>
  </si>
  <si>
    <t>ES6MMNYABEI</t>
  </si>
  <si>
    <t>Móviles</t>
  </si>
  <si>
    <t>ES6H3L0ABEI</t>
  </si>
  <si>
    <t>2 Móviles</t>
  </si>
  <si>
    <t>ES6NTX1ABEI</t>
  </si>
  <si>
    <t>Móviles empresa</t>
  </si>
  <si>
    <t>ES6RQSCABEI</t>
  </si>
  <si>
    <t>4 Móviles de empresa</t>
  </si>
  <si>
    <t>A-88</t>
  </si>
  <si>
    <t>MAPERI CAR S.L- LAVADERO EL PERICO</t>
  </si>
  <si>
    <t>Lavado coche empresa - PAGADO EFECTIVO</t>
  </si>
  <si>
    <t>ES6S3ZZABEI</t>
  </si>
  <si>
    <t>SAMSUNG S26</t>
  </si>
  <si>
    <t>A-V2026-00003503605</t>
  </si>
  <si>
    <t>H/26- 0268</t>
  </si>
  <si>
    <t>COMIDA VERANO</t>
  </si>
  <si>
    <t>DD2026-120519</t>
  </si>
  <si>
    <t>Renovacion dominio LOSNONOS</t>
  </si>
  <si>
    <t>A-V2026-00003456805</t>
  </si>
  <si>
    <t>A/136</t>
  </si>
  <si>
    <t>CAMISA BORDADA PARA BLANCA M/L, FERIA MUNICH- INTERSOLAR</t>
  </si>
  <si>
    <t>A 5393</t>
  </si>
  <si>
    <t>Tornillos y masilla- PAGADO EFECTIVO</t>
  </si>
  <si>
    <t>A/81577037</t>
  </si>
  <si>
    <t>A 226562</t>
  </si>
  <si>
    <t>FC26 / 5659</t>
  </si>
  <si>
    <t>Revision de extintores</t>
  </si>
  <si>
    <t>A142125</t>
  </si>
  <si>
    <t>HOTEL TRAVÉ S.L</t>
  </si>
  <si>
    <t>HOTEL ESTANCIA KENNY EN FIGUERES</t>
  </si>
  <si>
    <t>63/2026</t>
  </si>
  <si>
    <t>64/2026</t>
  </si>
  <si>
    <t>Taxi Antequra - Aeropuerto</t>
  </si>
  <si>
    <t>V/2974</t>
  </si>
  <si>
    <t>Enlace, machón, manguitos, reducciones... PAGADO EFECTIVO PROTOTIPOS</t>
  </si>
  <si>
    <t>DD2026-123523</t>
  </si>
  <si>
    <t>Renovación dominio mx</t>
  </si>
  <si>
    <t>A 5472</t>
  </si>
  <si>
    <t xml:space="preserve">CORONA BIMETAL, HUSILLO. PAGADO EFECTIVO PROTOTIPOS </t>
  </si>
  <si>
    <t>V/2976</t>
  </si>
  <si>
    <t>Tapon final y enlace PAGADO EFECTIVO PROTOTIPOS</t>
  </si>
  <si>
    <t>A-2648</t>
  </si>
  <si>
    <t>Comida día 09/07/2026</t>
  </si>
  <si>
    <t>FA-V-26-028573</t>
  </si>
  <si>
    <t>2607C00006475</t>
  </si>
  <si>
    <t>CONTRATO 7060293</t>
  </si>
  <si>
    <t xml:space="preserve">DEBEN CORREGIR LA DIRECCION DE LOS DATOS DE FACTURACIÓN </t>
  </si>
  <si>
    <t>2607C00035496</t>
  </si>
  <si>
    <t>26OT000349202</t>
  </si>
  <si>
    <t>A-V2026-00003598174</t>
  </si>
  <si>
    <t>ES61ALEYABEI</t>
  </si>
  <si>
    <t>Clasificador Modular pared</t>
  </si>
  <si>
    <t>E002600139</t>
  </si>
  <si>
    <t>Estanterias Nave</t>
  </si>
  <si>
    <t>2 piezas filtro fregadero cocina</t>
  </si>
  <si>
    <t xml:space="preserve">5XDVG/9682JTS - facturas que estaban con LDA pero se ha pedido modificación de los datos de facturacion </t>
  </si>
  <si>
    <t xml:space="preserve">UPR2A/5565LCC- facturas que estaban con LDA pero se ha pedido modificación de los datos de facturacion </t>
  </si>
  <si>
    <t xml:space="preserve">7QLAA/8123HVD- facturas que estaban con LDA pero se ha pedido modificación de los datos de facturacion </t>
  </si>
  <si>
    <t xml:space="preserve">DQ1BT/3082MXX - facturas que estaban con LDA pero se ha pedido modificación de los datos de facturacion </t>
  </si>
  <si>
    <t xml:space="preserve">1POHB/8015LWV - facturas que estaban con LDA pero se ha pedido modificación de los datos de facturacion </t>
  </si>
  <si>
    <t>GE2601M000304660</t>
  </si>
  <si>
    <t>Galp Energía España S.A.U</t>
  </si>
  <si>
    <t>Electricidad Nave las Cleras. Cargo en cuenta a partir del 19.07.2026</t>
  </si>
  <si>
    <t>V/3004</t>
  </si>
  <si>
    <t>PAGADO EFECTIVO Compra material para prototipos, Flotador, boya, arandelas, maguito</t>
  </si>
  <si>
    <t>MA-000631-26</t>
  </si>
  <si>
    <t>Desplazamiento, hora de trabajo y rollo de cinta para aires acondicionados</t>
  </si>
  <si>
    <t>ALPHATRACKER SOLUTIONS ITALIA S.R.L</t>
  </si>
  <si>
    <t xml:space="preserve">Clito Brunori NOTAIO- Notario Italia </t>
  </si>
  <si>
    <t>54</t>
  </si>
  <si>
    <t xml:space="preserve">Constitución de Sociedad Limitada </t>
  </si>
  <si>
    <t>12600696A</t>
  </si>
  <si>
    <t xml:space="preserve">Ana Isabel Quero González </t>
  </si>
  <si>
    <t>Poder Mercantil</t>
  </si>
  <si>
    <t>12600138L</t>
  </si>
  <si>
    <t>APOSTILLA, FACTURA D. FEDERICO CARMONA CASTEJON  PAGAR A  ANA ISABEL QUERO GONZÁLEZ</t>
  </si>
  <si>
    <t>Lo</t>
  </si>
  <si>
    <t>Alphatracker Smart Solutions LDA</t>
  </si>
  <si>
    <t>FECHA DE PAGO</t>
  </si>
  <si>
    <t>Obs</t>
  </si>
  <si>
    <t xml:space="preserve">Transferencia </t>
  </si>
  <si>
    <t xml:space="preserve">Cesión </t>
  </si>
  <si>
    <t xml:space="preserve">Registro de la propiedad </t>
  </si>
  <si>
    <t>F2607106</t>
  </si>
  <si>
    <t>Track N Co</t>
  </si>
  <si>
    <t>FV063238</t>
  </si>
  <si>
    <t>NEXT ALPHA CAPITAL</t>
  </si>
  <si>
    <t>12600057-L</t>
  </si>
  <si>
    <t>22600058-L</t>
  </si>
  <si>
    <t>12600295-A</t>
  </si>
  <si>
    <t>DOC13-2026-7766</t>
  </si>
  <si>
    <t xml:space="preserve">REGISTRO MERCANTIL DE MALAGA </t>
  </si>
  <si>
    <t>12600606-A</t>
  </si>
  <si>
    <t>22600126-L</t>
  </si>
  <si>
    <t>D. FEDERICO CARMONA CASTEJÓN</t>
  </si>
  <si>
    <t>APOSTILLA, ESTA PAGADO POR ANA ISABEL QUERO GONZÁLEZ PAGAR A ELLA</t>
  </si>
  <si>
    <t>HORUS INFINITY</t>
  </si>
  <si>
    <t>Fecha Pago</t>
  </si>
  <si>
    <t>Banco</t>
  </si>
  <si>
    <t>CDAD. PROP. CENTRO DE NEGOCIOS CADI- NURIA PEREZ GARCÍA</t>
  </si>
  <si>
    <t>FT001/86293</t>
  </si>
  <si>
    <t>REGUS</t>
  </si>
  <si>
    <t>FT 001/82738</t>
  </si>
  <si>
    <t>NC 001/5826</t>
  </si>
  <si>
    <t>CORRESPONDIENTE A FT001/82738</t>
  </si>
  <si>
    <t>NC 001/5827</t>
  </si>
  <si>
    <t>CORRESPONDIENTE A FT001/86293</t>
  </si>
  <si>
    <t>FT 001/87836</t>
  </si>
  <si>
    <t>FT 001/87835</t>
  </si>
  <si>
    <t>FT 001/89519</t>
  </si>
  <si>
    <t>Pagado por transferencia</t>
  </si>
  <si>
    <t>NC 001/5966</t>
  </si>
  <si>
    <t>En la proxima domiciliación deben cobrar 72,57€</t>
  </si>
  <si>
    <t>FT 001/92795</t>
  </si>
  <si>
    <t xml:space="preserve">Pendientes de abonar </t>
  </si>
  <si>
    <t>ALQUILER ABRIL</t>
  </si>
  <si>
    <t>NC 001/6373</t>
  </si>
  <si>
    <t>Virtual Office (01/03/2026 -
31/03/2026)</t>
  </si>
  <si>
    <t>COMUNIDAD MAYO</t>
  </si>
  <si>
    <t>FT 001/96941</t>
  </si>
  <si>
    <t>FT 001/100605</t>
  </si>
  <si>
    <t>Mailbox Plus - Taxa Mensal - Virtual Office
(01/07/2026 - 31/07/2026)</t>
  </si>
  <si>
    <t>Recibo 6</t>
  </si>
  <si>
    <t>Comunidad junio 2026</t>
  </si>
  <si>
    <t xml:space="preserve">Recibo 6- DERRAMA EXTRAORDINARIA </t>
  </si>
  <si>
    <t xml:space="preserve">Derrama por nueva maquina de arie comunitaria </t>
  </si>
  <si>
    <t>FRB/1968</t>
  </si>
  <si>
    <t>PROJECTO V-CONT P.GESTAO EMPRESARIAL, LDA.</t>
  </si>
  <si>
    <t>Servicios contabilidad 2024, 2025 y 2026</t>
  </si>
  <si>
    <t>Recibo 7</t>
  </si>
  <si>
    <t>Comunidad julio 2026</t>
  </si>
  <si>
    <t xml:space="preserve">Recibo 7- DERRAMA EXTRAORDINARIA </t>
  </si>
  <si>
    <t>Derrama extraordinaria climatizacion nueva maquina comunitaria cuota JULIO 2026</t>
  </si>
  <si>
    <t>FT 001/103653</t>
  </si>
  <si>
    <t>Mailbox Plus - Taxa Mensal - Virtual Office
(01/08/2026 - 31/08/2026)</t>
  </si>
  <si>
    <t>2025-0089</t>
  </si>
  <si>
    <t>Se paga cuando pongan las puertas</t>
  </si>
  <si>
    <t>CDAD. PROP. CENTRO DE NEGOCIOS CADI</t>
  </si>
  <si>
    <t>ALQUILER ENERO</t>
  </si>
  <si>
    <t>HORUS INFINITY LDA</t>
  </si>
  <si>
    <t>2925313133453</t>
  </si>
  <si>
    <t>TESORERI GENERAL DE LA SEGURIDAD SOCIAL</t>
  </si>
  <si>
    <t>Diferencia Error de Calculo</t>
  </si>
  <si>
    <t>2025-0084</t>
  </si>
  <si>
    <t>4/171</t>
  </si>
  <si>
    <t>FEMAR ASESORES S.L.</t>
  </si>
  <si>
    <t>TK010626 4</t>
  </si>
  <si>
    <t>ROMBOSOL 2002 SLU</t>
  </si>
  <si>
    <t>No se aceptó el recibo B2B</t>
  </si>
  <si>
    <t>A26113684</t>
  </si>
  <si>
    <t>SOLRED SA</t>
  </si>
  <si>
    <t>ALQUILER FEB</t>
  </si>
  <si>
    <t>CI0013202415-0126</t>
  </si>
  <si>
    <t>BIP&amp;DRIVE, E.D.E. S.A.</t>
  </si>
  <si>
    <t>7/25</t>
  </si>
  <si>
    <t>142610011362</t>
  </si>
  <si>
    <t>ALPHABET ESPAÑA FLEET MANAGEMENT S.A.U.</t>
  </si>
  <si>
    <t>142610056367</t>
  </si>
  <si>
    <t>TK010626 8</t>
  </si>
  <si>
    <t>ALQUILER MARZO</t>
  </si>
  <si>
    <t>4/360</t>
  </si>
  <si>
    <t>`142610095428</t>
  </si>
  <si>
    <t>12600009-0</t>
  </si>
  <si>
    <t>ANA ISABEL QUERO GONZALEZ</t>
  </si>
  <si>
    <t>A2602121422</t>
  </si>
  <si>
    <t>GASOLINA/DIESEL</t>
  </si>
  <si>
    <t>F260018242</t>
  </si>
  <si>
    <t>HOLDED TECNOLOGIES S.L</t>
  </si>
  <si>
    <t>PROGRAMA FACT</t>
  </si>
  <si>
    <t>F260071944</t>
  </si>
  <si>
    <t>CI0013467983-0226</t>
  </si>
  <si>
    <t>MATRICULAS 6691 MTR 7203 MXF</t>
  </si>
  <si>
    <t>*7/87</t>
  </si>
  <si>
    <t>*2/1</t>
  </si>
  <si>
    <t>PRESENTACION CUENTAS ANUALES 2024</t>
  </si>
  <si>
    <t>Comunidad Diciembre 2025</t>
  </si>
  <si>
    <t>2025/66599</t>
  </si>
  <si>
    <t>REGISTARDORES MERCANTILES DE MÁLAGA CB</t>
  </si>
  <si>
    <t>PRESENTACION CUENTAS ANUALES 2024- PAGADO CON PROVISION DE FONDOS FEMAR</t>
  </si>
  <si>
    <t>2025/36008</t>
  </si>
  <si>
    <t>PRESENTACION CUENTAS ANUALES 2024 - PAGADO CON PROVISION DE FONDOS FEMAR</t>
  </si>
  <si>
    <t>F260125535</t>
  </si>
  <si>
    <t>F26048556</t>
  </si>
  <si>
    <t xml:space="preserve">MAS PREVENCIÓN </t>
  </si>
  <si>
    <t>Fact anual</t>
  </si>
  <si>
    <t>A260337905</t>
  </si>
  <si>
    <t>12600293-A</t>
  </si>
  <si>
    <t>DOC13-2026-7779</t>
  </si>
  <si>
    <t>CI0013663853-0326</t>
  </si>
  <si>
    <t>´142610136512</t>
  </si>
  <si>
    <t>TK010626 8- GASTOS</t>
  </si>
  <si>
    <t>Gastos devolución 4,96*2</t>
  </si>
  <si>
    <t>*7/56</t>
  </si>
  <si>
    <t>CIA ANTEQUERANA DE LIMPIEZA</t>
  </si>
  <si>
    <t>Factura Pediente</t>
  </si>
  <si>
    <t>4/746</t>
  </si>
  <si>
    <t>`142610176863</t>
  </si>
  <si>
    <t>A260472813</t>
  </si>
  <si>
    <t>G135418990</t>
  </si>
  <si>
    <t>Factura de actividad el 13/01/2026</t>
  </si>
  <si>
    <t>G141074210</t>
  </si>
  <si>
    <t>G146889629</t>
  </si>
  <si>
    <t>Factura de actividad el 13/03/2026</t>
  </si>
  <si>
    <t>G152858987</t>
  </si>
  <si>
    <t>G158835304</t>
  </si>
  <si>
    <t>Factura de actividad el 13/05/2026</t>
  </si>
  <si>
    <t>G159207129</t>
  </si>
  <si>
    <t>Factura de actividad el 15/05/2026</t>
  </si>
  <si>
    <t>4/533</t>
  </si>
  <si>
    <t>7/117</t>
  </si>
  <si>
    <t>C-2305</t>
  </si>
  <si>
    <t>UCEDA SERRANO, JOSE ALFONOSO</t>
  </si>
  <si>
    <t>Registro de la propiedad de Estepa</t>
  </si>
  <si>
    <t>A260575032</t>
  </si>
  <si>
    <t>DIESEL 01/05/2026 AL 31/05/2026</t>
  </si>
  <si>
    <t>´1044006940</t>
  </si>
  <si>
    <t>INGADE CONNECT, S.L.</t>
  </si>
  <si>
    <t>AUDITORIA-REVISION RGPD</t>
  </si>
  <si>
    <t>ITVM DACIA SANDERO (7111MGX)</t>
  </si>
  <si>
    <t>DACIA SANDERO (7111MGX)</t>
  </si>
  <si>
    <t>A260689737</t>
  </si>
  <si>
    <t>PT0000655251-0526</t>
  </si>
  <si>
    <t xml:space="preserve">MATRICULA 6691 </t>
  </si>
  <si>
    <t>CI0014283272-0626</t>
  </si>
  <si>
    <t>CI0014071989-0526</t>
  </si>
  <si>
    <t>DEROX APLINE</t>
  </si>
  <si>
    <t>Aprobador</t>
  </si>
  <si>
    <t>TRFMA 80786</t>
  </si>
  <si>
    <t>AUTOMOTOR PREMIUM S.L.</t>
  </si>
  <si>
    <t>DOC13/2026/3157</t>
  </si>
  <si>
    <t>REGISTRADORES MERCANTILES DE MALAGA CB</t>
  </si>
  <si>
    <t>Pagar a la cuenta de Ana Isabel Quero Gonzalez</t>
  </si>
  <si>
    <t>*2/2</t>
  </si>
  <si>
    <t>FEMAR ASESORES S.L</t>
  </si>
  <si>
    <t xml:space="preserve">PRESENTACION CUENTAS ANUALES 2024 </t>
  </si>
  <si>
    <t>2025/66597</t>
  </si>
  <si>
    <t>PRESENTACION CUENTAS ANUALES 2024 - PAGADO  FEMAR</t>
  </si>
  <si>
    <t>2025/35839</t>
  </si>
  <si>
    <t>FK30172</t>
  </si>
  <si>
    <t>Motos Siebla S.L.U</t>
  </si>
  <si>
    <t>BASTIDOR VBKJ1J406TN206141 (PAGADO 14990€ PNTE 387,76€ SE FACTURA CUENDO SE MONTE)</t>
  </si>
  <si>
    <t>FK30173</t>
  </si>
  <si>
    <t>BASTIDOR VBKJ1J407TN206147 (PAGADO 14990€ PNTE 387,76€ SE FACTURA CUENDO SE MONTE)</t>
  </si>
  <si>
    <t>VK02731</t>
  </si>
  <si>
    <t>BASTIDOR VBKJ1J407TN206147(PAGADO 14990€ PNTE 387,76€ SE FACTURA CUENDO SE MONTE)</t>
  </si>
  <si>
    <t>VK02732</t>
  </si>
  <si>
    <t>BASTIDOR VBKJ1J406TN206141(PAGADO 14990€ PNTE 387,76€ SE FACTURA CUENDO SE MONTE)</t>
  </si>
  <si>
    <t>12600298-A</t>
  </si>
  <si>
    <t>DOC13/2026/7960</t>
  </si>
  <si>
    <t>26P00028</t>
  </si>
  <si>
    <t>PERITACIONES JESUS CEREZUELA SL</t>
  </si>
  <si>
    <t>PERITAJE</t>
  </si>
  <si>
    <t>077_2026</t>
  </si>
  <si>
    <t>PABLO ALBA SANCHEZ</t>
  </si>
  <si>
    <t>Querrella</t>
  </si>
  <si>
    <t>82_2026</t>
  </si>
  <si>
    <t>ELOY CASTILLO DEL CID Y POSTIGO</t>
  </si>
  <si>
    <t>JAM</t>
  </si>
  <si>
    <t xml:space="preserve">Alquiler mes de enero piso JAM </t>
  </si>
  <si>
    <t>Alquiler mes de febrero piso JAM</t>
  </si>
  <si>
    <t>F2603792564</t>
  </si>
  <si>
    <t>WIND TRE S.P.A.</t>
  </si>
  <si>
    <t>Periodo del 01/01/2026 - 31/01/2026</t>
  </si>
  <si>
    <t>Alquiler mes de marzo piso JAM PAGADO LDA</t>
  </si>
  <si>
    <t>F2613072266</t>
  </si>
  <si>
    <t>Factura telefóno periodo de abril</t>
  </si>
  <si>
    <t>UF-00134475</t>
  </si>
  <si>
    <t>ENTIDAD PÚBLICA EMPRESARIAL RED.ES, M.P</t>
  </si>
  <si>
    <t>Factura renovacion Dominio</t>
  </si>
  <si>
    <t>´1000263004752300</t>
  </si>
  <si>
    <t>ARUBA SPA</t>
  </si>
  <si>
    <t>Alquiler mes de abril piso JAM PAGADO LDA</t>
  </si>
  <si>
    <t>Alquiler mes de mayo piso JAM PAGADO LDA</t>
  </si>
  <si>
    <t>Alquiler mes de junio piso JAM</t>
  </si>
  <si>
    <t>F2616464733</t>
  </si>
  <si>
    <t>Periodo 01/05/2026 - 31/05/2026</t>
  </si>
  <si>
    <t>HORUS ALPINE</t>
  </si>
  <si>
    <t>Fecha DE PAGO</t>
  </si>
  <si>
    <t>E8_04</t>
  </si>
  <si>
    <t>ESFUCON S.L.</t>
  </si>
  <si>
    <t xml:space="preserve">aparejadora </t>
  </si>
  <si>
    <t>0001584 A7/2025</t>
  </si>
  <si>
    <t>FRANCISCO JOSE LOPEZ DELGADO - NOTARIO -</t>
  </si>
  <si>
    <t>GF-0000019</t>
  </si>
  <si>
    <t>PROV 10</t>
  </si>
  <si>
    <t>REGISTRO DE LA PROPIEDAD ESTEPA</t>
  </si>
  <si>
    <t>Esto se ha pagado con la cuenta de ALPHA TRACKER SOLUTIONS S.L de Cajasur (5635) el 10/02/26</t>
  </si>
  <si>
    <t>C 1197</t>
  </si>
  <si>
    <t>PAGADO CON TARJETA EL 18/03/26</t>
  </si>
  <si>
    <t>E8_09</t>
  </si>
  <si>
    <t>ESFUCON S.L</t>
  </si>
  <si>
    <t>Licencia obra menor cerramiento parcela</t>
  </si>
  <si>
    <t>12600294-A</t>
  </si>
  <si>
    <t xml:space="preserve">ANA ISABEL QUERO GONZALEZ NOTARIO </t>
  </si>
  <si>
    <t>DOC13-2026-7772</t>
  </si>
  <si>
    <t>REGISTRO MERCANTIL MALAGA</t>
  </si>
  <si>
    <t>2 600030</t>
  </si>
  <si>
    <t>TALLERES MRS 25S.L.</t>
  </si>
  <si>
    <t>KGR DE ACERO ELABORADO Y ARMADO</t>
  </si>
  <si>
    <t>E8_10</t>
  </si>
  <si>
    <t>ESFUCON, S.L.</t>
  </si>
  <si>
    <t>50 % FINAL DEL PRESUPUESTO P_03.26</t>
  </si>
  <si>
    <t>S6V0134</t>
  </si>
  <si>
    <t>BOXER MOTORRAD SEVILLA S.L</t>
  </si>
  <si>
    <t>TALLER</t>
  </si>
  <si>
    <t>T6V0691</t>
  </si>
  <si>
    <t>N6V0112</t>
  </si>
  <si>
    <t>RAPIDMOTOS TRANSPORTES
DE MOTOCICLETAS S.L.</t>
  </si>
  <si>
    <t>BMW</t>
  </si>
  <si>
    <t>J260132</t>
  </si>
  <si>
    <t>BOMBEOS ANTEQUERA S.L</t>
  </si>
  <si>
    <t>Bombeo Roda</t>
  </si>
  <si>
    <t>F/2600035</t>
  </si>
  <si>
    <t>MANUEL RAMÓN SÁNCHEZ MARÍN- MSM TRANSPORTES Y ESCAVACIONES</t>
  </si>
  <si>
    <t>Maquinaria para abrir cimientos más anchos y retirar tierra</t>
  </si>
  <si>
    <t>2026/06</t>
  </si>
  <si>
    <t>FRANCISCO JAVIER MONTERO LÓPEZ</t>
  </si>
  <si>
    <t xml:space="preserve">Trabajos cimentación </t>
  </si>
  <si>
    <t>F/2600027</t>
  </si>
  <si>
    <t>Hora de maquina retroexcavadora- Mixta</t>
  </si>
  <si>
    <t>Servicios Corp. Legales y Finacieros, S.L</t>
  </si>
  <si>
    <t>DOC13/2026/13308</t>
  </si>
  <si>
    <t>Registro Mercantil</t>
  </si>
  <si>
    <t>12600546-A</t>
  </si>
  <si>
    <t>Constitución Sociedad Limitada</t>
  </si>
  <si>
    <t>DOC/13/2026/15467</t>
  </si>
  <si>
    <t>Factura Registro Mercantil, pagar a ANA ISABEL QUERO GONZALEZ NOTARIO</t>
  </si>
  <si>
    <t>12600695A</t>
  </si>
  <si>
    <t>SONIC</t>
  </si>
  <si>
    <t xml:space="preserve">PT50 0018 0003 3020 6197 02051 DE ESTE MOVIMIENTO NO VAMOS A TENER FACTURA </t>
  </si>
  <si>
    <t>NIKKAS OLEO SL</t>
  </si>
  <si>
    <t>12600123A</t>
  </si>
  <si>
    <t>NOTARIA - Constitución</t>
  </si>
  <si>
    <t>22/26</t>
  </si>
  <si>
    <t>LUISA Mº RUIZ VILCHES, S.L</t>
  </si>
  <si>
    <t xml:space="preserve">Honorarios del proy de las nuevas instalciones </t>
  </si>
  <si>
    <t>F 55571</t>
  </si>
  <si>
    <t>H&amp;M ASESORES</t>
  </si>
  <si>
    <t>Modelo 600</t>
  </si>
  <si>
    <t>12600124A</t>
  </si>
  <si>
    <t xml:space="preserve">Poder Mercantil </t>
  </si>
  <si>
    <t>12600290A</t>
  </si>
  <si>
    <t>D/2026/6.167</t>
  </si>
  <si>
    <t xml:space="preserve">D/2026/9.379 </t>
  </si>
  <si>
    <t>MAFESOL</t>
  </si>
  <si>
    <t>PAGADO POR BPI MAFESOL</t>
  </si>
  <si>
    <t>PAGADO POR LDA SANTANDER</t>
  </si>
  <si>
    <t>ANA ISABEL QUERO GONZÁLEZ NOTARIIO</t>
  </si>
  <si>
    <t>PAGADO POR LDA CAIXA</t>
  </si>
  <si>
    <t>MARI CARMEN MALDONADO</t>
  </si>
  <si>
    <t>12600125-A</t>
  </si>
  <si>
    <t>NOTARIA - Poder</t>
  </si>
  <si>
    <t>PAGADO POR NIKKA OLEO</t>
  </si>
  <si>
    <t>ESAPOWER</t>
  </si>
  <si>
    <t>12600297-A</t>
  </si>
  <si>
    <t>DOC13-2026-8411</t>
  </si>
  <si>
    <t>ESTADO</t>
  </si>
  <si>
    <t>Forma pago</t>
  </si>
  <si>
    <t>DOMICILIADO 30D</t>
  </si>
  <si>
    <t>50PP50-15D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</si>
</sst>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\ &quot;€&quot;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242424"/>
      <name val="Calibri"/>
      <family val="2"/>
      <scheme val="minor"/>
    </font>
    <font>
      <b/>
      <sz val="11"/>
      <color rgb="FF000000"/>
      <name val="Calibri"/>
      <charset val="1"/>
    </font>
    <font>
      <b/>
      <sz val="11"/>
      <color rgb="FF000000"/>
      <name val="Calibri"/>
    </font>
    <font>
      <b/>
      <sz val="11"/>
      <color theme="1"/>
      <name val="Calibri"/>
      <family val="2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242424"/>
      <name val="Aptos Narrow"/>
      <charset val="1"/>
    </font>
    <font>
      <sz val="11"/>
      <color rgb="FF00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FFFFFF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9D08E"/>
        <bgColor rgb="FFD9E1F2"/>
      </patternFill>
    </fill>
    <fill>
      <patternFill patternType="solid">
        <fgColor rgb="FFA9D08E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0070C0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3">
    <xf numFmtId="0" fontId="0" fillId="0" borderId="0" xfId="0"/>
    <xf numFmtId="14" fontId="0" fillId="0" borderId="0" xfId="0" applyNumberFormat="1"/>
    <xf numFmtId="44" fontId="0" fillId="0" borderId="0" xfId="1" applyFont="1"/>
    <xf numFmtId="14" fontId="0" fillId="0" borderId="0" xfId="1" applyNumberFormat="1" applyFont="1"/>
    <xf numFmtId="14" fontId="2" fillId="0" borderId="0" xfId="0" applyNumberFormat="1" applyFont="1"/>
    <xf numFmtId="14" fontId="0" fillId="2" borderId="0" xfId="1" applyNumberFormat="1" applyFont="1" applyFill="1"/>
    <xf numFmtId="14" fontId="0" fillId="0" borderId="0" xfId="1" applyNumberFormat="1" applyFont="1" applyFill="1"/>
    <xf numFmtId="49" fontId="0" fillId="0" borderId="0" xfId="0" applyNumberFormat="1"/>
    <xf numFmtId="0" fontId="3" fillId="0" borderId="0" xfId="0" applyFont="1"/>
    <xf numFmtId="0" fontId="4" fillId="0" borderId="0" xfId="0" applyFont="1"/>
    <xf numFmtId="44" fontId="0" fillId="3" borderId="0" xfId="1" applyFont="1" applyFill="1"/>
    <xf numFmtId="44" fontId="0" fillId="0" borderId="0" xfId="1" applyFont="1" applyFill="1"/>
    <xf numFmtId="0" fontId="4" fillId="4" borderId="0" xfId="0" applyFont="1" applyFill="1"/>
    <xf numFmtId="14" fontId="4" fillId="4" borderId="0" xfId="0" applyNumberFormat="1" applyFont="1" applyFill="1"/>
    <xf numFmtId="14" fontId="0" fillId="4" borderId="0" xfId="0" applyNumberFormat="1" applyFill="1"/>
    <xf numFmtId="0" fontId="0" fillId="4" borderId="0" xfId="0" applyFill="1"/>
    <xf numFmtId="44" fontId="0" fillId="4" borderId="0" xfId="1" applyFont="1" applyFill="1"/>
    <xf numFmtId="14" fontId="0" fillId="4" borderId="0" xfId="1" applyNumberFormat="1" applyFont="1" applyFill="1"/>
    <xf numFmtId="49" fontId="0" fillId="4" borderId="0" xfId="0" applyNumberFormat="1" applyFill="1"/>
    <xf numFmtId="14" fontId="0" fillId="5" borderId="0" xfId="0" applyNumberFormat="1" applyFill="1"/>
    <xf numFmtId="0" fontId="4" fillId="5" borderId="0" xfId="0" applyFont="1" applyFill="1"/>
    <xf numFmtId="44" fontId="0" fillId="5" borderId="0" xfId="1" applyFont="1" applyFill="1"/>
    <xf numFmtId="14" fontId="0" fillId="5" borderId="0" xfId="1" applyNumberFormat="1" applyFont="1" applyFill="1"/>
    <xf numFmtId="49" fontId="0" fillId="0" borderId="0" xfId="0" quotePrefix="1" applyNumberFormat="1"/>
    <xf numFmtId="0" fontId="0" fillId="0" borderId="0" xfId="0" applyAlignment="1">
      <alignment wrapText="1"/>
    </xf>
    <xf numFmtId="8" fontId="0" fillId="0" borderId="0" xfId="1" applyNumberFormat="1" applyFont="1"/>
    <xf numFmtId="16" fontId="0" fillId="0" borderId="0" xfId="0" applyNumberFormat="1"/>
    <xf numFmtId="14" fontId="0" fillId="0" borderId="0" xfId="2" applyNumberFormat="1" applyFont="1"/>
    <xf numFmtId="14" fontId="0" fillId="0" borderId="0" xfId="0" quotePrefix="1" applyNumberForma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quotePrefix="1" applyAlignment="1">
      <alignment horizontal="left"/>
    </xf>
    <xf numFmtId="0" fontId="0" fillId="4" borderId="0" xfId="0" applyFill="1" applyAlignment="1">
      <alignment horizontal="left"/>
    </xf>
    <xf numFmtId="49" fontId="0" fillId="4" borderId="0" xfId="0" applyNumberFormat="1" applyFill="1" applyAlignment="1">
      <alignment horizontal="left"/>
    </xf>
    <xf numFmtId="14" fontId="0" fillId="0" borderId="0" xfId="0" applyNumberFormat="1" applyAlignment="1">
      <alignment horizontal="left"/>
    </xf>
    <xf numFmtId="0" fontId="0" fillId="5" borderId="0" xfId="0" applyFill="1" applyAlignment="1">
      <alignment horizontal="left"/>
    </xf>
    <xf numFmtId="49" fontId="0" fillId="0" borderId="0" xfId="2" applyNumberFormat="1" applyFont="1" applyAlignment="1">
      <alignment horizontal="left"/>
    </xf>
    <xf numFmtId="14" fontId="0" fillId="0" borderId="0" xfId="0" quotePrefix="1" applyNumberFormat="1" applyAlignment="1">
      <alignment horizontal="left"/>
    </xf>
    <xf numFmtId="0" fontId="0" fillId="5" borderId="0" xfId="0" applyFill="1"/>
    <xf numFmtId="0" fontId="0" fillId="0" borderId="0" xfId="0" quotePrefix="1"/>
    <xf numFmtId="14" fontId="4" fillId="0" borderId="0" xfId="0" applyNumberFormat="1" applyFont="1"/>
    <xf numFmtId="44" fontId="0" fillId="0" borderId="0" xfId="1" applyFont="1" applyBorder="1"/>
    <xf numFmtId="44" fontId="0" fillId="0" borderId="0" xfId="1" applyFont="1" applyFill="1" applyBorder="1"/>
    <xf numFmtId="14" fontId="0" fillId="0" borderId="0" xfId="1" applyNumberFormat="1" applyFont="1" applyBorder="1"/>
    <xf numFmtId="14" fontId="0" fillId="0" borderId="0" xfId="0" applyNumberFormat="1" applyAlignment="1">
      <alignment horizontal="right"/>
    </xf>
    <xf numFmtId="14" fontId="3" fillId="0" borderId="0" xfId="0" applyNumberFormat="1" applyFont="1" applyAlignment="1">
      <alignment horizontal="right"/>
    </xf>
    <xf numFmtId="0" fontId="0" fillId="4" borderId="0" xfId="0" applyFill="1" applyAlignment="1">
      <alignment wrapText="1"/>
    </xf>
    <xf numFmtId="17" fontId="0" fillId="0" borderId="0" xfId="0" quotePrefix="1" applyNumberFormat="1" applyAlignment="1">
      <alignment horizontal="left"/>
    </xf>
    <xf numFmtId="14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left"/>
    </xf>
    <xf numFmtId="44" fontId="5" fillId="0" borderId="0" xfId="1" applyFont="1"/>
    <xf numFmtId="14" fontId="5" fillId="0" borderId="0" xfId="1" applyNumberFormat="1" applyFont="1"/>
    <xf numFmtId="14" fontId="3" fillId="0" borderId="0" xfId="0" applyNumberFormat="1" applyFont="1"/>
    <xf numFmtId="0" fontId="3" fillId="0" borderId="0" xfId="0" applyFont="1" applyAlignment="1">
      <alignment horizontal="left"/>
    </xf>
    <xf numFmtId="44" fontId="3" fillId="0" borderId="0" xfId="1" applyFont="1"/>
    <xf numFmtId="14" fontId="5" fillId="0" borderId="0" xfId="0" applyNumberFormat="1" applyFont="1" applyAlignment="1">
      <alignment horizontal="right"/>
    </xf>
    <xf numFmtId="49" fontId="5" fillId="0" borderId="0" xfId="0" applyNumberFormat="1" applyFont="1"/>
    <xf numFmtId="44" fontId="5" fillId="0" borderId="0" xfId="1" applyFont="1" applyFill="1"/>
    <xf numFmtId="0" fontId="5" fillId="0" borderId="0" xfId="0" applyFont="1" applyAlignment="1">
      <alignment wrapText="1"/>
    </xf>
    <xf numFmtId="0" fontId="6" fillId="0" borderId="0" xfId="0" applyFont="1"/>
    <xf numFmtId="14" fontId="5" fillId="0" borderId="0" xfId="0" applyNumberFormat="1" applyFont="1" applyAlignment="1">
      <alignment horizontal="left"/>
    </xf>
    <xf numFmtId="44" fontId="5" fillId="3" borderId="0" xfId="1" applyFont="1" applyFill="1"/>
    <xf numFmtId="0" fontId="7" fillId="0" borderId="0" xfId="0" applyFont="1"/>
    <xf numFmtId="14" fontId="0" fillId="2" borderId="0" xfId="0" applyNumberFormat="1" applyFill="1"/>
    <xf numFmtId="0" fontId="8" fillId="0" borderId="0" xfId="0" applyFont="1"/>
    <xf numFmtId="44" fontId="5" fillId="0" borderId="0" xfId="1" applyFont="1" applyBorder="1"/>
    <xf numFmtId="14" fontId="5" fillId="0" borderId="0" xfId="1" applyNumberFormat="1" applyFont="1" applyBorder="1"/>
    <xf numFmtId="49" fontId="5" fillId="0" borderId="5" xfId="0" applyNumberFormat="1" applyFont="1" applyBorder="1"/>
    <xf numFmtId="14" fontId="5" fillId="0" borderId="5" xfId="0" applyNumberFormat="1" applyFont="1" applyBorder="1"/>
    <xf numFmtId="0" fontId="5" fillId="0" borderId="5" xfId="0" applyFont="1" applyBorder="1" applyAlignment="1">
      <alignment horizontal="left"/>
    </xf>
    <xf numFmtId="0" fontId="5" fillId="0" borderId="5" xfId="0" applyFont="1" applyBorder="1"/>
    <xf numFmtId="44" fontId="5" fillId="0" borderId="5" xfId="1" applyFont="1" applyBorder="1"/>
    <xf numFmtId="14" fontId="5" fillId="0" borderId="5" xfId="1" applyNumberFormat="1" applyFont="1" applyBorder="1"/>
    <xf numFmtId="0" fontId="5" fillId="0" borderId="5" xfId="0" applyFont="1" applyBorder="1" applyAlignment="1">
      <alignment wrapText="1"/>
    </xf>
    <xf numFmtId="0" fontId="5" fillId="0" borderId="6" xfId="0" applyFont="1" applyBorder="1"/>
    <xf numFmtId="14" fontId="7" fillId="0" borderId="0" xfId="0" applyNumberFormat="1" applyFont="1"/>
    <xf numFmtId="49" fontId="7" fillId="0" borderId="0" xfId="0" applyNumberFormat="1" applyFont="1"/>
    <xf numFmtId="0" fontId="7" fillId="0" borderId="0" xfId="0" applyFont="1" applyAlignment="1">
      <alignment horizontal="left"/>
    </xf>
    <xf numFmtId="44" fontId="7" fillId="0" borderId="0" xfId="1" applyFont="1"/>
    <xf numFmtId="14" fontId="7" fillId="0" borderId="0" xfId="1" applyNumberFormat="1" applyFont="1"/>
    <xf numFmtId="44" fontId="7" fillId="0" borderId="0" xfId="1" applyFont="1" applyFill="1"/>
    <xf numFmtId="0" fontId="7" fillId="0" borderId="0" xfId="0" applyFont="1" applyAlignment="1">
      <alignment wrapText="1"/>
    </xf>
    <xf numFmtId="14" fontId="7" fillId="0" borderId="0" xfId="0" applyNumberFormat="1" applyFont="1" applyAlignment="1">
      <alignment horizontal="right"/>
    </xf>
    <xf numFmtId="14" fontId="5" fillId="2" borderId="0" xfId="1" applyNumberFormat="1" applyFont="1" applyFill="1"/>
    <xf numFmtId="14" fontId="5" fillId="2" borderId="0" xfId="0" applyNumberFormat="1" applyFont="1" applyFill="1"/>
    <xf numFmtId="49" fontId="5" fillId="2" borderId="0" xfId="0" applyNumberFormat="1" applyFont="1" applyFill="1"/>
    <xf numFmtId="0" fontId="5" fillId="2" borderId="0" xfId="0" applyFont="1" applyFill="1" applyAlignment="1">
      <alignment horizontal="left"/>
    </xf>
    <xf numFmtId="0" fontId="5" fillId="2" borderId="0" xfId="0" applyFont="1" applyFill="1"/>
    <xf numFmtId="44" fontId="5" fillId="2" borderId="0" xfId="1" applyFont="1" applyFill="1"/>
    <xf numFmtId="14" fontId="5" fillId="0" borderId="0" xfId="1" applyNumberFormat="1" applyFont="1" applyFill="1"/>
    <xf numFmtId="49" fontId="5" fillId="0" borderId="0" xfId="0" quotePrefix="1" applyNumberFormat="1" applyFont="1"/>
    <xf numFmtId="14" fontId="5" fillId="4" borderId="0" xfId="1" applyNumberFormat="1" applyFont="1" applyFill="1"/>
    <xf numFmtId="14" fontId="7" fillId="0" borderId="0" xfId="0" applyNumberFormat="1" applyFont="1" applyAlignment="1">
      <alignment horizontal="left"/>
    </xf>
    <xf numFmtId="14" fontId="8" fillId="0" borderId="0" xfId="0" applyNumberFormat="1" applyFont="1"/>
    <xf numFmtId="44" fontId="5" fillId="0" borderId="0" xfId="1" applyFont="1" applyFill="1" applyBorder="1"/>
    <xf numFmtId="14" fontId="6" fillId="0" borderId="0" xfId="0" applyNumberFormat="1" applyFont="1" applyAlignment="1">
      <alignment horizontal="right"/>
    </xf>
    <xf numFmtId="49" fontId="6" fillId="0" borderId="0" xfId="0" applyNumberFormat="1" applyFont="1"/>
    <xf numFmtId="17" fontId="5" fillId="0" borderId="0" xfId="0" applyNumberFormat="1" applyFont="1" applyAlignment="1">
      <alignment horizontal="left"/>
    </xf>
    <xf numFmtId="44" fontId="7" fillId="3" borderId="0" xfId="1" applyFont="1" applyFill="1"/>
    <xf numFmtId="0" fontId="9" fillId="0" borderId="0" xfId="0" applyFont="1"/>
    <xf numFmtId="16" fontId="5" fillId="0" borderId="0" xfId="0" applyNumberFormat="1" applyFont="1"/>
    <xf numFmtId="0" fontId="10" fillId="0" borderId="0" xfId="0" applyFont="1"/>
    <xf numFmtId="0" fontId="8" fillId="6" borderId="7" xfId="0" applyFont="1" applyFill="1" applyBorder="1"/>
    <xf numFmtId="0" fontId="8" fillId="7" borderId="7" xfId="0" applyFont="1" applyFill="1" applyBorder="1"/>
    <xf numFmtId="0" fontId="4" fillId="6" borderId="7" xfId="0" applyFont="1" applyFill="1" applyBorder="1"/>
    <xf numFmtId="0" fontId="11" fillId="0" borderId="0" xfId="0" applyFont="1"/>
    <xf numFmtId="14" fontId="8" fillId="4" borderId="0" xfId="0" applyNumberFormat="1" applyFont="1" applyFill="1"/>
    <xf numFmtId="14" fontId="0" fillId="4" borderId="0" xfId="0" applyNumberFormat="1" applyFill="1" applyAlignment="1">
      <alignment horizontal="right"/>
    </xf>
    <xf numFmtId="0" fontId="5" fillId="4" borderId="0" xfId="0" applyFont="1" applyFill="1"/>
    <xf numFmtId="14" fontId="5" fillId="4" borderId="0" xfId="0" applyNumberFormat="1" applyFont="1" applyFill="1" applyAlignment="1">
      <alignment horizontal="right"/>
    </xf>
    <xf numFmtId="49" fontId="5" fillId="4" borderId="0" xfId="0" applyNumberFormat="1" applyFont="1" applyFill="1"/>
    <xf numFmtId="14" fontId="5" fillId="4" borderId="0" xfId="0" applyNumberFormat="1" applyFont="1" applyFill="1"/>
    <xf numFmtId="0" fontId="5" fillId="4" borderId="0" xfId="0" applyFont="1" applyFill="1" applyAlignment="1">
      <alignment horizontal="left"/>
    </xf>
    <xf numFmtId="44" fontId="5" fillId="4" borderId="0" xfId="1" applyFont="1" applyFill="1"/>
    <xf numFmtId="0" fontId="5" fillId="4" borderId="0" xfId="0" applyFont="1" applyFill="1" applyAlignment="1">
      <alignment wrapText="1"/>
    </xf>
    <xf numFmtId="14" fontId="5" fillId="5" borderId="0" xfId="0" applyNumberFormat="1" applyFont="1" applyFill="1" applyAlignment="1">
      <alignment horizontal="right"/>
    </xf>
    <xf numFmtId="49" fontId="5" fillId="5" borderId="0" xfId="0" applyNumberFormat="1" applyFont="1" applyFill="1"/>
    <xf numFmtId="14" fontId="5" fillId="5" borderId="0" xfId="0" applyNumberFormat="1" applyFont="1" applyFill="1"/>
    <xf numFmtId="0" fontId="5" fillId="5" borderId="0" xfId="0" applyFont="1" applyFill="1" applyAlignment="1">
      <alignment horizontal="left"/>
    </xf>
    <xf numFmtId="0" fontId="5" fillId="5" borderId="0" xfId="0" applyFont="1" applyFill="1"/>
    <xf numFmtId="44" fontId="5" fillId="5" borderId="0" xfId="1" applyFont="1" applyFill="1"/>
    <xf numFmtId="14" fontId="5" fillId="5" borderId="0" xfId="1" applyNumberFormat="1" applyFont="1" applyFill="1"/>
    <xf numFmtId="0" fontId="5" fillId="5" borderId="0" xfId="0" applyFont="1" applyFill="1" applyAlignment="1">
      <alignment wrapText="1"/>
    </xf>
    <xf numFmtId="14" fontId="0" fillId="8" borderId="0" xfId="0" applyNumberFormat="1" applyFill="1"/>
    <xf numFmtId="0" fontId="0" fillId="8" borderId="0" xfId="0" applyFill="1"/>
    <xf numFmtId="0" fontId="0" fillId="8" borderId="0" xfId="0" applyFill="1" applyAlignment="1">
      <alignment horizontal="left"/>
    </xf>
    <xf numFmtId="44" fontId="0" fillId="8" borderId="0" xfId="1" applyFont="1" applyFill="1"/>
    <xf numFmtId="14" fontId="0" fillId="8" borderId="0" xfId="1" applyNumberFormat="1" applyFont="1" applyFill="1"/>
    <xf numFmtId="49" fontId="0" fillId="8" borderId="0" xfId="0" applyNumberFormat="1" applyFill="1"/>
    <xf numFmtId="14" fontId="5" fillId="8" borderId="0" xfId="0" applyNumberFormat="1" applyFont="1" applyFill="1" applyAlignment="1">
      <alignment horizontal="right"/>
    </xf>
    <xf numFmtId="49" fontId="5" fillId="8" borderId="0" xfId="0" applyNumberFormat="1" applyFont="1" applyFill="1"/>
    <xf numFmtId="14" fontId="5" fillId="8" borderId="0" xfId="0" applyNumberFormat="1" applyFont="1" applyFill="1"/>
    <xf numFmtId="0" fontId="5" fillId="8" borderId="0" xfId="0" applyFont="1" applyFill="1" applyAlignment="1">
      <alignment horizontal="left"/>
    </xf>
    <xf numFmtId="0" fontId="5" fillId="8" borderId="0" xfId="0" applyFont="1" applyFill="1"/>
    <xf numFmtId="44" fontId="5" fillId="8" borderId="0" xfId="1" applyFont="1" applyFill="1"/>
    <xf numFmtId="14" fontId="5" fillId="8" borderId="0" xfId="1" applyNumberFormat="1" applyFont="1" applyFill="1"/>
    <xf numFmtId="0" fontId="5" fillId="8" borderId="0" xfId="0" applyFont="1" applyFill="1" applyAlignment="1">
      <alignment wrapText="1"/>
    </xf>
    <xf numFmtId="14" fontId="7" fillId="0" borderId="0" xfId="1" applyNumberFormat="1" applyFont="1" applyFill="1"/>
    <xf numFmtId="14" fontId="0" fillId="0" borderId="0" xfId="1" applyNumberFormat="1" applyFont="1" applyFill="1" applyBorder="1"/>
    <xf numFmtId="0" fontId="12" fillId="0" borderId="0" xfId="0" applyFont="1"/>
    <xf numFmtId="14" fontId="13" fillId="0" borderId="0" xfId="0" applyNumberFormat="1" applyFont="1"/>
    <xf numFmtId="0" fontId="13" fillId="0" borderId="0" xfId="0" applyFont="1"/>
    <xf numFmtId="0" fontId="14" fillId="7" borderId="0" xfId="0" applyFont="1" applyFill="1"/>
    <xf numFmtId="0" fontId="5" fillId="0" borderId="9" xfId="0" applyFont="1" applyBorder="1"/>
    <xf numFmtId="0" fontId="5" fillId="3" borderId="0" xfId="0" applyFont="1" applyFill="1" applyAlignment="1">
      <alignment horizontal="left"/>
    </xf>
    <xf numFmtId="49" fontId="5" fillId="0" borderId="0" xfId="0" applyNumberFormat="1" applyFont="1" applyAlignment="1">
      <alignment horizontal="right"/>
    </xf>
    <xf numFmtId="14" fontId="5" fillId="0" borderId="4" xfId="0" applyNumberFormat="1" applyFont="1" applyBorder="1" applyAlignment="1">
      <alignment horizontal="right"/>
    </xf>
    <xf numFmtId="44" fontId="5" fillId="0" borderId="5" xfId="1" applyFont="1" applyFill="1" applyBorder="1"/>
    <xf numFmtId="0" fontId="15" fillId="0" borderId="0" xfId="0" applyFont="1"/>
    <xf numFmtId="14" fontId="16" fillId="0" borderId="0" xfId="0" applyNumberFormat="1" applyFont="1"/>
    <xf numFmtId="0" fontId="16" fillId="0" borderId="0" xfId="0" applyFont="1"/>
    <xf numFmtId="0" fontId="16" fillId="0" borderId="0" xfId="0" applyFont="1" applyAlignment="1">
      <alignment horizontal="left"/>
    </xf>
    <xf numFmtId="44" fontId="16" fillId="0" borderId="0" xfId="1" applyFont="1"/>
    <xf numFmtId="14" fontId="16" fillId="0" borderId="0" xfId="1" applyNumberFormat="1" applyFont="1"/>
    <xf numFmtId="0" fontId="16" fillId="0" borderId="0" xfId="0" applyFont="1" applyAlignment="1">
      <alignment wrapText="1"/>
    </xf>
    <xf numFmtId="0" fontId="17" fillId="0" borderId="0" xfId="0" applyFont="1"/>
    <xf numFmtId="44" fontId="17" fillId="0" borderId="0" xfId="1" applyFont="1" applyFill="1"/>
    <xf numFmtId="14" fontId="16" fillId="0" borderId="0" xfId="0" applyNumberFormat="1" applyFont="1" applyAlignment="1">
      <alignment horizontal="right"/>
    </xf>
    <xf numFmtId="49" fontId="16" fillId="0" borderId="0" xfId="0" applyNumberFormat="1" applyFont="1"/>
    <xf numFmtId="44" fontId="16" fillId="0" borderId="0" xfId="1" applyFont="1" applyFill="1"/>
    <xf numFmtId="14" fontId="17" fillId="4" borderId="0" xfId="0" applyNumberFormat="1" applyFont="1" applyFill="1"/>
    <xf numFmtId="49" fontId="17" fillId="4" borderId="0" xfId="0" applyNumberFormat="1" applyFont="1" applyFill="1"/>
    <xf numFmtId="0" fontId="17" fillId="4" borderId="0" xfId="0" applyFont="1" applyFill="1" applyAlignment="1">
      <alignment horizontal="left"/>
    </xf>
    <xf numFmtId="0" fontId="17" fillId="4" borderId="0" xfId="0" applyFont="1" applyFill="1"/>
    <xf numFmtId="44" fontId="17" fillId="4" borderId="0" xfId="1" applyFont="1" applyFill="1"/>
    <xf numFmtId="14" fontId="17" fillId="4" borderId="0" xfId="1" applyNumberFormat="1" applyFont="1" applyFill="1"/>
    <xf numFmtId="14" fontId="17" fillId="0" borderId="0" xfId="1" applyNumberFormat="1" applyFont="1" applyFill="1"/>
    <xf numFmtId="0" fontId="17" fillId="4" borderId="0" xfId="0" applyFont="1" applyFill="1" applyAlignment="1">
      <alignment wrapText="1"/>
    </xf>
    <xf numFmtId="14" fontId="16" fillId="0" borderId="0" xfId="1" applyNumberFormat="1" applyFont="1" applyFill="1"/>
    <xf numFmtId="44" fontId="5" fillId="0" borderId="0" xfId="0" applyNumberFormat="1" applyFont="1" applyAlignment="1">
      <alignment horizontal="left"/>
    </xf>
    <xf numFmtId="0" fontId="18" fillId="0" borderId="0" xfId="0" applyFont="1"/>
    <xf numFmtId="44" fontId="19" fillId="0" borderId="0" xfId="1" applyFont="1" applyFill="1"/>
    <xf numFmtId="14" fontId="19" fillId="0" borderId="0" xfId="1" applyNumberFormat="1" applyFont="1" applyFill="1"/>
    <xf numFmtId="0" fontId="19" fillId="0" borderId="0" xfId="0" applyFont="1"/>
    <xf numFmtId="14" fontId="19" fillId="0" borderId="0" xfId="0" applyNumberFormat="1" applyFont="1"/>
    <xf numFmtId="49" fontId="19" fillId="0" borderId="0" xfId="0" applyNumberFormat="1" applyFont="1"/>
    <xf numFmtId="0" fontId="19" fillId="0" borderId="0" xfId="0" applyFont="1" applyAlignment="1">
      <alignment horizontal="left"/>
    </xf>
    <xf numFmtId="44" fontId="19" fillId="0" borderId="0" xfId="1" applyFont="1"/>
    <xf numFmtId="14" fontId="19" fillId="0" borderId="0" xfId="1" applyNumberFormat="1" applyFont="1"/>
    <xf numFmtId="0" fontId="19" fillId="0" borderId="0" xfId="0" applyFont="1" applyAlignment="1">
      <alignment wrapText="1"/>
    </xf>
    <xf numFmtId="14" fontId="19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4" fontId="20" fillId="0" borderId="0" xfId="0" applyNumberFormat="1" applyFont="1"/>
    <xf numFmtId="0" fontId="20" fillId="0" borderId="0" xfId="0" applyFont="1"/>
    <xf numFmtId="0" fontId="20" fillId="0" borderId="0" xfId="0" applyFont="1" applyAlignment="1">
      <alignment horizontal="left"/>
    </xf>
    <xf numFmtId="44" fontId="20" fillId="0" borderId="0" xfId="1" applyFont="1"/>
    <xf numFmtId="14" fontId="20" fillId="0" borderId="0" xfId="1" applyNumberFormat="1" applyFont="1"/>
    <xf numFmtId="0" fontId="20" fillId="0" borderId="0" xfId="0" applyFont="1" applyAlignment="1">
      <alignment wrapText="1"/>
    </xf>
    <xf numFmtId="14" fontId="21" fillId="0" borderId="0" xfId="0" applyNumberFormat="1" applyFont="1"/>
    <xf numFmtId="0" fontId="21" fillId="0" borderId="0" xfId="0" applyFont="1"/>
    <xf numFmtId="0" fontId="21" fillId="0" borderId="0" xfId="0" applyFont="1" applyAlignment="1">
      <alignment horizontal="left"/>
    </xf>
    <xf numFmtId="44" fontId="21" fillId="0" borderId="0" xfId="1" applyFont="1"/>
    <xf numFmtId="14" fontId="21" fillId="0" borderId="0" xfId="1" applyNumberFormat="1" applyFont="1"/>
    <xf numFmtId="0" fontId="21" fillId="0" borderId="0" xfId="0" applyFont="1" applyAlignment="1">
      <alignment wrapText="1"/>
    </xf>
    <xf numFmtId="44" fontId="7" fillId="0" borderId="0" xfId="1" applyFont="1" applyBorder="1"/>
    <xf numFmtId="14" fontId="7" fillId="0" borderId="0" xfId="1" applyNumberFormat="1" applyFont="1" applyBorder="1"/>
    <xf numFmtId="44" fontId="7" fillId="0" borderId="0" xfId="1" applyFont="1" applyFill="1" applyBorder="1"/>
    <xf numFmtId="49" fontId="0" fillId="5" borderId="0" xfId="0" applyNumberFormat="1" applyFill="1"/>
    <xf numFmtId="16" fontId="0" fillId="0" borderId="0" xfId="0" applyNumberFormat="1" applyAlignment="1">
      <alignment horizontal="left"/>
    </xf>
    <xf numFmtId="14" fontId="22" fillId="0" borderId="0" xfId="0" applyNumberFormat="1" applyFont="1"/>
    <xf numFmtId="0" fontId="22" fillId="0" borderId="0" xfId="0" applyFont="1"/>
    <xf numFmtId="0" fontId="22" fillId="0" borderId="0" xfId="0" applyFont="1" applyAlignment="1">
      <alignment horizontal="left"/>
    </xf>
    <xf numFmtId="44" fontId="22" fillId="0" borderId="0" xfId="1" applyFont="1"/>
    <xf numFmtId="14" fontId="22" fillId="0" borderId="0" xfId="1" applyNumberFormat="1" applyFont="1"/>
    <xf numFmtId="14" fontId="8" fillId="9" borderId="0" xfId="0" applyNumberFormat="1" applyFont="1" applyFill="1"/>
    <xf numFmtId="14" fontId="23" fillId="0" borderId="0" xfId="0" applyNumberFormat="1" applyFont="1"/>
    <xf numFmtId="0" fontId="23" fillId="0" borderId="0" xfId="0" applyFont="1"/>
    <xf numFmtId="0" fontId="23" fillId="0" borderId="0" xfId="0" applyFont="1" applyAlignment="1">
      <alignment horizontal="left"/>
    </xf>
    <xf numFmtId="44" fontId="23" fillId="0" borderId="0" xfId="1" applyFont="1"/>
    <xf numFmtId="14" fontId="23" fillId="0" borderId="0" xfId="1" applyNumberFormat="1" applyFont="1"/>
    <xf numFmtId="0" fontId="23" fillId="0" borderId="0" xfId="0" applyFont="1" applyAlignment="1">
      <alignment wrapText="1"/>
    </xf>
    <xf numFmtId="0" fontId="16" fillId="0" borderId="0" xfId="0" applyFont="1" applyAlignment="1">
      <alignment horizontal="center" vertical="center" wrapText="1"/>
    </xf>
    <xf numFmtId="3" fontId="5" fillId="0" borderId="0" xfId="0" applyNumberFormat="1" applyFont="1" applyAlignment="1">
      <alignment horizontal="left"/>
    </xf>
    <xf numFmtId="0" fontId="24" fillId="0" borderId="0" xfId="0" applyFont="1" applyAlignment="1">
      <alignment wrapText="1"/>
    </xf>
    <xf numFmtId="17" fontId="5" fillId="4" borderId="0" xfId="0" applyNumberFormat="1" applyFont="1" applyFill="1" applyAlignment="1">
      <alignment horizontal="left"/>
    </xf>
    <xf numFmtId="44" fontId="5" fillId="10" borderId="0" xfId="1" applyFont="1" applyFill="1"/>
    <xf numFmtId="0" fontId="25" fillId="11" borderId="0" xfId="0" applyFont="1" applyFill="1"/>
    <xf numFmtId="0" fontId="25" fillId="11" borderId="0" xfId="0" applyFont="1" applyFill="1" applyAlignment="1">
      <alignment wrapText="1"/>
    </xf>
    <xf numFmtId="0" fontId="26" fillId="0" borderId="0" xfId="0" applyFont="1"/>
    <xf numFmtId="14" fontId="25" fillId="11" borderId="0" xfId="0" applyNumberFormat="1" applyFont="1" applyFill="1"/>
    <xf numFmtId="164" fontId="0" fillId="0" borderId="0" xfId="0" applyNumberFormat="1"/>
    <xf numFmtId="164" fontId="25" fillId="11" borderId="0" xfId="0" applyNumberFormat="1" applyFont="1" applyFill="1"/>
    <xf numFmtId="164" fontId="5" fillId="0" borderId="0" xfId="0" applyNumberFormat="1" applyFont="1"/>
    <xf numFmtId="164" fontId="4" fillId="0" borderId="0" xfId="0" applyNumberFormat="1" applyFont="1"/>
    <xf numFmtId="14" fontId="5" fillId="12" borderId="10" xfId="0" applyNumberFormat="1" applyFont="1" applyFill="1" applyBorder="1"/>
    <xf numFmtId="0" fontId="5" fillId="12" borderId="8" xfId="0" applyFont="1" applyFill="1" applyBorder="1"/>
    <xf numFmtId="14" fontId="5" fillId="12" borderId="8" xfId="0" applyNumberFormat="1" applyFont="1" applyFill="1" applyBorder="1"/>
    <xf numFmtId="44" fontId="5" fillId="12" borderId="8" xfId="1" applyFont="1" applyFill="1" applyBorder="1"/>
    <xf numFmtId="44" fontId="5" fillId="3" borderId="8" xfId="1" applyFont="1" applyFill="1" applyBorder="1"/>
    <xf numFmtId="14" fontId="5" fillId="12" borderId="8" xfId="1" applyNumberFormat="1" applyFont="1" applyFill="1" applyBorder="1"/>
    <xf numFmtId="14" fontId="21" fillId="0" borderId="0" xfId="0" applyNumberFormat="1" applyFont="1" applyAlignment="1">
      <alignment horizontal="right"/>
    </xf>
    <xf numFmtId="49" fontId="21" fillId="0" borderId="0" xfId="0" applyNumberFormat="1" applyFont="1"/>
    <xf numFmtId="44" fontId="21" fillId="0" borderId="0" xfId="1" applyFont="1" applyFill="1"/>
    <xf numFmtId="44" fontId="21" fillId="3" borderId="0" xfId="1" applyFont="1" applyFill="1"/>
    <xf numFmtId="0" fontId="27" fillId="0" borderId="0" xfId="0" applyFont="1"/>
    <xf numFmtId="8" fontId="5" fillId="8" borderId="0" xfId="1" applyNumberFormat="1" applyFont="1" applyFill="1"/>
    <xf numFmtId="44" fontId="7" fillId="2" borderId="0" xfId="1" applyFont="1" applyFill="1"/>
    <xf numFmtId="14" fontId="11" fillId="0" borderId="0" xfId="0" applyNumberFormat="1" applyFont="1"/>
    <xf numFmtId="0" fontId="11" fillId="0" borderId="0" xfId="0" applyFont="1" applyAlignment="1">
      <alignment horizontal="left"/>
    </xf>
    <xf numFmtId="44" fontId="11" fillId="0" borderId="0" xfId="1" applyFont="1"/>
    <xf numFmtId="44" fontId="11" fillId="3" borderId="0" xfId="1" applyFont="1" applyFill="1"/>
    <xf numFmtId="14" fontId="11" fillId="0" borderId="0" xfId="1" applyNumberFormat="1" applyFont="1"/>
    <xf numFmtId="0" fontId="11" fillId="0" borderId="0" xfId="0" applyFont="1" applyAlignment="1">
      <alignment wrapText="1"/>
    </xf>
    <xf numFmtId="14" fontId="5" fillId="0" borderId="1" xfId="0" applyNumberFormat="1" applyFont="1" applyBorder="1" applyAlignment="1">
      <alignment horizontal="right"/>
    </xf>
    <xf numFmtId="49" fontId="5" fillId="0" borderId="2" xfId="0" applyNumberFormat="1" applyFont="1" applyBorder="1"/>
    <xf numFmtId="14" fontId="5" fillId="0" borderId="2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2" xfId="0" applyFont="1" applyBorder="1"/>
    <xf numFmtId="44" fontId="5" fillId="0" borderId="2" xfId="1" applyFont="1" applyBorder="1"/>
    <xf numFmtId="14" fontId="5" fillId="0" borderId="2" xfId="1" applyNumberFormat="1" applyFont="1" applyBorder="1"/>
    <xf numFmtId="44" fontId="5" fillId="0" borderId="2" xfId="1" applyFont="1" applyFill="1" applyBorder="1"/>
    <xf numFmtId="0" fontId="0" fillId="0" borderId="8" xfId="0" applyBorder="1"/>
    <xf numFmtId="0" fontId="5" fillId="0" borderId="2" xfId="0" applyFont="1" applyBorder="1" applyAlignment="1">
      <alignment wrapText="1"/>
    </xf>
    <xf numFmtId="0" fontId="5" fillId="0" borderId="3" xfId="0" applyFont="1" applyBorder="1"/>
    <xf numFmtId="0" fontId="5" fillId="0" borderId="0" xfId="0" applyFont="1" applyAlignment="1">
      <alignment horizontal="left" wrapText="1"/>
    </xf>
    <xf numFmtId="164" fontId="8" fillId="0" borderId="0" xfId="0" applyNumberFormat="1" applyFont="1"/>
    <xf numFmtId="164" fontId="8" fillId="3" borderId="0" xfId="0" applyNumberFormat="1" applyFont="1" applyFill="1"/>
    <xf numFmtId="44" fontId="5" fillId="13" borderId="0" xfId="1" applyFont="1" applyFill="1"/>
    <xf numFmtId="0" fontId="13" fillId="14" borderId="0" xfId="0" applyFont="1" applyFill="1"/>
    <xf numFmtId="14" fontId="11" fillId="0" borderId="0" xfId="0" applyNumberFormat="1" applyFont="1" applyAlignment="1">
      <alignment horizontal="right"/>
    </xf>
    <xf numFmtId="49" fontId="11" fillId="0" borderId="0" xfId="0" applyNumberFormat="1" applyFont="1"/>
    <xf numFmtId="44" fontId="11" fillId="0" borderId="0" xfId="1" applyFont="1" applyFill="1"/>
    <xf numFmtId="14" fontId="7" fillId="15" borderId="0" xfId="0" applyNumberFormat="1" applyFont="1" applyFill="1" applyAlignment="1">
      <alignment horizontal="right"/>
    </xf>
    <xf numFmtId="49" fontId="7" fillId="15" borderId="0" xfId="0" applyNumberFormat="1" applyFont="1" applyFill="1"/>
    <xf numFmtId="14" fontId="7" fillId="15" borderId="0" xfId="0" applyNumberFormat="1" applyFont="1" applyFill="1"/>
    <xf numFmtId="0" fontId="7" fillId="15" borderId="0" xfId="0" applyFont="1" applyFill="1" applyAlignment="1">
      <alignment horizontal="left"/>
    </xf>
    <xf numFmtId="0" fontId="7" fillId="15" borderId="0" xfId="0" applyFont="1" applyFill="1"/>
    <xf numFmtId="44" fontId="7" fillId="15" borderId="0" xfId="1" applyFont="1" applyFill="1"/>
    <xf numFmtId="44" fontId="19" fillId="15" borderId="0" xfId="1" applyFont="1" applyFill="1"/>
    <xf numFmtId="14" fontId="7" fillId="15" borderId="0" xfId="1" applyNumberFormat="1" applyFont="1" applyFill="1"/>
    <xf numFmtId="14" fontId="19" fillId="15" borderId="0" xfId="1" applyNumberFormat="1" applyFont="1" applyFill="1"/>
    <xf numFmtId="0" fontId="7" fillId="15" borderId="0" xfId="0" applyFont="1" applyFill="1" applyAlignment="1">
      <alignment wrapText="1"/>
    </xf>
  </cellXfs>
  <cellStyles count="3">
    <cellStyle name="Millares" xfId="2" builtinId="3"/>
    <cellStyle name="Moneda" xfId="1" builtinId="4"/>
    <cellStyle name="Normal" xfId="0" builtinId="0"/>
  </cellStyles>
  <dxfs count="151"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numFmt numFmtId="19" formatCode="dd/mm/yyyy"/>
    </dxf>
    <dxf>
      <fill>
        <patternFill>
          <bgColor theme="9" tint="0.39994506668294322"/>
        </patternFill>
      </fill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numFmt numFmtId="19" formatCode="dd/mm/yyyy"/>
    </dxf>
    <dxf>
      <fill>
        <patternFill>
          <bgColor theme="9" tint="0.39994506668294322"/>
        </patternFill>
      </fill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numFmt numFmtId="19" formatCode="dd/mm/yyyy"/>
    </dxf>
    <dxf>
      <fill>
        <patternFill>
          <bgColor theme="9" tint="0.39994506668294322"/>
        </patternFill>
      </fill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numFmt numFmtId="19" formatCode="dd/mm/yyyy"/>
    </dxf>
    <dxf>
      <fill>
        <patternFill>
          <bgColor theme="9" tint="0.3999450666829432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19" formatCode="dd/mm/yyyy"/>
    </dxf>
    <dxf>
      <font>
        <b/>
      </font>
    </dxf>
    <dxf>
      <font>
        <b/>
      </font>
      <numFmt numFmtId="19" formatCode="dd/mm/yyyy"/>
    </dxf>
    <dxf>
      <font>
        <b/>
      </font>
    </dxf>
    <dxf>
      <fill>
        <patternFill>
          <bgColor theme="9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472C4"/>
          <bgColor rgb="FF4472C4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numFmt numFmtId="19" formatCode="dd/mm/yyyy"/>
    </dxf>
    <dxf>
      <numFmt numFmtId="19" formatCode="dd/mm/yyyy"/>
    </dxf>
    <dxf>
      <fill>
        <patternFill>
          <bgColor theme="9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numFmt numFmtId="19" formatCode="dd/mm/yyyy"/>
    </dxf>
    <dxf>
      <fill>
        <patternFill>
          <bgColor theme="9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numFmt numFmtId="19" formatCode="dd/mm/yyyy"/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left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fill>
        <patternFill>
          <bgColor theme="9" tint="0.39994506668294322"/>
        </patternFill>
      </fill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numFmt numFmtId="19" formatCode="dd/mm/yyyy"/>
    </dxf>
    <dxf>
      <fill>
        <patternFill>
          <bgColor theme="9" tint="0.39994506668294322"/>
        </patternFill>
      </fill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solid">
          <fgColor indexed="64"/>
          <bgColor rgb="FFFFC000"/>
        </patternFill>
      </fill>
    </dxf>
    <dxf>
      <numFmt numFmtId="19" formatCode="dd/mm/yyyy"/>
    </dxf>
    <dxf>
      <numFmt numFmtId="19" formatCode="dd/mm/yyyy"/>
    </dxf>
    <dxf>
      <fill>
        <patternFill>
          <bgColor theme="9" tint="0.39994506668294322"/>
        </patternFill>
      </fill>
    </dxf>
    <dxf>
      <numFmt numFmtId="19" formatCode="dd/mm/yyyy"/>
    </dxf>
    <dxf>
      <numFmt numFmtId="164" formatCode="#,##0.00\ &quot;€&quot;"/>
    </dxf>
    <dxf>
      <numFmt numFmtId="164" formatCode="#,##0.00\ &quot;€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472C4"/>
          <bgColor rgb="FF4472C4"/>
        </patternFill>
      </fill>
    </dxf>
    <dxf>
      <font>
        <color rgb="FF000000"/>
      </font>
      <fill>
        <patternFill patternType="solid">
          <bgColor rgb="FFA9D08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left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numFmt numFmtId="19" formatCode="dd/mm/yyyy"/>
    </dxf>
    <dxf>
      <alignment horizontal="left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font>
        <i val="0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NGE" id="{0E29EAF9-DED1-4123-91E7-12BD78E33ACD}">
    <nsvFilter filterId="{5A549786-EBB9-4859-A89D-4A68BEBCE680}" ref="B1:U1490" tableId="1">
      <columnFilter colId="6" id="{20E82F21-1188-443A-BAE4-5590CF44B9EC}">
        <filter colId="6">
          <x:filters>
            <x:filter val="WIZZ AIR MALTA LIMITED"/>
          </x:filters>
        </filter>
      </columnFilter>
      <sortRules>
        <sortRule colId="6" id="{20E82F21-1188-443A-BAE4-5590CF44B9EC}">
          <sortCondition ref="H1:H1490"/>
        </sortRule>
      </sortRules>
    </nsvFilter>
  </namedSheetView>
  <namedSheetView name="asebal" id="{AC0CD215-D500-4392-8F13-3920C63AC80E}">
    <nsvFilter filterId="{5A549786-EBB9-4859-A89D-4A68BEBCE680}" ref="B1:U1490" tableId="1">
      <columnFilter colId="6" id="{20E82F21-1188-443A-BAE4-5590CF44B9EC}">
        <filter colId="6">
          <x:filters>
            <x:filter val="ASEBAL"/>
          </x:filters>
        </filter>
      </columnFilter>
      <columnFilter colId="16" id="{ECFD55B1-FD9D-428B-8503-82573858FE04}">
        <dxf>
          <x:fill>
            <x:patternFill patternType="none">
              <x:fgColor indexed="64"/>
              <x:bgColor indexed="65"/>
            </x:patternFill>
          </x:fill>
        </dxf>
        <filter colId="16">
          <x:colorFilter/>
        </filter>
      </columnFilter>
    </nsvFilter>
  </namedSheetView>
  <namedSheetView name="Valentina" id="{677D5DD2-B09A-41FB-B9BC-44A9AA461DD8}">
    <nsvFilter filterId="{5A549786-EBB9-4859-A89D-4A68BEBCE680}" ref="B1:U1490" tableId="1">
      <columnFilter colId="6" id="{20E82F21-1188-443A-BAE4-5590CF44B9EC}">
        <filter colId="6">
          <x:filters>
            <x:filter val="TRANSMEC DE BORTOLI GROUP ESPAÑA S.A"/>
          </x:filters>
        </filter>
      </columnFilter>
      <sortRules>
        <sortRule colId="6" id="{20E82F21-1188-443A-BAE4-5590CF44B9EC}">
          <sortCondition ref="H1:H1490"/>
        </sortRule>
      </sortRules>
    </nsvFilter>
  </namedSheetView>
  <namedSheetView name="Ver1" id="{6ADD683A-42EB-43BC-AB5D-61A91F6132A8}">
    <nsvFilter filterId="{5A549786-EBB9-4859-A89D-4A68BEBCE680}" ref="B1:U1490" tableId="1">
      <sortRules>
        <sortRule colId="6" id="{20E82F21-1188-443A-BAE4-5590CF44B9EC}">
          <sortCondition ref="H1:H1490"/>
        </sortRule>
      </sortRules>
    </nsvFilter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ngelina" id="{B50D9A5A-3D7A-446B-AB45-D0682B8B7FFC}">
    <nsvFilter filterId="{34CD4239-E850-4FB5-8CCE-7DBBD05FFCF8}" ref="B1:R632" tableId="3">
      <columnFilter colId="5" id="{9C0631F8-A5E5-4D34-B369-CDEBCBFDFF15}">
        <filter colId="5">
          <x:filters>
            <x:filter val="AMAZON"/>
          </x:filters>
        </filter>
      </columnFilter>
      <sortRules>
        <sortRule colId="0" id="{8A8699C9-6058-4D8D-A084-DD172FBDEC0A}">
          <sortCondition ref="B1:B632"/>
        </sortRule>
      </sortRules>
    </nsvFilter>
  </namedSheetView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ngelina" id="{C9A4996F-6A3D-4894-A3F8-828EC45A77B5}">
    <nsvFilter filterId="{C70E042F-E72D-4F1D-A0F2-F7D3018B9CA4}" ref="B2:R19" tableId="20"/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549786-EBB9-4859-A89D-4A68BEBCE680}" name="Tabla1" displayName="Tabla1" ref="B1:U1490" totalsRowShown="0" headerRowDxfId="148">
  <autoFilter ref="B1:U1490" xr:uid="{5A549786-EBB9-4859-A89D-4A68BEBCE680}">
    <filterColumn colId="6">
      <filters>
        <filter val="TECMA DRIVE"/>
      </filters>
    </filterColumn>
  </autoFilter>
  <sortState xmlns:xlrd2="http://schemas.microsoft.com/office/spreadsheetml/2017/richdata2" ref="B2:U1450">
    <sortCondition ref="I1:I1450"/>
  </sortState>
  <tableColumns count="20">
    <tableColumn id="1" xr3:uid="{CA77FC48-128F-4348-B554-B55FA0A98A2C}" name="Fecha Proforma/ Anticipo" dataDxfId="147"/>
    <tableColumn id="2" xr3:uid="{A69060B5-C3E4-4AB4-96D4-46ECDB3A431E}" name="Nº Proforma"/>
    <tableColumn id="3" xr3:uid="{F9F5ADA1-B4D9-485B-8EC5-D45B0CBD79E4}" name="Fecha Factura" dataDxfId="146"/>
    <tableColumn id="11" xr3:uid="{11592B44-7E5A-49DA-A8AE-60B5C7B543C8}" name="Nº Factura" dataDxfId="145"/>
    <tableColumn id="9" xr3:uid="{FBCC075B-F41B-4363-8B5E-503AF1D9F8AE}" name="Fecha Prep." dataDxfId="144"/>
    <tableColumn id="19" xr3:uid="{A9C94C00-4ABD-44F3-8F18-147116A86892}" name="Fecha Prep. 2" dataDxfId="143"/>
    <tableColumn id="10" xr3:uid="{20E82F21-1188-443A-BAE4-5590CF44B9EC}" name="Proveedor"/>
    <tableColumn id="4" xr3:uid="{D328FBBF-CA8B-488F-8AAC-CF67248C94F0}" name="Importe Total" dataCellStyle="Moneda"/>
    <tableColumn id="18" xr3:uid="{7678A285-6315-4ECD-A755-BD7588CEE035}" name="Forma Pago" dataDxfId="142" dataCellStyle="Moneda"/>
    <tableColumn id="12" xr3:uid="{AAB8F64F-9D79-4C0F-81E0-E0B5B22181DA}" name="Primer Pago" dataDxfId="141" dataCellStyle="Moneda">
      <calculatedColumnFormula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calculatedColumnFormula>
    </tableColumn>
    <tableColumn id="13" xr3:uid="{539D9795-0BC8-4136-A8A8-A176F656BC6F}" name="F. Vencimiento 1 pago" dataDxfId="140" dataCellStyle="Moneda"/>
    <tableColumn id="16" xr3:uid="{411BCEEA-B387-45B9-A9FF-4D400511A9B4}" name="Estado1" dataDxfId="139" dataCellStyle="Moneda"/>
    <tableColumn id="14" xr3:uid="{208DA710-FFA2-4C86-BF8A-C1D1E7910E61}" name="Segundo Pago" dataDxfId="138" dataCellStyle="Moneda">
      <calculatedColumnFormula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calculatedColumnFormula>
    </tableColumn>
    <tableColumn id="7" xr3:uid="{ADF1D9F3-4019-4312-B22F-EBC63B2ECC3D}" name="Fecha Vencimiento  2 pago" dataDxfId="137" dataCellStyle="Moneda">
      <calculatedColumnFormula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calculatedColumnFormula>
    </tableColumn>
    <tableColumn id="17" xr3:uid="{84043510-C371-454B-A85B-B4CD2D6844DC}" name="Estado2"/>
    <tableColumn id="6" xr3:uid="{4EE21A67-4B4F-4FDE-8425-E7BAC6548E95}" name="Nº Proyecto/Descripcion"/>
    <tableColumn id="8" xr3:uid="{ECFD55B1-FD9D-428B-8503-82573858FE04}" name="Fecha pago"/>
    <tableColumn id="5" xr3:uid="{7382F9D8-1801-4028-AB17-43B405C272FB}" name="Responsable"/>
    <tableColumn id="15" xr3:uid="{D9733227-CD6D-4CC8-8C66-0712251F10FD}" name="Observaciones"/>
    <tableColumn id="20" xr3:uid="{B33EEE2F-9CA8-4CF6-8885-129A574AE3CD}" name="COMPROBADO CON LISTADO" dataDxfId="1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CD4239-E850-4FB5-8CCE-7DBBD05FFCF8}" name="Tabla14" displayName="Tabla14" ref="B1:R632" totalsRowShown="0">
  <autoFilter ref="B1:R632" xr:uid="{34CD4239-E850-4FB5-8CCE-7DBBD05FFCF8}"/>
  <sortState xmlns:xlrd2="http://schemas.microsoft.com/office/spreadsheetml/2017/richdata2" ref="B2:R608">
    <sortCondition ref="H1:H608"/>
  </sortState>
  <tableColumns count="17">
    <tableColumn id="1" xr3:uid="{8A8699C9-6058-4D8D-A084-DD172FBDEC0A}" name="Fecha Proforma" dataDxfId="132"/>
    <tableColumn id="2" xr3:uid="{0E0770C8-49EB-4CA4-B50E-CC6E59CCFE24}" name="Nº Proforma"/>
    <tableColumn id="3" xr3:uid="{658E9971-8884-4DCE-9140-96DE0FD21D08}" name="Fecha Factura" dataDxfId="131"/>
    <tableColumn id="11" xr3:uid="{31232879-6DD3-4B8D-93CC-C7D5F2B922B8}" name="Nº Factura" dataDxfId="130"/>
    <tableColumn id="13" xr3:uid="{62560EEE-903D-497B-9F95-5F4739F1792C}" name="Fecha Prep."/>
    <tableColumn id="10" xr3:uid="{9C0631F8-A5E5-4D34-B369-CDEBCBFDFF15}" name="Proveedor"/>
    <tableColumn id="4" xr3:uid="{35304B27-F839-4018-B8A3-2854052E0106}" name="Importe Total" dataCellStyle="Moneda"/>
    <tableColumn id="18" xr3:uid="{6E230F7A-B08E-4828-B9DF-3DEBD897CA32}" name="Forma Pago" dataDxfId="129" dataCellStyle="Moneda"/>
    <tableColumn id="14" xr3:uid="{151CE833-BF9A-494B-9F37-4F0E930FFF2D}" name="Importe" dataDxfId="128" dataCellStyle="Moneda">
      <calculatedColumnFormula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calculatedColumnFormula>
    </tableColumn>
    <tableColumn id="7" xr3:uid="{927EF9B8-28C5-48D0-B104-4B6E4770C85A}" name="Fecha Vencimiento " dataDxfId="127" dataCellStyle="Moneda">
      <calculatedColumnFormula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calculatedColumnFormula>
    </tableColumn>
    <tableColumn id="17" xr3:uid="{36DF07F7-35B8-449B-AB2C-08A437A5C4D5}" name="Estado"/>
    <tableColumn id="6" xr3:uid="{38F95C05-6528-4DEE-AB50-8053C0FFA232}" name="Descripcion"/>
    <tableColumn id="5" xr3:uid="{5CC6BA62-D936-40B6-97F0-C93D809A7A5F}" name="Fecha de pago" dataDxfId="126"/>
    <tableColumn id="12" xr3:uid="{BF63E7F9-09B3-4E25-9843-E9CFCEACD4BD}" name="Responsable2"/>
    <tableColumn id="9" xr3:uid="{806C33AD-AD53-4729-BA93-C8582FA9C105}" name="BANCO"/>
    <tableColumn id="8" xr3:uid="{1A33898F-4060-450D-901E-71C2CDA3C827}" name="Observaciones"/>
    <tableColumn id="15" xr3:uid="{6F1C396C-5536-43B7-82F7-9AF211E322B1}" name="COMPROBADO EN LISTADO" dataDxfId="1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70E042F-E72D-4F1D-A0F2-F7D3018B9CA4}" name="Tabla20" displayName="Tabla20" ref="B2:R19" totalsRowShown="0" headerRowDxfId="123">
  <autoFilter ref="B2:R19" xr:uid="{C70E042F-E72D-4F1D-A0F2-F7D3018B9CA4}"/>
  <tableColumns count="17">
    <tableColumn id="1" xr3:uid="{9963A4FA-255C-444B-9F80-BD321EB3ADDE}" name="Fecha Proforma"/>
    <tableColumn id="2" xr3:uid="{4D8C46CB-6892-4DF9-AAAB-B535ED22D0F8}" name="Nº Proforma"/>
    <tableColumn id="3" xr3:uid="{84FC2FB2-D4C2-4FA3-8062-2D7D820AB93E}" name="Fecha Factura"/>
    <tableColumn id="4" xr3:uid="{510D4E87-764F-483C-ADFC-FE733B5B0596}" name="Nº Factura"/>
    <tableColumn id="5" xr3:uid="{09985226-ED0B-47FD-8B22-9ED3A2535083}" name="Fecha Prep."/>
    <tableColumn id="6" xr3:uid="{0992BE63-0124-41D5-9EC9-F76371A6CAAF}" name="Proveedor"/>
    <tableColumn id="7" xr3:uid="{C97E0533-AEC6-4678-9B2B-F741F3172223}" name="Importe Total" dataDxfId="122"/>
    <tableColumn id="8" xr3:uid="{A8EBB263-CD51-422B-B6EC-F7A744418FD4}" name="Forma Pago"/>
    <tableColumn id="9" xr3:uid="{90F5E821-D94A-45E4-A103-A457F57DA060}" name="Importe" dataDxfId="121"/>
    <tableColumn id="10" xr3:uid="{F23842B7-2AF3-4764-9E33-130BF2D08847}" name="Fecha Vencimiento "/>
    <tableColumn id="11" xr3:uid="{B597B10B-34E3-4391-9303-D3838812C8D7}" name="Estado"/>
    <tableColumn id="12" xr3:uid="{B4C7FCA0-6171-46AD-9624-AA2F26645CB3}" name="Descripcion"/>
    <tableColumn id="13" xr3:uid="{4E143B22-C0A8-4848-BA06-3AAA2E1D57E4}" name="Fecha de pago" dataDxfId="120"/>
    <tableColumn id="14" xr3:uid="{D4B4F02E-05D4-45D8-ABAD-0B090067A9E7}" name="Responsable2"/>
    <tableColumn id="15" xr3:uid="{419AA4BB-5DA3-4D16-84DD-BFBECE9142E7}" name="BANCO"/>
    <tableColumn id="16" xr3:uid="{39A6FFDF-104B-4D43-8EA5-30E3FC30FCFB}" name="Observaciones"/>
    <tableColumn id="17" xr3:uid="{1B1BBB66-2FA8-4B76-8D55-D0D3CED5A130}" name="COMPROBADO EN LIST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C8FCFB4-2651-4E47-A684-8F88673B8FB3}" name="Tabla14689111217" displayName="Tabla14689111217" ref="B3:P8" totalsRowShown="0">
  <autoFilter ref="B3:P8" xr:uid="{FC8FCFB4-2651-4E47-A684-8F88673B8FB3}"/>
  <sortState xmlns:xlrd2="http://schemas.microsoft.com/office/spreadsheetml/2017/richdata2" ref="B4:N4">
    <sortCondition ref="G1:G2"/>
  </sortState>
  <tableColumns count="15">
    <tableColumn id="1" xr3:uid="{9061B034-132F-44DB-9904-96199D1B391B}" name="Fecha Proforma" dataDxfId="118"/>
    <tableColumn id="2" xr3:uid="{3A83184A-9315-4ACD-944E-F518393A784D}" name="Nº Proforma"/>
    <tableColumn id="3" xr3:uid="{34522224-08B1-45F9-8068-D74005C294DA}" name="Fecha Factura" dataDxfId="117"/>
    <tableColumn id="11" xr3:uid="{04850902-4FA8-4DF8-A6FF-1337C91D794D}" name="Nº Factura"/>
    <tableColumn id="9" xr3:uid="{4F4C1345-98DB-498C-AD6E-FF5D21D35A30}" name="Fecha Prep."/>
    <tableColumn id="10" xr3:uid="{7264589F-BEE0-47E8-BC0E-0531BB9D2A04}" name="Proveedor"/>
    <tableColumn id="4" xr3:uid="{B42CAA3A-B957-4743-B168-7CD1B37EC2E3}" name="Importe Total" dataDxfId="116" dataCellStyle="Moneda"/>
    <tableColumn id="18" xr3:uid="{0EC13067-EFD9-420D-8557-AD563A645514}" name="Forma Pago" dataDxfId="115" dataCellStyle="Moneda"/>
    <tableColumn id="14" xr3:uid="{0B364306-6E9A-4CBF-AA22-B1D07D8F5C3F}" name="Importe" dataDxfId="114" dataCellStyle="Moneda">
      <calculatedColumnFormula>_xlfn.IFS(Tabla14689111217[[#This Row],[Forma Pago]]="30PP70-60D",Tabla14689111217[[#This Row],[Importe Total]]*0.7,Tabla14689111217[[#This Row],[Forma Pago]]="50PP50-60D",Tabla14689111217[[#This Row],[Importe Total]]*0.5,Tabla14689111217[[#This Row],[Forma Pago]]="100PP",Tabla14689111217[[#This Row],[Importe Total]],Tabla14689111217[[#This Row],[Forma Pago]]="0D",Tabla14689111217[[#This Row],[Importe Total]],Tabla14689111217[[#This Row],[Forma Pago]]="60D",Tabla14689111217[[#This Row],[Importe Total]],Tabla14689111217[[#This Row],[Forma Pago]]="30D",Tabla14689111217[[#This Row],[Importe Total]],Tabla14689111217[[#This Row],[Forma Pago]]="DOMICILIADO",Tabla14689111217[[#This Row],[Importe Total]],Tabla14689111217[[#This Row],[Forma Pago]]="DOMICILIADO 30D",Tabla14689111217[[#This Row],[Importe Total]],Tabla14689111217[[#This Row],[Forma Pago]]="DOMICILIADO 60D",Tabla14689111217[[#This Row],[Importe Total]])</calculatedColumnFormula>
    </tableColumn>
    <tableColumn id="7" xr3:uid="{93085CC0-634A-4E40-B8F8-FE8D6713DAF8}" name="Fecha Vencimiento " dataDxfId="113" dataCellStyle="Moneda">
      <calculatedColumnFormula>_xlfn.IFS(Tabla14689111217[[#This Row],[Forma Pago]]="30PP70-60D",IF(Tabla14689111217[[#This Row],[Fecha Factura]]="","",Tabla14689111217[[#This Row],[Fecha Factura]]+60),Tabla14689111217[[#This Row],[Forma Pago]]="50PP50-60D",IF(Tabla14689111217[[#This Row],[Fecha Factura]]="","",Tabla14689111217[[#This Row],[Fecha Factura]]+60),Tabla14689111217[[#This Row],[Forma Pago]]="100PP",IF(Tabla14689111217[[#This Row],[Fecha Prep.]]="","",Tabla14689111217[[#This Row],[Fecha Prep.]]),Tabla14689111217[[#This Row],[Forma Pago]]="0D",IF(Tabla14689111217[[#This Row],[Fecha Factura]]="","",Tabla14689111217[[#This Row],[Fecha Factura]]),Tabla14689111217[[#This Row],[Forma Pago]]="60D",IF(Tabla14689111217[[#This Row],[Fecha Factura]]="","",Tabla14689111217[[#This Row],[Fecha Factura]]+60),Tabla14689111217[[#This Row],[Forma Pago]]="30D",IF(Tabla14689111217[[#This Row],[Fecha Factura]]="","",Tabla14689111217[[#This Row],[Fecha Factura]]+60),Tabla14689111217[[#This Row],[Forma Pago]]="DOMICILIADO","")</calculatedColumnFormula>
    </tableColumn>
    <tableColumn id="17" xr3:uid="{59C88721-E664-44B8-A8D9-60F0A5ECF537}" name="Estado"/>
    <tableColumn id="6" xr3:uid="{7D866B51-625C-4523-ADE4-80249ED8D4AF}" name="Descripcion"/>
    <tableColumn id="8" xr3:uid="{B4AD5AAA-5EE4-4770-85B9-A6F2631A3DA1}" name="FECHA DE PAGO" dataDxfId="112"/>
    <tableColumn id="12" xr3:uid="{06DF3FD6-3C2D-4385-A7B0-F7407EB94461}" name="Responsable" dataDxfId="111"/>
    <tableColumn id="5" xr3:uid="{DA1E5B15-ACB6-4D64-97D1-669BC43C6E8E}" name="Ob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65B9955-CA59-46A5-A716-BADBC75F3CF2}" name="Tabla1468911" displayName="Tabla1468911" ref="B2:P8" totalsRowShown="0">
  <autoFilter ref="B2:P8" xr:uid="{565B9955-CA59-46A5-A716-BADBC75F3CF2}"/>
  <sortState xmlns:xlrd2="http://schemas.microsoft.com/office/spreadsheetml/2017/richdata2" ref="B3:N3">
    <sortCondition ref="G1:G2"/>
  </sortState>
  <tableColumns count="15">
    <tableColumn id="1" xr3:uid="{3FB226E1-95EC-4E9D-966E-E35FEB5DDD15}" name="Fecha Proforma" dataDxfId="109"/>
    <tableColumn id="2" xr3:uid="{908682C2-F2B8-4A39-8DAB-3DCACE99BDF6}" name="Nº Proforma"/>
    <tableColumn id="3" xr3:uid="{DDAE403D-0495-4EF3-983B-F6E579BE0CA8}" name="Fecha Factura" dataDxfId="108"/>
    <tableColumn id="11" xr3:uid="{C27DC37E-DF2D-4FCB-AB31-ED3554199071}" name="Nº Factura"/>
    <tableColumn id="9" xr3:uid="{AA1D3CE0-587E-41B2-AEF7-5247B3F76037}" name="Fecha Prep."/>
    <tableColumn id="10" xr3:uid="{EEFAEEC4-AA22-443A-AE8F-E529FF202637}" name="Proveedor"/>
    <tableColumn id="4" xr3:uid="{F9BD9584-A608-46F5-928A-CF487CF4C7FD}" name="Importe Total" dataCellStyle="Moneda"/>
    <tableColumn id="18" xr3:uid="{35E826BA-781A-4EBE-9B6E-B244567016F6}" name="Forma Pago" dataDxfId="107" dataCellStyle="Moneda"/>
    <tableColumn id="14" xr3:uid="{499110C7-76C0-4D10-BC21-7B714D660765}" name="Importe" dataDxfId="106" dataCellStyle="Moneda">
      <calculatedColumnFormula>_xlfn.IFS(Tabla1468911[[#This Row],[Forma Pago]]="30PP70-60D",Tabla1468911[[#This Row],[Importe Total]]*0.7,Tabla1468911[[#This Row],[Forma Pago]]="50PP50-60D",Tabla1468911[[#This Row],[Importe Total]]*0.5,Tabla1468911[[#This Row],[Forma Pago]]="100PP",Tabla1468911[[#This Row],[Importe Total]],Tabla1468911[[#This Row],[Forma Pago]]="0D",Tabla1468911[[#This Row],[Importe Total]],Tabla1468911[[#This Row],[Forma Pago]]="60D",Tabla1468911[[#This Row],[Importe Total]],Tabla1468911[[#This Row],[Forma Pago]]="30D",Tabla1468911[[#This Row],[Importe Total]],Tabla1468911[[#This Row],[Forma Pago]]="DOMICILIADO",Tabla1468911[[#This Row],[Importe Total]],Tabla1468911[[#This Row],[Forma Pago]]="DOMICILIADO 30D",Tabla1468911[[#This Row],[Importe Total]],Tabla1468911[[#This Row],[Forma Pago]]="DOMICILIADO 60D",Tabla1468911[[#This Row],[Importe Total]])</calculatedColumnFormula>
    </tableColumn>
    <tableColumn id="7" xr3:uid="{C3845189-36F9-4940-AA7B-71B6358ACF58}" name="Fecha Vencimiento " dataDxfId="105" dataCellStyle="Moneda">
      <calculatedColumnFormula>_xlfn.IFS(Tabla1468911[[#This Row],[Forma Pago]]="30PP70-60D",IF(Tabla1468911[[#This Row],[Fecha Factura]]="","",Tabla1468911[[#This Row],[Fecha Factura]]+60),Tabla1468911[[#This Row],[Forma Pago]]="50PP50-60D",IF(Tabla1468911[[#This Row],[Fecha Factura]]="","",Tabla1468911[[#This Row],[Fecha Factura]]+60),Tabla1468911[[#This Row],[Forma Pago]]="100PP",IF(Tabla1468911[[#This Row],[Fecha Prep.]]="","",Tabla1468911[[#This Row],[Fecha Prep.]]),Tabla1468911[[#This Row],[Forma Pago]]="0D",IF(Tabla1468911[[#This Row],[Fecha Factura]]="","",Tabla1468911[[#This Row],[Fecha Factura]]),Tabla1468911[[#This Row],[Forma Pago]]="60D",IF(Tabla1468911[[#This Row],[Fecha Factura]]="","",Tabla1468911[[#This Row],[Fecha Factura]]+60),Tabla1468911[[#This Row],[Forma Pago]]="30D",IF(Tabla1468911[[#This Row],[Fecha Factura]]="","",Tabla1468911[[#This Row],[Fecha Factura]]+60),Tabla1468911[[#This Row],[Forma Pago]]="DOMICILIADO","")</calculatedColumnFormula>
    </tableColumn>
    <tableColumn id="17" xr3:uid="{B69FA3A3-5C5F-4B4C-875E-BB4914491F29}" name="Estado"/>
    <tableColumn id="6" xr3:uid="{E025B164-79E0-49DE-B456-D94C18BF1642}" name="Descripcion"/>
    <tableColumn id="8" xr3:uid="{20D9DAB1-9C0D-4A76-8264-FE1700C47091}" name="FECHA DE PAGO" dataDxfId="104"/>
    <tableColumn id="12" xr3:uid="{4190EB7B-483B-43D8-B57A-7273F0E06482}" name="Responsable" dataDxfId="103"/>
    <tableColumn id="5" xr3:uid="{66964065-451D-43CF-8D22-5A94880CEAC4}" name="Ob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B7C8CE8-BDB1-4CB0-ADFE-A15DC4E17ED0}" name="Tabla1468" displayName="Tabla1468" ref="B2:P25" totalsRowShown="0">
  <autoFilter ref="B2:P25" xr:uid="{7B7C8CE8-BDB1-4CB0-ADFE-A15DC4E17ED0}">
    <filterColumn colId="5">
      <filters>
        <filter val="REGUS"/>
      </filters>
    </filterColumn>
  </autoFilter>
  <sortState xmlns:xlrd2="http://schemas.microsoft.com/office/spreadsheetml/2017/richdata2" ref="B3:O3">
    <sortCondition ref="G1:G2"/>
  </sortState>
  <tableColumns count="15">
    <tableColumn id="1" xr3:uid="{C5F5782E-79D9-48C1-B963-41A126908A2D}" name="Fecha Proforma" dataDxfId="101"/>
    <tableColumn id="2" xr3:uid="{F79EE889-F1AC-41F8-B0F5-F3E6A1FDAEA3}" name="Nº Proforma"/>
    <tableColumn id="3" xr3:uid="{DFE7F4DD-AEBE-46B5-87E3-FE0DC2411499}" name="Fecha Factura" dataDxfId="100"/>
    <tableColumn id="11" xr3:uid="{595A3F49-7930-4F1A-9EE4-7FC1B139355E}" name="Nº Factura" dataDxfId="99"/>
    <tableColumn id="12" xr3:uid="{8D828641-49BC-4225-9B0C-17C9EC62D7AF}" name="Fecha Prep."/>
    <tableColumn id="10" xr3:uid="{0AAE36FA-FDE6-4A2C-A0DF-87536C5D37CD}" name="Proveedor"/>
    <tableColumn id="4" xr3:uid="{F4EFAF74-2DFE-431C-BD0F-B10F915C93E8}" name="Importe Total" dataCellStyle="Moneda"/>
    <tableColumn id="18" xr3:uid="{B61A9F8B-0C7E-48F3-9798-57F5C5ACA892}" name="Forma Pago" dataDxfId="98" dataCellStyle="Moneda"/>
    <tableColumn id="14" xr3:uid="{88BA3940-8221-416D-B7F9-8A209E1EF2F9}" name="Importe" dataDxfId="97" dataCellStyle="Moneda">
      <calculatedColumnFormula>_xlfn.IFS(Tabla1468[[#This Row],[Forma Pago]]="30PP70-60D",Tabla1468[[#This Row],[Importe Total]]*0.7,Tabla1468[[#This Row],[Forma Pago]]="50PP50-60D",Tabla1468[[#This Row],[Importe Total]]*0.5,Tabla1468[[#This Row],[Forma Pago]]="100PP",Tabla1468[[#This Row],[Importe Total]],Tabla1468[[#This Row],[Forma Pago]]="0D",Tabla1468[[#This Row],[Importe Total]],Tabla1468[[#This Row],[Forma Pago]]="60D",Tabla1468[[#This Row],[Importe Total]],Tabla1468[[#This Row],[Forma Pago]]="30D",Tabla1468[[#This Row],[Importe Total]],Tabla1468[[#This Row],[Forma Pago]]="DOMICILIADO",Tabla1468[[#This Row],[Importe Total]],Tabla1468[[#This Row],[Forma Pago]]="DOMICILIADO 30D",Tabla1468[[#This Row],[Importe Total]],Tabla1468[[#This Row],[Forma Pago]]="DOMICILIADO 60D",Tabla1468[[#This Row],[Importe Total]])</calculatedColumnFormula>
    </tableColumn>
    <tableColumn id="7" xr3:uid="{B638D9CD-E7B0-4C20-AB90-1A9965EE90DA}" name="Fecha Vencimiento " dataDxfId="96" dataCellStyle="Moneda">
      <calculatedColumnFormula>_xlfn.IFS(Tabla1468[[#This Row],[Forma Pago]]="30PP70-60D",IF(Tabla1468[[#This Row],[Fecha Factura]]="","",Tabla1468[[#This Row],[Fecha Factura]]+60),Tabla1468[[#This Row],[Forma Pago]]="50PP50-60D",IF(Tabla1468[[#This Row],[Fecha Factura]]="","",Tabla1468[[#This Row],[Fecha Factura]]+60),Tabla1468[[#This Row],[Forma Pago]]="100PP",IF(Tabla1468[[#This Row],[Fecha Prep.]]="","",Tabla1468[[#This Row],[Fecha Prep.]]),Tabla1468[[#This Row],[Forma Pago]]="0D",IF(Tabla1468[[#This Row],[Fecha Factura]]="","",Tabla1468[[#This Row],[Fecha Factura]]),Tabla1468[[#This Row],[Forma Pago]]="60D",IF(Tabla1468[[#This Row],[Fecha Factura]]="","",Tabla1468[[#This Row],[Fecha Factura]]+60),Tabla1468[[#This Row],[Forma Pago]]="30D",IF(Tabla1468[[#This Row],[Fecha Factura]]="","",Tabla1468[[#This Row],[Fecha Factura]]+60),Tabla1468[[#This Row],[Forma Pago]]="DOMICILIADO","")</calculatedColumnFormula>
    </tableColumn>
    <tableColumn id="17" xr3:uid="{7D3582B8-B6D9-4453-A283-AD46985AC1E6}" name="Estado"/>
    <tableColumn id="6" xr3:uid="{D4138668-AE43-43F1-B206-2C14FF2275D0}" name="Descripcion"/>
    <tableColumn id="9" xr3:uid="{B9272B82-709B-43AA-A630-CDE0D31F8157}" name="Fecha Pago"/>
    <tableColumn id="8" xr3:uid="{95BE8EAF-A033-4415-8971-156D583F7F7E}" name="Responsable"/>
    <tableColumn id="5" xr3:uid="{1084E937-AC1D-436E-B22B-2832CB56DC5D}" name="Banc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C377CB9-18BE-4996-BF90-C289A7AF3FAC}" name="Tabla146" displayName="Tabla146" ref="B2:P65" totalsRowShown="0">
  <autoFilter ref="B2:P65" xr:uid="{34CD4239-E850-4FB5-8CCE-7DBBD05FFCF8}"/>
  <tableColumns count="15">
    <tableColumn id="1" xr3:uid="{9DE987B5-4CBB-43EF-B2E9-B18A2E39D562}" name="Fecha Proforma" dataDxfId="93"/>
    <tableColumn id="2" xr3:uid="{4AE08783-8F10-4FA4-8B9F-E40D5D4982E7}" name="Nº Proforma"/>
    <tableColumn id="3" xr3:uid="{3ABBB063-0B04-406E-A40F-597E7864546B}" name="Fecha Factura" dataDxfId="92"/>
    <tableColumn id="11" xr3:uid="{0B53E7FF-C9AD-4C49-9BD9-671C7B34EFED}" name="Nº Factura" dataDxfId="91"/>
    <tableColumn id="12" xr3:uid="{A0114E1C-DBDC-4118-B635-5CC1DA14F3F2}" name="Fecha Prep." dataDxfId="90"/>
    <tableColumn id="10" xr3:uid="{7280A425-C255-4926-8520-609CE85EE27A}" name="Proveedor"/>
    <tableColumn id="4" xr3:uid="{151D2E93-09AC-4815-AC35-8B65F5BD232D}" name="Importe Total" dataCellStyle="Moneda"/>
    <tableColumn id="18" xr3:uid="{36C6691F-9E1E-4B21-8719-8EB88000D283}" name="Forma Pago" dataDxfId="89" dataCellStyle="Moneda"/>
    <tableColumn id="14" xr3:uid="{6BD35451-F65D-4E1F-BBAF-5A60E1977119}" name="Importe" dataDxfId="88" dataCellStyle="Moneda">
      <calculatedColumnFormula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calculatedColumnFormula>
    </tableColumn>
    <tableColumn id="7" xr3:uid="{4A2F55D0-4027-4E10-BB7A-EFABD1F76F44}" name="Fecha Vencimiento " dataDxfId="87" dataCellStyle="Moneda">
      <calculatedColumnFormula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calculatedColumnFormula>
    </tableColumn>
    <tableColumn id="17" xr3:uid="{10B34AE8-62D5-4B29-ACDB-1799F9E22AA5}" name="Estado"/>
    <tableColumn id="6" xr3:uid="{337851C8-21F9-4759-9899-B93AC8815633}" name="Descripcion"/>
    <tableColumn id="9" xr3:uid="{91464723-B59E-43B9-900C-527CB4DA8510}" name="Fecha Pago"/>
    <tableColumn id="8" xr3:uid="{990F31BB-4F51-48A7-8FD0-4C182CD3744E}" name="Responsable"/>
    <tableColumn id="5" xr3:uid="{FBDF2061-DB3B-4A8F-BE3F-78C3D247AA1F}" name="Banc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2464DC2-D7E8-4056-A842-6B880E8BD8DD}" name="Tabla14689" displayName="Tabla14689" ref="B2:P16" totalsRowShown="0">
  <autoFilter ref="B2:P16" xr:uid="{B2464DC2-D7E8-4056-A842-6B880E8BD8DD}"/>
  <sortState xmlns:xlrd2="http://schemas.microsoft.com/office/spreadsheetml/2017/richdata2" ref="B3:O3">
    <sortCondition ref="G1:G2"/>
  </sortState>
  <tableColumns count="15">
    <tableColumn id="1" xr3:uid="{E07B3A04-AF3C-438D-98E4-67A49BCFFD35}" name="Fecha Proforma" dataDxfId="83"/>
    <tableColumn id="2" xr3:uid="{4CA45DEA-3942-4F81-AAEB-6BBD993C53F5}" name="Nº Proforma"/>
    <tableColumn id="3" xr3:uid="{8D5A86F6-D218-4BC7-A8F3-23E55CC3F783}" name="Fecha Factura" dataDxfId="82"/>
    <tableColumn id="11" xr3:uid="{0DA2F315-49A0-4424-BDAE-4152FAF174EB}" name="Nº Factura"/>
    <tableColumn id="9" xr3:uid="{F3805A39-0731-466E-AFD2-EB2C76C48E80}" name="Fecha Prep."/>
    <tableColumn id="10" xr3:uid="{8D69F298-49B6-4CFC-80AD-B7E30532EA45}" name="Proveedor"/>
    <tableColumn id="4" xr3:uid="{F703637E-2679-4A1E-AC81-638B19FA585D}" name="Importe Total" dataCellStyle="Moneda"/>
    <tableColumn id="18" xr3:uid="{395B280B-1D7F-40F3-B305-EE1716E1722F}" name="Forma Pago" dataDxfId="81" dataCellStyle="Moneda"/>
    <tableColumn id="14" xr3:uid="{96E398D6-4149-4403-A53C-4BA9102ED715}" name="Importe" dataDxfId="80" dataCellStyle="Moneda">
      <calculatedColumnFormula>_xlfn.IFS(Tabla14689[[#This Row],[Forma Pago]]="30PP70-60D",Tabla14689[[#This Row],[Importe Total]]*0.7,Tabla14689[[#This Row],[Forma Pago]]="50PP50-60D",Tabla14689[[#This Row],[Importe Total]]*0.5,Tabla14689[[#This Row],[Forma Pago]]="100PP",Tabla14689[[#This Row],[Importe Total]],Tabla14689[[#This Row],[Forma Pago]]="0D",Tabla14689[[#This Row],[Importe Total]],Tabla14689[[#This Row],[Forma Pago]]="60D",Tabla14689[[#This Row],[Importe Total]],Tabla14689[[#This Row],[Forma Pago]]="30D",Tabla14689[[#This Row],[Importe Total]],Tabla14689[[#This Row],[Forma Pago]]="DOMICILIADO",Tabla14689[[#This Row],[Importe Total]],Tabla14689[[#This Row],[Forma Pago]]="DOMICILIADO 30D",Tabla14689[[#This Row],[Importe Total]],Tabla14689[[#This Row],[Forma Pago]]="DOMICILIADO 60D",Tabla14689[[#This Row],[Importe Total]])</calculatedColumnFormula>
    </tableColumn>
    <tableColumn id="7" xr3:uid="{8FA8E4E1-6F23-4CCE-8696-C617B70C8678}" name="Fecha Vencimiento " dataDxfId="79" dataCellStyle="Moneda">
      <calculatedColumnFormula>_xlfn.IFS(Tabla14689[[#This Row],[Forma Pago]]="30PP70-60D",IF(Tabla14689[[#This Row],[Fecha Factura]]="","",Tabla14689[[#This Row],[Fecha Factura]]+60),Tabla14689[[#This Row],[Forma Pago]]="50PP50-60D",IF(Tabla14689[[#This Row],[Fecha Factura]]="","",Tabla14689[[#This Row],[Fecha Factura]]+60),Tabla14689[[#This Row],[Forma Pago]]="100PP",IF(Tabla14689[[#This Row],[Fecha Prep.]]="","",Tabla14689[[#This Row],[Fecha Prep.]]),Tabla14689[[#This Row],[Forma Pago]]="0D",IF(Tabla14689[[#This Row],[Fecha Factura]]="","",Tabla14689[[#This Row],[Fecha Factura]]),Tabla14689[[#This Row],[Forma Pago]]="60D",IF(Tabla14689[[#This Row],[Fecha Factura]]="","",Tabla14689[[#This Row],[Fecha Factura]]+60),Tabla14689[[#This Row],[Forma Pago]]="30D",IF(Tabla14689[[#This Row],[Fecha Factura]]="","",Tabla14689[[#This Row],[Fecha Factura]]+60),Tabla14689[[#This Row],[Forma Pago]]="DOMICILIADO","")</calculatedColumnFormula>
    </tableColumn>
    <tableColumn id="17" xr3:uid="{7E40581E-7DF3-4D98-8362-4CA246898FB4}" name="Estado"/>
    <tableColumn id="6" xr3:uid="{8A358308-6D94-4B5C-9D9B-AD039558B299}" name="Descripcion"/>
    <tableColumn id="12" xr3:uid="{04821BB2-7E68-4943-8933-7F331A3B3C2A}" name="Fecha de pago"/>
    <tableColumn id="8" xr3:uid="{3D0FDE27-C82C-422A-BF2A-C1B791B443FD}" name="Aprobador"/>
    <tableColumn id="5" xr3:uid="{FFAE6A2B-9873-41E7-B3CE-2D741D7F3A26}" name="Ob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ECAEE0F-10E1-4734-8A00-A432F224C5B4}" name="Tabla147" displayName="Tabla147" ref="B2:P13" totalsRowShown="0">
  <autoFilter ref="B2:P13" xr:uid="{FECAEE0F-10E1-4734-8A00-A432F224C5B4}"/>
  <sortState xmlns:xlrd2="http://schemas.microsoft.com/office/spreadsheetml/2017/richdata2" ref="B3:O3">
    <sortCondition ref="G1:G2"/>
  </sortState>
  <tableColumns count="15">
    <tableColumn id="1" xr3:uid="{DD2FF71E-0787-429A-85F9-2BB6D4E68A8F}" name="Fecha Proforma" dataDxfId="77"/>
    <tableColumn id="2" xr3:uid="{8F5E3DEB-FD7B-4220-BE47-12E28E367C93}" name="Nº Proforma"/>
    <tableColumn id="3" xr3:uid="{9E209645-D5D5-4C3F-905E-92C51A05F4F2}" name="Fecha Factura" dataDxfId="76"/>
    <tableColumn id="11" xr3:uid="{62E49872-968B-4ADA-9BBC-ADF994A5766E}" name="Nº Factura"/>
    <tableColumn id="9" xr3:uid="{9202C9F8-E531-4603-9F79-70B8BDA338AA}" name="Fecha Prep."/>
    <tableColumn id="10" xr3:uid="{BB1E7714-E6CC-448D-A1F8-9EE735293FF9}" name="Proveedor"/>
    <tableColumn id="4" xr3:uid="{0DE8503B-EC7E-4757-AAAE-1BEDE27C77E5}" name="Importe Total" dataCellStyle="Moneda"/>
    <tableColumn id="18" xr3:uid="{9E8A7E0C-72C2-4511-96C8-ADE0B3BB49B4}" name="Forma Pago" dataDxfId="75" dataCellStyle="Moneda"/>
    <tableColumn id="14" xr3:uid="{8EE221AB-E927-4BF1-BF61-1C994E9B89A8}" name="Importe" dataDxfId="74" dataCellStyle="Moneda">
      <calculatedColumnFormula>_xlfn.IFS(Tabla147[[#This Row],[Forma Pago]]="30PP70-60D",Tabla147[[#This Row],[Importe Total]]*0.7,Tabla147[[#This Row],[Forma Pago]]="50PP50-60D",Tabla147[[#This Row],[Importe Total]]*0.5,Tabla147[[#This Row],[Forma Pago]]="100PP",Tabla147[[#This Row],[Importe Total]],Tabla147[[#This Row],[Forma Pago]]="0D",Tabla147[[#This Row],[Importe Total]],Tabla147[[#This Row],[Forma Pago]]="60D",Tabla147[[#This Row],[Importe Total]],Tabla147[[#This Row],[Forma Pago]]="30D",Tabla147[[#This Row],[Importe Total]],Tabla147[[#This Row],[Forma Pago]]="DOMICILIADO",Tabla147[[#This Row],[Importe Total]],Tabla147[[#This Row],[Forma Pago]]="DOMICILIADO 30D",Tabla147[[#This Row],[Importe Total]],Tabla147[[#This Row],[Forma Pago]]="DOMICILIADO 60D",Tabla147[[#This Row],[Importe Total]])</calculatedColumnFormula>
    </tableColumn>
    <tableColumn id="7" xr3:uid="{983BB591-9B20-4A80-8A93-881327EAB487}" name="Fecha Vencimiento " dataDxfId="73" dataCellStyle="Moneda">
      <calculatedColumnFormula>_xlfn.IFS(Tabla147[[#This Row],[Forma Pago]]="30PP70-60D",IF(Tabla147[[#This Row],[Fecha Factura]]="","",Tabla147[[#This Row],[Fecha Factura]]+60),Tabla147[[#This Row],[Forma Pago]]="50PP50-60D",IF(Tabla147[[#This Row],[Fecha Factura]]="","",Tabla147[[#This Row],[Fecha Factura]]+60),Tabla147[[#This Row],[Forma Pago]]="100PP",IF(Tabla147[[#This Row],[Fecha Prep.]]="","",Tabla147[[#This Row],[Fecha Prep.]]),Tabla147[[#This Row],[Forma Pago]]="0D",IF(Tabla147[[#This Row],[Fecha Factura]]="","",Tabla147[[#This Row],[Fecha Factura]]),Tabla147[[#This Row],[Forma Pago]]="60D",IF(Tabla147[[#This Row],[Fecha Factura]]="","",Tabla147[[#This Row],[Fecha Factura]]+60),Tabla147[[#This Row],[Forma Pago]]="30D",IF(Tabla147[[#This Row],[Fecha Factura]]="","",Tabla147[[#This Row],[Fecha Factura]]+60),Tabla147[[#This Row],[Forma Pago]]="DOMICILIADO","")</calculatedColumnFormula>
    </tableColumn>
    <tableColumn id="17" xr3:uid="{E07BB68D-5A50-49DD-9CA2-A56946F4E831}" name="Estado"/>
    <tableColumn id="6" xr3:uid="{33402B34-985D-4FB2-B46F-219D17162676}" name="Descripcion"/>
    <tableColumn id="12" xr3:uid="{626495AD-8AC9-43B8-AF9A-B90AD609C7DA}" name="Fecha de pago"/>
    <tableColumn id="8" xr3:uid="{D35DF935-5926-41A2-A967-05202733C88B}" name="Aprobador"/>
    <tableColumn id="5" xr3:uid="{748B0ADD-61A8-4261-8751-8B5B0F40C7D7}" name="Ob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ABFCD4E-2B14-4582-9ADA-BCAC0938F902}" name="Tabla146810" displayName="Tabla146810" ref="B2:P21" totalsRowShown="0">
  <autoFilter ref="B2:P21" xr:uid="{7B7C8CE8-BDB1-4CB0-ADFE-A15DC4E17ED0}"/>
  <sortState xmlns:xlrd2="http://schemas.microsoft.com/office/spreadsheetml/2017/richdata2" ref="B3:O3">
    <sortCondition ref="G1:G2"/>
  </sortState>
  <tableColumns count="15">
    <tableColumn id="1" xr3:uid="{B151032A-228F-46D5-BB96-0C2F1DCA6929}" name="Fecha Proforma" dataDxfId="71"/>
    <tableColumn id="2" xr3:uid="{94368EF7-36FD-456B-A17A-73E47CD6FD9E}" name="Nº Proforma"/>
    <tableColumn id="3" xr3:uid="{26215125-3A2A-4DBB-AF4C-E67CFB8640A9}" name="Fecha Factura" dataDxfId="70"/>
    <tableColumn id="11" xr3:uid="{070A346F-E671-49EE-8AF4-6BF7DE49D66D}" name="Nº Factura"/>
    <tableColumn id="12" xr3:uid="{EF7DC49A-3954-4A34-9145-25EBE406DEE1}" name="Fecha Prep." dataDxfId="69"/>
    <tableColumn id="10" xr3:uid="{78BE3703-ADDB-4415-9A9B-DA8959F06EEE}" name="Proveedor"/>
    <tableColumn id="4" xr3:uid="{D0279283-BD49-4B9E-8144-EEC3C1B7EA1C}" name="Importe Total" dataCellStyle="Moneda"/>
    <tableColumn id="18" xr3:uid="{1D345478-033C-443E-A51C-3E5F21DAE683}" name="Forma Pago" dataDxfId="68" dataCellStyle="Moneda"/>
    <tableColumn id="14" xr3:uid="{4D282EB6-CFC1-465D-BC30-E533B2231CE8}" name="Importe" dataDxfId="67" dataCellStyle="Moneda">
      <calculatedColumnFormula>_xlfn.IFS(Tabla146810[[#This Row],[Forma Pago]]="30PP70-60D",Tabla146810[[#This Row],[Importe Total]]*0.7,Tabla146810[[#This Row],[Forma Pago]]="50PP50-60D",Tabla146810[[#This Row],[Importe Total]]*0.5,Tabla146810[[#This Row],[Forma Pago]]="100PP",Tabla146810[[#This Row],[Importe Total]],Tabla146810[[#This Row],[Forma Pago]]="0D",Tabla146810[[#This Row],[Importe Total]],Tabla146810[[#This Row],[Forma Pago]]="60D",Tabla146810[[#This Row],[Importe Total]],Tabla146810[[#This Row],[Forma Pago]]="30D",Tabla146810[[#This Row],[Importe Total]],Tabla146810[[#This Row],[Forma Pago]]="DOMICILIADO",Tabla146810[[#This Row],[Importe Total]],Tabla146810[[#This Row],[Forma Pago]]="DOMICILIADO 30D",Tabla146810[[#This Row],[Importe Total]],Tabla146810[[#This Row],[Forma Pago]]="DOMICILIADO 60D",Tabla146810[[#This Row],[Importe Total]])</calculatedColumnFormula>
    </tableColumn>
    <tableColumn id="7" xr3:uid="{C2DC7366-0764-4B63-8E79-5EC794ACA881}" name="Fecha Vencimiento " dataDxfId="66" dataCellStyle="Moneda">
      <calculatedColumnFormula>_xlfn.IFS(Tabla146810[[#This Row],[Forma Pago]]="30PP70-60D",IF(Tabla146810[[#This Row],[Fecha Factura]]="","",Tabla146810[[#This Row],[Fecha Factura]]+60),Tabla146810[[#This Row],[Forma Pago]]="50PP50-60D",IF(Tabla146810[[#This Row],[Fecha Factura]]="","",Tabla146810[[#This Row],[Fecha Factura]]+60),Tabla146810[[#This Row],[Forma Pago]]="100PP",IF(Tabla146810[[#This Row],[Fecha Prep.]]="","",Tabla146810[[#This Row],[Fecha Prep.]]),Tabla146810[[#This Row],[Forma Pago]]="0D",IF(Tabla146810[[#This Row],[Fecha Factura]]="","",Tabla146810[[#This Row],[Fecha Factura]]),Tabla146810[[#This Row],[Forma Pago]]="60D",IF(Tabla146810[[#This Row],[Fecha Factura]]="","",Tabla146810[[#This Row],[Fecha Factura]]+60),Tabla146810[[#This Row],[Forma Pago]]="30D",IF(Tabla146810[[#This Row],[Fecha Factura]]="","",Tabla146810[[#This Row],[Fecha Factura]]+60),Tabla146810[[#This Row],[Forma Pago]]="DOMICILIADO","")</calculatedColumnFormula>
    </tableColumn>
    <tableColumn id="17" xr3:uid="{C416B584-BE0D-4494-8CEB-7BD1AEFBA01F}" name="Estado"/>
    <tableColumn id="6" xr3:uid="{86F089B2-70FA-4D77-9943-A9CB9C92A981}" name="Descripcion"/>
    <tableColumn id="9" xr3:uid="{F332905C-D39D-401B-A518-BF5F77F7548C}" name="Fecha DE PAGO"/>
    <tableColumn id="8" xr3:uid="{D488F3E9-F3DD-483A-AE14-57E0244DF9A3}" name="Responsable"/>
    <tableColumn id="5" xr3:uid="{6FA7BB31-8FF0-40B9-9638-346B98132A44}" name="Banc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ECCD45C-D62B-4BB5-B297-8BEDA3B50851}" name="Tabla19" displayName="Tabla19" ref="B2:R9" totalsRowShown="0" headerRowDxfId="61" dataDxfId="60">
  <autoFilter ref="B2:R9" xr:uid="{5ECCD45C-D62B-4BB5-B297-8BEDA3B50851}"/>
  <tableColumns count="17">
    <tableColumn id="1" xr3:uid="{0DC5D7DD-6690-4D64-854F-3AACA37DACDD}" name="Fecha Proforma" dataDxfId="59"/>
    <tableColumn id="2" xr3:uid="{66286CC0-5CD0-4038-9A2D-A25D1FD42AC9}" name="Nº Proforma"/>
    <tableColumn id="3" xr3:uid="{43A9A451-30B0-45B5-A31E-2C5EF539F98B}" name="Fecha Factura"/>
    <tableColumn id="4" xr3:uid="{62079D1A-4971-44B2-B2A1-E0F6C4078A6C}" name="Nº Factura" dataDxfId="58"/>
    <tableColumn id="5" xr3:uid="{822E2BAA-5E5B-43BE-837E-224C65B6793B}" name="Fecha Prep."/>
    <tableColumn id="6" xr3:uid="{750B8C6D-490F-4B2B-9234-E025693896E8}" name="Proveedor" dataDxfId="57"/>
    <tableColumn id="7" xr3:uid="{BB9E29E3-590D-4467-A465-1BD688BB132F}" name="Importe Total" dataDxfId="56"/>
    <tableColumn id="8" xr3:uid="{41DE52FB-C101-42D8-930E-A509A424740F}" name="Forma Pago" dataDxfId="55"/>
    <tableColumn id="9" xr3:uid="{E7F6080F-5E91-4554-8D97-4CA6674EA874}" name="Importe" dataDxfId="54"/>
    <tableColumn id="10" xr3:uid="{4C3D0942-F497-4A47-9D8B-B768E91F3DDA}" name="Fecha Vencimiento " dataDxfId="53"/>
    <tableColumn id="11" xr3:uid="{6EF7B12B-A9CD-4323-8C36-04C5292799E3}" name="Estado"/>
    <tableColumn id="12" xr3:uid="{0ED4FB7F-E5C5-4578-AFAA-345FE801A7C8}" name="Descripcion" dataDxfId="52"/>
    <tableColumn id="13" xr3:uid="{1BEFC114-EC51-4DC1-8BB5-A5FB931D1AE3}" name="Fecha de pago" dataDxfId="51"/>
    <tableColumn id="14" xr3:uid="{D00A821E-F352-4295-BF8B-994557687FB4}" name="Responsable2" dataDxfId="50"/>
    <tableColumn id="15" xr3:uid="{F7EF79C0-483A-4F30-80E5-268B54ADE839}" name="BANCO"/>
    <tableColumn id="16" xr3:uid="{F41376BE-CA37-4CE7-A595-33D923FAE953}" name="Observaciones" dataDxfId="49"/>
    <tableColumn id="17" xr3:uid="{43AC9AE2-787C-4952-A978-C2D524F4EA58}" name="COMPROBADO EN LISTADO" dataDxfId="48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68DF3D3-FE44-48D3-BB7F-7B65B954C819}" name="Tabla146891113" displayName="Tabla146891113" ref="B2:P3" totalsRowShown="0" dataDxfId="46">
  <autoFilter ref="B2:P3" xr:uid="{168DF3D3-FE44-48D3-BB7F-7B65B954C819}"/>
  <sortState xmlns:xlrd2="http://schemas.microsoft.com/office/spreadsheetml/2017/richdata2" ref="B3:N3">
    <sortCondition ref="G1:G2"/>
  </sortState>
  <tableColumns count="15">
    <tableColumn id="1" xr3:uid="{C8B6EE45-892C-4207-BCEA-60A263C74F0F}" name="Fecha Proforma" dataDxfId="45"/>
    <tableColumn id="2" xr3:uid="{1BD47030-C331-4FD1-9350-B22DCB0E63A2}" name="Nº Proforma" dataDxfId="44"/>
    <tableColumn id="3" xr3:uid="{4A1E259A-FBC4-4A9E-9D73-4ECC9BD626AA}" name="Fecha Factura" dataDxfId="43"/>
    <tableColumn id="11" xr3:uid="{ED23A2BE-8FD3-4EB6-9E26-E889DB6E454B}" name="Nº Factura" dataDxfId="42"/>
    <tableColumn id="9" xr3:uid="{919DA142-6526-4491-9D8F-14A2E9E7491B}" name="Fecha Prep." dataDxfId="41"/>
    <tableColumn id="10" xr3:uid="{1C39F26B-F370-4874-853D-41527C446544}" name="Proveedor" dataDxfId="40"/>
    <tableColumn id="4" xr3:uid="{E843D81F-1367-423E-B158-7CFEDC2EC21E}" name="Importe Total" dataDxfId="39" dataCellStyle="Moneda"/>
    <tableColumn id="18" xr3:uid="{E8CE250E-EA8A-4875-8A3F-45D3E6AD67B3}" name="Forma Pago" dataDxfId="38" dataCellStyle="Moneda"/>
    <tableColumn id="14" xr3:uid="{AA8671BB-E607-4B8F-8DA5-023EF8D3DFBF}" name="Importe" dataDxfId="37" dataCellStyle="Moneda">
      <calculatedColumnFormula>_xlfn.IFS(Tabla146891113[[#This Row],[Forma Pago]]="30PP70-60D",Tabla146891113[[#This Row],[Importe Total]]*0.7,Tabla146891113[[#This Row],[Forma Pago]]="50PP50-60D",Tabla146891113[[#This Row],[Importe Total]]*0.5,Tabla146891113[[#This Row],[Forma Pago]]="100PP",Tabla146891113[[#This Row],[Importe Total]],Tabla146891113[[#This Row],[Forma Pago]]="0D",Tabla146891113[[#This Row],[Importe Total]],Tabla146891113[[#This Row],[Forma Pago]]="60D",Tabla146891113[[#This Row],[Importe Total]],Tabla146891113[[#This Row],[Forma Pago]]="30D",Tabla146891113[[#This Row],[Importe Total]],Tabla146891113[[#This Row],[Forma Pago]]="DOMICILIADO",Tabla146891113[[#This Row],[Importe Total]],Tabla146891113[[#This Row],[Forma Pago]]="DOMICILIADO 30D",Tabla146891113[[#This Row],[Importe Total]],Tabla146891113[[#This Row],[Forma Pago]]="DOMICILIADO 60D",Tabla146891113[[#This Row],[Importe Total]])</calculatedColumnFormula>
    </tableColumn>
    <tableColumn id="7" xr3:uid="{C20506E6-1D5D-444D-A72E-9333CD07BFDC}" name="Fecha Vencimiento " dataDxfId="36" dataCellStyle="Moneda">
      <calculatedColumnFormula>_xlfn.IFS(Tabla146891113[[#This Row],[Forma Pago]]="30PP70-60D",IF(Tabla146891113[[#This Row],[Fecha Factura]]="","",Tabla146891113[[#This Row],[Fecha Factura]]+60),Tabla146891113[[#This Row],[Forma Pago]]="50PP50-60D",IF(Tabla146891113[[#This Row],[Fecha Factura]]="","",Tabla146891113[[#This Row],[Fecha Factura]]+60),Tabla146891113[[#This Row],[Forma Pago]]="100PP",IF(Tabla146891113[[#This Row],[Fecha Prep.]]="","",Tabla146891113[[#This Row],[Fecha Prep.]]),Tabla146891113[[#This Row],[Forma Pago]]="0D",IF(Tabla146891113[[#This Row],[Fecha Factura]]="","",Tabla146891113[[#This Row],[Fecha Factura]]),Tabla146891113[[#This Row],[Forma Pago]]="60D",IF(Tabla146891113[[#This Row],[Fecha Factura]]="","",Tabla146891113[[#This Row],[Fecha Factura]]+60),Tabla146891113[[#This Row],[Forma Pago]]="30D",IF(Tabla146891113[[#This Row],[Fecha Factura]]="","",Tabla146891113[[#This Row],[Fecha Factura]]+60),Tabla146891113[[#This Row],[Forma Pago]]="DOMICILIADO","")</calculatedColumnFormula>
    </tableColumn>
    <tableColumn id="17" xr3:uid="{D2C579D7-E5FC-4FBC-8DF6-E6FD30582204}" name="Estado" dataDxfId="35"/>
    <tableColumn id="6" xr3:uid="{3A54F1EE-6FFF-4B92-8D0B-449AF83CD102}" name="Descripcion" dataDxfId="34"/>
    <tableColumn id="8" xr3:uid="{E5F34738-B388-4460-9C39-FEA452DC6A0B}" name="FECHA DE PAGO" dataDxfId="33"/>
    <tableColumn id="5" xr3:uid="{33A047EC-CF5A-48F7-894E-3DABF3701899}" name="Responsable" dataDxfId="32"/>
    <tableColumn id="12" xr3:uid="{8C662A8F-FDCF-49BB-930E-2D9522024E91}" name="Obs" dataDxfId="3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E75474A-46EA-419B-9B1E-284F4BE817CA}" name="Tabla146891112" displayName="Tabla146891112" ref="B2:P9" totalsRowShown="0">
  <autoFilter ref="B2:P9" xr:uid="{565B9955-CA59-46A5-A716-BADBC75F3CF2}"/>
  <sortState xmlns:xlrd2="http://schemas.microsoft.com/office/spreadsheetml/2017/richdata2" ref="B3:N3">
    <sortCondition ref="G1:G2"/>
  </sortState>
  <tableColumns count="15">
    <tableColumn id="1" xr3:uid="{740A5BCA-97FE-4585-98EE-D332DBB711D8}" name="Fecha Proforma" dataDxfId="29"/>
    <tableColumn id="2" xr3:uid="{30074E29-5665-44AC-9A30-D66DD6C86A8D}" name="Nº Proforma"/>
    <tableColumn id="3" xr3:uid="{1EA4CFB8-6B63-4A92-8F0E-00149F8977CA}" name="Fecha Factura" dataDxfId="28"/>
    <tableColumn id="11" xr3:uid="{E80FA738-D6E5-4D99-AB52-0E698270B405}" name="Nº Factura"/>
    <tableColumn id="9" xr3:uid="{B403948E-6191-4C07-8B47-85BD9DD0DCE5}" name="Fecha Prep."/>
    <tableColumn id="10" xr3:uid="{2C0EB04A-6E1C-459C-B008-730D6B1D529E}" name="Proveedor"/>
    <tableColumn id="4" xr3:uid="{CB4C6260-CFFC-4EDA-8F2A-04F14E89D82A}" name="Importe Total" dataCellStyle="Moneda"/>
    <tableColumn id="18" xr3:uid="{05E8FFDC-FCB8-4110-AB7D-5C863CAC441E}" name="Forma Pago" dataDxfId="27" dataCellStyle="Moneda"/>
    <tableColumn id="14" xr3:uid="{97447965-F56D-4C79-B96B-282520FDA48D}" name="Importe" dataDxfId="26" dataCellStyle="Moneda">
      <calculatedColumnFormula>_xlfn.IFS(Tabla146891112[[#This Row],[Forma Pago]]="30PP70-60D",Tabla146891112[[#This Row],[Importe Total]]*0.7,Tabla146891112[[#This Row],[Forma Pago]]="50PP50-60D",Tabla146891112[[#This Row],[Importe Total]]*0.5,Tabla146891112[[#This Row],[Forma Pago]]="100PP",Tabla146891112[[#This Row],[Importe Total]],Tabla146891112[[#This Row],[Forma Pago]]="0D",Tabla146891112[[#This Row],[Importe Total]],Tabla146891112[[#This Row],[Forma Pago]]="60D",Tabla146891112[[#This Row],[Importe Total]],Tabla146891112[[#This Row],[Forma Pago]]="30D",Tabla146891112[[#This Row],[Importe Total]],Tabla146891112[[#This Row],[Forma Pago]]="DOMICILIADO",Tabla146891112[[#This Row],[Importe Total]],Tabla146891112[[#This Row],[Forma Pago]]="DOMICILIADO 30D",Tabla146891112[[#This Row],[Importe Total]],Tabla146891112[[#This Row],[Forma Pago]]="DOMICILIADO 60D",Tabla146891112[[#This Row],[Importe Total]])</calculatedColumnFormula>
    </tableColumn>
    <tableColumn id="7" xr3:uid="{E0DCD4A3-61F1-49E2-ACAD-1EC255BC2433}" name="Fecha Vencimiento " dataDxfId="25" dataCellStyle="Moneda">
      <calculatedColumnFormula>_xlfn.IFS(Tabla146891112[[#This Row],[Forma Pago]]="30PP70-60D",IF(Tabla146891112[[#This Row],[Fecha Factura]]="","",Tabla146891112[[#This Row],[Fecha Factura]]+60),Tabla146891112[[#This Row],[Forma Pago]]="50PP50-60D",IF(Tabla146891112[[#This Row],[Fecha Factura]]="","",Tabla146891112[[#This Row],[Fecha Factura]]+60),Tabla146891112[[#This Row],[Forma Pago]]="100PP",IF(Tabla146891112[[#This Row],[Fecha Prep.]]="","",Tabla146891112[[#This Row],[Fecha Prep.]]),Tabla146891112[[#This Row],[Forma Pago]]="0D",IF(Tabla146891112[[#This Row],[Fecha Factura]]="","",Tabla146891112[[#This Row],[Fecha Factura]]),Tabla146891112[[#This Row],[Forma Pago]]="60D",IF(Tabla146891112[[#This Row],[Fecha Factura]]="","",Tabla146891112[[#This Row],[Fecha Factura]]+60),Tabla146891112[[#This Row],[Forma Pago]]="30D",IF(Tabla146891112[[#This Row],[Fecha Factura]]="","",Tabla146891112[[#This Row],[Fecha Factura]]+60),Tabla146891112[[#This Row],[Forma Pago]]="DOMICILIADO","")</calculatedColumnFormula>
    </tableColumn>
    <tableColumn id="17" xr3:uid="{327BC2FC-ECD2-4EBA-86F6-6127A713CD39}" name="Estado"/>
    <tableColumn id="6" xr3:uid="{13D9A813-B340-4055-81A7-79169F65FD02}" name="Descripcion"/>
    <tableColumn id="8" xr3:uid="{1760728F-0895-447F-BA79-C3DE257AE32C}" name="FECHA DE PAGO" dataDxfId="24"/>
    <tableColumn id="12" xr3:uid="{CB6E98C3-F3C2-4ECD-885C-C1ABA5FC9E08}" name="Responsable" dataDxfId="23"/>
    <tableColumn id="5" xr3:uid="{807E50CC-6F9D-453E-85AF-23F1155BAAB8}" name="Ob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B280650-28EA-4CE5-81BF-0A253E90A5A4}" name="Tabla14689111314" displayName="Tabla14689111314" ref="B2:P5" totalsRowShown="0">
  <autoFilter ref="B2:P5" xr:uid="{5B280650-28EA-4CE5-81BF-0A253E90A5A4}"/>
  <sortState xmlns:xlrd2="http://schemas.microsoft.com/office/spreadsheetml/2017/richdata2" ref="B3:O3">
    <sortCondition ref="G1:G2"/>
  </sortState>
  <tableColumns count="15">
    <tableColumn id="1" xr3:uid="{F63EA64C-F621-4DA6-9040-F7ECC23832A6}" name="Fecha Proforma" dataDxfId="21"/>
    <tableColumn id="2" xr3:uid="{A26C6E80-91AE-46CD-A0FB-03E0BA27805D}" name="Nº Proforma"/>
    <tableColumn id="3" xr3:uid="{30E87088-775A-40CB-AE3D-3EA4031CAB22}" name="Fecha Factura" dataDxfId="20"/>
    <tableColumn id="11" xr3:uid="{8657D00D-A7FA-434D-BDD2-7E6EF8E155E7}" name="Nº Factura"/>
    <tableColumn id="9" xr3:uid="{88FA4E50-4CAE-46B8-983D-B60E5F7369A5}" name="Fecha Prep."/>
    <tableColumn id="10" xr3:uid="{F7180BB5-7897-4856-B588-AC521DE7881E}" name="Proveedor"/>
    <tableColumn id="4" xr3:uid="{5311D4AF-8CD4-4EC0-8EDA-690B9E6EA15E}" name="Importe Total" dataCellStyle="Moneda"/>
    <tableColumn id="18" xr3:uid="{E03BEE97-8197-4CD3-A124-BBD8ADE804C8}" name="Forma Pago" dataDxfId="19" dataCellStyle="Moneda"/>
    <tableColumn id="14" xr3:uid="{9B2B680F-C925-4239-A5E4-9D7BFF492B0E}" name="Importe" dataDxfId="18" dataCellStyle="Moneda">
      <calculatedColumnFormula>_xlfn.IFS(Tabla14689111314[[#This Row],[Forma Pago]]="30PP70-60D",Tabla14689111314[[#This Row],[Importe Total]]*0.7,Tabla14689111314[[#This Row],[Forma Pago]]="50PP50-60D",Tabla14689111314[[#This Row],[Importe Total]]*0.5,Tabla14689111314[[#This Row],[Forma Pago]]="100PP",Tabla14689111314[[#This Row],[Importe Total]],Tabla14689111314[[#This Row],[Forma Pago]]="0D",Tabla14689111314[[#This Row],[Importe Total]],Tabla14689111314[[#This Row],[Forma Pago]]="60D",Tabla14689111314[[#This Row],[Importe Total]],Tabla14689111314[[#This Row],[Forma Pago]]="30D",Tabla14689111314[[#This Row],[Importe Total]],Tabla14689111314[[#This Row],[Forma Pago]]="DOMICILIADO",Tabla14689111314[[#This Row],[Importe Total]],Tabla14689111314[[#This Row],[Forma Pago]]="DOMICILIADO 30D",Tabla14689111314[[#This Row],[Importe Total]],Tabla14689111314[[#This Row],[Forma Pago]]="DOMICILIADO 60D",Tabla14689111314[[#This Row],[Importe Total]])</calculatedColumnFormula>
    </tableColumn>
    <tableColumn id="7" xr3:uid="{2A4F615D-2B94-47EE-9D46-CBB480E23FF8}" name="Fecha Vencimiento " dataDxfId="17" dataCellStyle="Moneda">
      <calculatedColumnFormula>_xlfn.IFS(Tabla14689111314[[#This Row],[Forma Pago]]="30PP70-60D",IF(Tabla14689111314[[#This Row],[Fecha Factura]]="","",Tabla14689111314[[#This Row],[Fecha Factura]]+60),Tabla14689111314[[#This Row],[Forma Pago]]="50PP50-60D",IF(Tabla14689111314[[#This Row],[Fecha Factura]]="","",Tabla14689111314[[#This Row],[Fecha Factura]]+60),Tabla14689111314[[#This Row],[Forma Pago]]="100PP",IF(Tabla14689111314[[#This Row],[Fecha Prep.]]="","",Tabla14689111314[[#This Row],[Fecha Prep.]]),Tabla14689111314[[#This Row],[Forma Pago]]="0D",IF(Tabla14689111314[[#This Row],[Fecha Factura]]="","",Tabla14689111314[[#This Row],[Fecha Factura]]),Tabla14689111314[[#This Row],[Forma Pago]]="60D",IF(Tabla14689111314[[#This Row],[Fecha Factura]]="","",Tabla14689111314[[#This Row],[Fecha Factura]]+60),Tabla14689111314[[#This Row],[Forma Pago]]="30D",IF(Tabla14689111314[[#This Row],[Fecha Factura]]="","",Tabla14689111314[[#This Row],[Fecha Factura]]+60),Tabla14689111314[[#This Row],[Forma Pago]]="DOMICILIADO","")</calculatedColumnFormula>
    </tableColumn>
    <tableColumn id="17" xr3:uid="{EE29218B-B206-41B4-9A0C-D7CF6ADB2FBC}" name="Estado"/>
    <tableColumn id="6" xr3:uid="{CAD25EC9-B441-42DC-BE6A-F8CA4649F794}" name="Descripcion"/>
    <tableColumn id="12" xr3:uid="{888C2FB0-5AD3-4323-BC77-453BF57624AE}" name="Fecha de pago" dataDxfId="16"/>
    <tableColumn id="8" xr3:uid="{672642C6-9F18-45E0-A27B-F0720F240284}" name="Aprobador"/>
    <tableColumn id="5" xr3:uid="{88D79097-091E-40C6-B16E-613C217FC876}" name="Ob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F3946A6-1515-424C-A0ED-F2FAD647802B}" name="Tabla14689111215" displayName="Tabla14689111215" ref="B2:P4" totalsRowShown="0">
  <autoFilter ref="B2:P4" xr:uid="{565B9955-CA59-46A5-A716-BADBC75F3CF2}"/>
  <sortState xmlns:xlrd2="http://schemas.microsoft.com/office/spreadsheetml/2017/richdata2" ref="B3:N3">
    <sortCondition ref="G1:G2"/>
  </sortState>
  <tableColumns count="15">
    <tableColumn id="1" xr3:uid="{268CC520-8276-4E7A-8DBF-89168AF50360}" name="Fecha Proforma" dataDxfId="14"/>
    <tableColumn id="2" xr3:uid="{B8907A8B-A9F0-42B0-ABC1-912E37C54B2A}" name="Nº Proforma"/>
    <tableColumn id="3" xr3:uid="{407B1715-BD36-4980-BC64-D10E9E1CB784}" name="Fecha Factura" dataDxfId="13"/>
    <tableColumn id="11" xr3:uid="{B1EEEB79-5464-4936-9C45-A73ABD42B56A}" name="Nº Factura"/>
    <tableColumn id="9" xr3:uid="{30B72184-AFDC-4B9D-8829-51D3CBF96911}" name="Fecha Prep."/>
    <tableColumn id="10" xr3:uid="{183E3946-0AE2-4D69-BCF2-96EC51A23427}" name="Proveedor"/>
    <tableColumn id="4" xr3:uid="{A85B3EC6-B3CC-4FFB-8EA7-D19BDF7A4ED8}" name="Importe Total" dataCellStyle="Moneda"/>
    <tableColumn id="18" xr3:uid="{E9F7F507-4DBF-4295-92E6-D80CD6A45B8F}" name="Forma Pago" dataDxfId="12" dataCellStyle="Moneda"/>
    <tableColumn id="14" xr3:uid="{EC534188-0E5D-47E2-83F2-A84830C8C2FF}" name="Importe" dataDxfId="11" dataCellStyle="Moneda">
      <calculatedColumnFormula>_xlfn.IFS(Tabla14689111215[[#This Row],[Forma Pago]]="30PP70-60D",Tabla14689111215[[#This Row],[Importe Total]]*0.7,Tabla14689111215[[#This Row],[Forma Pago]]="50PP50-60D",Tabla14689111215[[#This Row],[Importe Total]]*0.5,Tabla14689111215[[#This Row],[Forma Pago]]="100PP",Tabla14689111215[[#This Row],[Importe Total]],Tabla14689111215[[#This Row],[Forma Pago]]="0D",Tabla14689111215[[#This Row],[Importe Total]],Tabla14689111215[[#This Row],[Forma Pago]]="60D",Tabla14689111215[[#This Row],[Importe Total]],Tabla14689111215[[#This Row],[Forma Pago]]="30D",Tabla14689111215[[#This Row],[Importe Total]],Tabla14689111215[[#This Row],[Forma Pago]]="DOMICILIADO",Tabla14689111215[[#This Row],[Importe Total]],Tabla14689111215[[#This Row],[Forma Pago]]="DOMICILIADO 30D",Tabla14689111215[[#This Row],[Importe Total]],Tabla14689111215[[#This Row],[Forma Pago]]="DOMICILIADO 60D",Tabla14689111215[[#This Row],[Importe Total]])</calculatedColumnFormula>
    </tableColumn>
    <tableColumn id="7" xr3:uid="{2B866DEE-CBD4-4693-A2D1-C4D96E4FC7A5}" name="Fecha Vencimiento " dataDxfId="10" dataCellStyle="Moneda">
      <calculatedColumnFormula>_xlfn.IFS(Tabla14689111215[[#This Row],[Forma Pago]]="30PP70-60D",IF(Tabla14689111215[[#This Row],[Fecha Factura]]="","",Tabla14689111215[[#This Row],[Fecha Factura]]+60),Tabla14689111215[[#This Row],[Forma Pago]]="50PP50-60D",IF(Tabla14689111215[[#This Row],[Fecha Factura]]="","",Tabla14689111215[[#This Row],[Fecha Factura]]+60),Tabla14689111215[[#This Row],[Forma Pago]]="100PP",IF(Tabla14689111215[[#This Row],[Fecha Prep.]]="","",Tabla14689111215[[#This Row],[Fecha Prep.]]),Tabla14689111215[[#This Row],[Forma Pago]]="0D",IF(Tabla14689111215[[#This Row],[Fecha Factura]]="","",Tabla14689111215[[#This Row],[Fecha Factura]]),Tabla14689111215[[#This Row],[Forma Pago]]="60D",IF(Tabla14689111215[[#This Row],[Fecha Factura]]="","",Tabla14689111215[[#This Row],[Fecha Factura]]+60),Tabla14689111215[[#This Row],[Forma Pago]]="30D",IF(Tabla14689111215[[#This Row],[Fecha Factura]]="","",Tabla14689111215[[#This Row],[Fecha Factura]]+60),Tabla14689111215[[#This Row],[Forma Pago]]="DOMICILIADO","")</calculatedColumnFormula>
    </tableColumn>
    <tableColumn id="17" xr3:uid="{87964BB0-3B13-4D14-AD76-3E2DB52E63EA}" name="Estado"/>
    <tableColumn id="6" xr3:uid="{2BCBF0BA-E50E-4C67-BA67-18CA23F3B6BD}" name="Descripcion"/>
    <tableColumn id="8" xr3:uid="{43FC850D-4BB4-4A8E-BA88-6C612760FE57}" name="FECHA DE PAGO" dataDxfId="9"/>
    <tableColumn id="12" xr3:uid="{9E90C1A1-ECCD-4249-AE12-34B2A5D45EF1}" name="Responsable" dataDxfId="8"/>
    <tableColumn id="5" xr3:uid="{799DDF33-CBFA-4DC4-AA1A-F4A8FA4C22B2}" name="Ob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026EDFB-6D1E-4F92-9CBD-510AC20372B4}" name="Tabla146891116" displayName="Tabla146891116" ref="B2:P4" totalsRowShown="0">
  <autoFilter ref="B2:P4" xr:uid="{565B9955-CA59-46A5-A716-BADBC75F3CF2}"/>
  <sortState xmlns:xlrd2="http://schemas.microsoft.com/office/spreadsheetml/2017/richdata2" ref="B2:N3">
    <sortCondition ref="G1:G2"/>
  </sortState>
  <tableColumns count="15">
    <tableColumn id="1" xr3:uid="{B43AF2F0-BFF2-41B1-B36A-E5460EDAAB44}" name="Fecha Proforma" dataDxfId="6"/>
    <tableColumn id="2" xr3:uid="{E3032FE8-D332-47AB-8C3E-3E43E8E27211}" name="Nº Proforma"/>
    <tableColumn id="3" xr3:uid="{8ADEEB91-7F32-4437-B80C-83E74303C678}" name="Fecha Factura" dataDxfId="5"/>
    <tableColumn id="11" xr3:uid="{5EF68ADE-A799-4BB2-94BE-DA47D9291A4D}" name="Nº Factura"/>
    <tableColumn id="9" xr3:uid="{B38D434B-5603-423B-9418-4C632E9460BC}" name="Fecha Prep."/>
    <tableColumn id="10" xr3:uid="{20DA2DD0-DF72-45E0-9A04-3FD86F8237DE}" name="Proveedor"/>
    <tableColumn id="4" xr3:uid="{BC25C442-3755-42F9-B71D-DF2DA2DAFA18}" name="Importe Total" dataCellStyle="Moneda"/>
    <tableColumn id="18" xr3:uid="{98F7128A-17C5-436D-A4D8-C8BC29C97C70}" name="Forma Pago" dataDxfId="4" dataCellStyle="Moneda"/>
    <tableColumn id="14" xr3:uid="{19FC57FC-090F-49FD-95EE-CF9B64D57EA5}" name="Importe" dataDxfId="3" dataCellStyle="Moneda">
      <calculatedColumnFormula>_xlfn.IFS(Tabla146891116[[#This Row],[Forma Pago]]="30PP70-60D",Tabla146891116[[#This Row],[Importe Total]]*0.7,Tabla146891116[[#This Row],[Forma Pago]]="50PP50-60D",Tabla146891116[[#This Row],[Importe Total]]*0.5,Tabla146891116[[#This Row],[Forma Pago]]="100PP",Tabla146891116[[#This Row],[Importe Total]],Tabla146891116[[#This Row],[Forma Pago]]="0D",Tabla146891116[[#This Row],[Importe Total]],Tabla146891116[[#This Row],[Forma Pago]]="60D",Tabla146891116[[#This Row],[Importe Total]],Tabla146891116[[#This Row],[Forma Pago]]="30D",Tabla146891116[[#This Row],[Importe Total]],Tabla146891116[[#This Row],[Forma Pago]]="DOMICILIADO",Tabla146891116[[#This Row],[Importe Total]],Tabla146891116[[#This Row],[Forma Pago]]="DOMICILIADO 30D",Tabla146891116[[#This Row],[Importe Total]],Tabla146891116[[#This Row],[Forma Pago]]="DOMICILIADO 60D",Tabla146891116[[#This Row],[Importe Total]])</calculatedColumnFormula>
    </tableColumn>
    <tableColumn id="7" xr3:uid="{C685E240-2CFC-40A5-B7F2-8011205C20C8}" name="Fecha Vencimiento " dataDxfId="2" dataCellStyle="Moneda">
      <calculatedColumnFormula>_xlfn.IFS(Tabla146891116[[#This Row],[Forma Pago]]="30PP70-60D",IF(Tabla146891116[[#This Row],[Fecha Factura]]="","",Tabla146891116[[#This Row],[Fecha Factura]]+60),Tabla146891116[[#This Row],[Forma Pago]]="50PP50-60D",IF(Tabla146891116[[#This Row],[Fecha Factura]]="","",Tabla146891116[[#This Row],[Fecha Factura]]+60),Tabla146891116[[#This Row],[Forma Pago]]="100PP",IF(Tabla146891116[[#This Row],[Fecha Prep.]]="","",Tabla146891116[[#This Row],[Fecha Prep.]]),Tabla146891116[[#This Row],[Forma Pago]]="0D",IF(Tabla146891116[[#This Row],[Fecha Factura]]="","",Tabla146891116[[#This Row],[Fecha Factura]]),Tabla146891116[[#This Row],[Forma Pago]]="60D",IF(Tabla146891116[[#This Row],[Fecha Factura]]="","",Tabla146891116[[#This Row],[Fecha Factura]]+60),Tabla146891116[[#This Row],[Forma Pago]]="30D",IF(Tabla146891116[[#This Row],[Fecha Factura]]="","",Tabla146891116[[#This Row],[Fecha Factura]]+60),Tabla146891116[[#This Row],[Forma Pago]]="DOMICILIADO","")</calculatedColumnFormula>
    </tableColumn>
    <tableColumn id="17" xr3:uid="{0EDA9C32-678C-4030-BC0E-6A74B119AF36}" name="Estado"/>
    <tableColumn id="6" xr3:uid="{EA3B653B-8B64-482A-806C-CCE9978658E1}" name="Descripcion"/>
    <tableColumn id="8" xr3:uid="{4EA4771A-F9C6-4342-A645-26408EDDF5C0}" name="FECHA DE PAGO" dataDxfId="1"/>
    <tableColumn id="12" xr3:uid="{AA8CEE26-DFBF-4C47-B347-5DB99C2216EA}" name="Responsable" dataDxfId="0"/>
    <tableColumn id="5" xr3:uid="{4ECD782C-7A71-42DA-AD45-0AA77FFB7619}" name="Ob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835D8C-C595-4E7D-8CBE-220CC7B38167}" name="Tablaestado" displayName="Tablaestado" ref="D7:D8" totalsRowShown="0">
  <autoFilter ref="D7:D8" xr:uid="{D0835D8C-C595-4E7D-8CBE-220CC7B38167}"/>
  <tableColumns count="1">
    <tableColumn id="1" xr3:uid="{25CB66B8-4BAA-456E-B9EF-D0197A10BD58}" name="ESTADO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041430-085D-4F50-B832-282082C39239}" name="Tablaformapago" displayName="Tablaformapago" ref="F7:F17" totalsRowShown="0">
  <autoFilter ref="F7:F17" xr:uid="{64041430-085D-4F50-B832-282082C39239}"/>
  <tableColumns count="1">
    <tableColumn id="1" xr3:uid="{F03022AE-4124-4017-AB34-B111F085BAB3}" name="Forma pag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2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3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75DEB-8CF5-45F5-890B-24B689424574}">
  <sheetPr codeName="Hoja1">
    <pageSetUpPr fitToPage="1"/>
  </sheetPr>
  <dimension ref="A1:U1490"/>
  <sheetViews>
    <sheetView showGridLines="0" tabSelected="1" topLeftCell="E868" zoomScale="85" zoomScaleNormal="85" workbookViewId="0">
      <selection activeCell="I1492" sqref="I1492"/>
    </sheetView>
  </sheetViews>
  <sheetFormatPr defaultColWidth="11.42578125" defaultRowHeight="15"/>
  <cols>
    <col min="1" max="1" width="3.140625" customWidth="1"/>
    <col min="2" max="2" width="15.140625" style="182" customWidth="1"/>
    <col min="3" max="3" width="15.140625" style="7" bestFit="1" customWidth="1"/>
    <col min="4" max="4" width="12.42578125" customWidth="1"/>
    <col min="5" max="5" width="24.85546875" bestFit="1" customWidth="1"/>
    <col min="6" max="6" width="12" customWidth="1"/>
    <col min="7" max="7" width="14.28515625" customWidth="1"/>
    <col min="8" max="8" width="39.5703125" customWidth="1"/>
    <col min="9" max="9" width="13" customWidth="1"/>
    <col min="10" max="10" width="13.140625" customWidth="1"/>
    <col min="11" max="11" width="14.42578125" customWidth="1"/>
    <col min="12" max="12" width="23.42578125" bestFit="1" customWidth="1"/>
    <col min="13" max="13" width="13.7109375" customWidth="1"/>
    <col min="14" max="14" width="13.140625" customWidth="1"/>
    <col min="15" max="15" width="11.7109375" bestFit="1" customWidth="1"/>
    <col min="16" max="16" width="12.5703125" customWidth="1"/>
    <col min="17" max="17" width="24.5703125" customWidth="1"/>
    <col min="18" max="18" width="15.85546875" bestFit="1" customWidth="1"/>
    <col min="19" max="19" width="15.28515625" style="24" customWidth="1"/>
    <col min="20" max="21" width="11.42578125" bestFit="1" customWidth="1"/>
  </cols>
  <sheetData>
    <row r="1" spans="1:21" ht="30.75">
      <c r="A1" s="4" t="s">
        <v>0</v>
      </c>
      <c r="B1" s="182" t="s">
        <v>1</v>
      </c>
      <c r="C1" s="7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24" t="s">
        <v>19</v>
      </c>
      <c r="U1" t="s">
        <v>20</v>
      </c>
    </row>
    <row r="2" spans="1:21" ht="30.75" hidden="1">
      <c r="B2" s="56">
        <v>46071</v>
      </c>
      <c r="C2" s="57" t="s">
        <v>21</v>
      </c>
      <c r="D2" s="48">
        <v>46183</v>
      </c>
      <c r="E2" s="50" t="s">
        <v>22</v>
      </c>
      <c r="F2" s="48"/>
      <c r="G2" s="48"/>
      <c r="H2" s="49" t="s">
        <v>23</v>
      </c>
      <c r="I2" s="58">
        <v>4447.2</v>
      </c>
      <c r="J2" s="58" t="s">
        <v>24</v>
      </c>
      <c r="K2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1334.1599999999999</v>
      </c>
      <c r="L2" s="48">
        <v>46107</v>
      </c>
      <c r="M2" s="49" t="s">
        <v>25</v>
      </c>
      <c r="N2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3113.0399999999995</v>
      </c>
      <c r="O2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46243</v>
      </c>
      <c r="P2" s="49"/>
      <c r="Q2" s="49" t="s">
        <v>26</v>
      </c>
      <c r="R2" s="48">
        <v>46240</v>
      </c>
      <c r="S2" s="59" t="s">
        <v>27</v>
      </c>
      <c r="T2" s="49"/>
      <c r="U2" s="49"/>
    </row>
    <row r="3" spans="1:21" ht="30.75" hidden="1">
      <c r="B3" s="56"/>
      <c r="C3" s="57"/>
      <c r="D3" s="48">
        <v>46154</v>
      </c>
      <c r="E3" s="50" t="s">
        <v>28</v>
      </c>
      <c r="F3" s="48"/>
      <c r="G3" s="48"/>
      <c r="H3" s="49" t="s">
        <v>29</v>
      </c>
      <c r="I3" s="51">
        <v>274.7</v>
      </c>
      <c r="J3" s="51" t="s">
        <v>30</v>
      </c>
      <c r="K3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" s="52"/>
      <c r="M3" s="58"/>
      <c r="N3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274.7</v>
      </c>
      <c r="O3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46214</v>
      </c>
      <c r="P3" s="49" t="s">
        <v>25</v>
      </c>
      <c r="Q3" s="49" t="s">
        <v>31</v>
      </c>
      <c r="R3" s="48">
        <v>46212</v>
      </c>
      <c r="S3" s="115" t="s">
        <v>27</v>
      </c>
      <c r="T3" s="49"/>
      <c r="U3" s="49" t="s">
        <v>32</v>
      </c>
    </row>
    <row r="4" spans="1:21" s="63" customFormat="1" ht="30.75" hidden="1">
      <c r="B4" s="56"/>
      <c r="C4" s="57"/>
      <c r="D4" s="48">
        <v>46154</v>
      </c>
      <c r="E4" s="50" t="s">
        <v>33</v>
      </c>
      <c r="F4" s="48"/>
      <c r="G4" s="48"/>
      <c r="H4" s="49" t="s">
        <v>29</v>
      </c>
      <c r="I4" s="51">
        <v>12469.02</v>
      </c>
      <c r="J4" s="51" t="s">
        <v>30</v>
      </c>
      <c r="K4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" s="52"/>
      <c r="M4" s="58"/>
      <c r="N4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12469.02</v>
      </c>
      <c r="O4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46214</v>
      </c>
      <c r="P4" s="49" t="s">
        <v>25</v>
      </c>
      <c r="Q4" s="49" t="s">
        <v>34</v>
      </c>
      <c r="R4" s="48">
        <v>46212</v>
      </c>
      <c r="S4" s="59" t="s">
        <v>27</v>
      </c>
      <c r="T4" s="49"/>
      <c r="U4" s="49" t="s">
        <v>32</v>
      </c>
    </row>
    <row r="5" spans="1:21" s="49" customFormat="1" ht="30.75" hidden="1">
      <c r="B5" s="56"/>
      <c r="C5" s="57"/>
      <c r="D5" s="48">
        <v>46155</v>
      </c>
      <c r="E5" s="50" t="s">
        <v>35</v>
      </c>
      <c r="F5" s="48"/>
      <c r="G5" s="48"/>
      <c r="H5" s="49" t="s">
        <v>29</v>
      </c>
      <c r="I5" s="51">
        <v>18333.8</v>
      </c>
      <c r="J5" s="51" t="s">
        <v>30</v>
      </c>
      <c r="K5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" s="52"/>
      <c r="M5" s="58"/>
      <c r="N5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18333.8</v>
      </c>
      <c r="O5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46215</v>
      </c>
      <c r="P5" s="49" t="s">
        <v>25</v>
      </c>
      <c r="Q5" s="49" t="s">
        <v>36</v>
      </c>
      <c r="R5" s="48">
        <v>46212</v>
      </c>
      <c r="S5" s="59" t="s">
        <v>27</v>
      </c>
      <c r="U5" s="49" t="s">
        <v>32</v>
      </c>
    </row>
    <row r="6" spans="1:21" ht="30.75" hidden="1">
      <c r="B6" s="56"/>
      <c r="C6" s="57"/>
      <c r="D6" s="48">
        <v>46155</v>
      </c>
      <c r="E6" s="50" t="s">
        <v>37</v>
      </c>
      <c r="F6" s="48"/>
      <c r="G6" s="48"/>
      <c r="H6" s="49" t="s">
        <v>29</v>
      </c>
      <c r="I6" s="51">
        <v>9739.4</v>
      </c>
      <c r="J6" s="51" t="s">
        <v>30</v>
      </c>
      <c r="K6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" s="52"/>
      <c r="M6" s="58"/>
      <c r="N6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9739.4</v>
      </c>
      <c r="O6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46215</v>
      </c>
      <c r="P6" s="49" t="s">
        <v>25</v>
      </c>
      <c r="Q6" s="49" t="s">
        <v>36</v>
      </c>
      <c r="R6" s="48">
        <v>46212</v>
      </c>
      <c r="S6" s="59" t="s">
        <v>27</v>
      </c>
      <c r="T6" s="49"/>
      <c r="U6" s="49" t="s">
        <v>32</v>
      </c>
    </row>
    <row r="7" spans="1:21" ht="30.75" hidden="1">
      <c r="B7" s="56"/>
      <c r="C7" s="57"/>
      <c r="D7" s="48">
        <v>46157</v>
      </c>
      <c r="E7" s="50" t="s">
        <v>38</v>
      </c>
      <c r="F7" s="48"/>
      <c r="G7" s="48"/>
      <c r="H7" s="49" t="s">
        <v>29</v>
      </c>
      <c r="I7" s="51">
        <v>27058.1</v>
      </c>
      <c r="J7" s="51" t="s">
        <v>30</v>
      </c>
      <c r="K7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" s="52"/>
      <c r="M7" s="58"/>
      <c r="N7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27058.1</v>
      </c>
      <c r="O7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46217</v>
      </c>
      <c r="P7" s="49" t="s">
        <v>25</v>
      </c>
      <c r="Q7" s="49" t="s">
        <v>39</v>
      </c>
      <c r="R7" s="48">
        <v>46212</v>
      </c>
      <c r="S7" s="59" t="s">
        <v>27</v>
      </c>
      <c r="T7" s="49"/>
      <c r="U7" s="49" t="s">
        <v>32</v>
      </c>
    </row>
    <row r="8" spans="1:21" ht="30.75" hidden="1">
      <c r="B8" s="56"/>
      <c r="C8" s="57"/>
      <c r="D8" s="48">
        <v>46157</v>
      </c>
      <c r="E8" s="50" t="s">
        <v>40</v>
      </c>
      <c r="F8" s="48"/>
      <c r="G8" s="48"/>
      <c r="H8" s="49" t="s">
        <v>29</v>
      </c>
      <c r="I8" s="51">
        <v>25069.69</v>
      </c>
      <c r="J8" s="51" t="s">
        <v>30</v>
      </c>
      <c r="K8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" s="52"/>
      <c r="M8" s="58"/>
      <c r="N8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25069.69</v>
      </c>
      <c r="O8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46217</v>
      </c>
      <c r="P8" s="49" t="s">
        <v>25</v>
      </c>
      <c r="Q8" s="49" t="s">
        <v>39</v>
      </c>
      <c r="R8" s="48">
        <v>46212</v>
      </c>
      <c r="S8" s="59" t="s">
        <v>27</v>
      </c>
      <c r="T8" s="49"/>
      <c r="U8" s="49" t="s">
        <v>32</v>
      </c>
    </row>
    <row r="9" spans="1:21" hidden="1">
      <c r="B9" s="56"/>
      <c r="C9" s="57"/>
      <c r="D9" s="48">
        <v>46178</v>
      </c>
      <c r="E9" s="50" t="s">
        <v>41</v>
      </c>
      <c r="F9" s="48"/>
      <c r="G9" s="48"/>
      <c r="H9" s="49" t="s">
        <v>42</v>
      </c>
      <c r="I9" s="51">
        <v>700</v>
      </c>
      <c r="J9" s="51" t="s">
        <v>43</v>
      </c>
      <c r="K9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" s="52"/>
      <c r="M9" s="58"/>
      <c r="N9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700</v>
      </c>
      <c r="O9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46178</v>
      </c>
      <c r="P9" s="49"/>
      <c r="Q9" s="49" t="s">
        <v>44</v>
      </c>
      <c r="R9" s="48"/>
      <c r="S9" s="59" t="s">
        <v>45</v>
      </c>
      <c r="T9" s="49" t="s">
        <v>46</v>
      </c>
      <c r="U9" s="49"/>
    </row>
    <row r="10" spans="1:21" ht="30.75" hidden="1">
      <c r="B10" s="56">
        <v>46140</v>
      </c>
      <c r="C10" s="57" t="s">
        <v>47</v>
      </c>
      <c r="D10" s="48">
        <v>46170</v>
      </c>
      <c r="E10" s="50" t="s">
        <v>48</v>
      </c>
      <c r="F10" s="48"/>
      <c r="G10" s="48"/>
      <c r="H10" s="49" t="s">
        <v>23</v>
      </c>
      <c r="I10" s="51">
        <v>918.02</v>
      </c>
      <c r="J10" s="51" t="s">
        <v>24</v>
      </c>
      <c r="K10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275.40600000000001</v>
      </c>
      <c r="L10" s="52">
        <v>46163</v>
      </c>
      <c r="M10" s="58" t="s">
        <v>25</v>
      </c>
      <c r="N10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642.61399999999992</v>
      </c>
      <c r="O10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46230</v>
      </c>
      <c r="P10" s="49"/>
      <c r="Q10" s="49" t="s">
        <v>49</v>
      </c>
      <c r="R10" s="48">
        <v>46226</v>
      </c>
      <c r="S10" s="59" t="s">
        <v>27</v>
      </c>
      <c r="T10" s="49"/>
      <c r="U10" s="49" t="s">
        <v>32</v>
      </c>
    </row>
    <row r="11" spans="1:21" ht="30.75" hidden="1">
      <c r="B11" s="56">
        <v>46140</v>
      </c>
      <c r="C11" s="57" t="s">
        <v>50</v>
      </c>
      <c r="D11" s="48">
        <v>46171</v>
      </c>
      <c r="E11" s="50" t="s">
        <v>51</v>
      </c>
      <c r="F11" s="48"/>
      <c r="G11" s="48"/>
      <c r="H11" s="49" t="s">
        <v>23</v>
      </c>
      <c r="I11" s="51">
        <v>56133.3</v>
      </c>
      <c r="J11" s="51" t="s">
        <v>24</v>
      </c>
      <c r="K11" s="62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16839.990000000002</v>
      </c>
      <c r="L11" s="52">
        <v>46170</v>
      </c>
      <c r="M11" s="49" t="s">
        <v>25</v>
      </c>
      <c r="N11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39293.31</v>
      </c>
      <c r="O11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46231</v>
      </c>
      <c r="P11" s="49"/>
      <c r="Q11" s="49" t="s">
        <v>52</v>
      </c>
      <c r="R11" s="48">
        <v>46226</v>
      </c>
      <c r="S11" s="59" t="s">
        <v>27</v>
      </c>
      <c r="T11" s="49"/>
      <c r="U11" s="49" t="s">
        <v>32</v>
      </c>
    </row>
    <row r="12" spans="1:21" hidden="1">
      <c r="B12" s="1"/>
      <c r="D12" s="1">
        <v>46055</v>
      </c>
      <c r="E12" s="29" t="s">
        <v>53</v>
      </c>
      <c r="F12" s="1"/>
      <c r="G12" s="1"/>
      <c r="H12" t="s">
        <v>54</v>
      </c>
      <c r="I12" s="2">
        <v>-344.63</v>
      </c>
      <c r="J12" s="2" t="s">
        <v>55</v>
      </c>
      <c r="K1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" s="3"/>
      <c r="M12" s="11"/>
      <c r="N1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-344.63</v>
      </c>
      <c r="O12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S12"/>
      <c r="U12" t="s">
        <v>32</v>
      </c>
    </row>
    <row r="13" spans="1:21" hidden="1">
      <c r="B13" s="1"/>
      <c r="D13" s="1">
        <v>46057</v>
      </c>
      <c r="E13" s="29" t="s">
        <v>56</v>
      </c>
      <c r="F13" s="1"/>
      <c r="G13" s="1"/>
      <c r="H13" t="s">
        <v>54</v>
      </c>
      <c r="I13" s="2">
        <v>302.06</v>
      </c>
      <c r="J13" s="2" t="s">
        <v>55</v>
      </c>
      <c r="K1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" s="3"/>
      <c r="M13" s="11"/>
      <c r="N1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302.06</v>
      </c>
      <c r="O13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Q13" t="s">
        <v>57</v>
      </c>
      <c r="S13"/>
      <c r="U13" t="s">
        <v>32</v>
      </c>
    </row>
    <row r="14" spans="1:21" hidden="1">
      <c r="B14" s="56"/>
      <c r="C14" s="57"/>
      <c r="D14" s="48">
        <v>46077</v>
      </c>
      <c r="E14" s="50" t="s">
        <v>58</v>
      </c>
      <c r="F14" s="48"/>
      <c r="G14" s="48"/>
      <c r="H14" s="49" t="s">
        <v>59</v>
      </c>
      <c r="I14" s="51">
        <v>-365.01</v>
      </c>
      <c r="J14" s="51" t="s">
        <v>43</v>
      </c>
      <c r="K1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" s="52"/>
      <c r="M14" s="58"/>
      <c r="N1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-365.01</v>
      </c>
      <c r="O1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46077</v>
      </c>
      <c r="P14" s="49"/>
      <c r="Q14" s="49"/>
      <c r="R14" s="49"/>
      <c r="S14" s="59"/>
      <c r="T14" s="49" t="s">
        <v>60</v>
      </c>
      <c r="U14" s="49"/>
    </row>
    <row r="15" spans="1:21" hidden="1">
      <c r="B15" s="56"/>
      <c r="C15" s="57"/>
      <c r="D15" s="48">
        <v>46093</v>
      </c>
      <c r="E15" s="50" t="s">
        <v>61</v>
      </c>
      <c r="F15" s="48"/>
      <c r="G15" s="48"/>
      <c r="H15" s="49" t="s">
        <v>59</v>
      </c>
      <c r="I15" s="51">
        <v>-582.62</v>
      </c>
      <c r="J15" s="51" t="s">
        <v>43</v>
      </c>
      <c r="K1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5" s="52"/>
      <c r="M15" s="58"/>
      <c r="N1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-582.62</v>
      </c>
      <c r="O1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46093</v>
      </c>
      <c r="P15" s="49"/>
      <c r="Q15" s="49" t="s">
        <v>62</v>
      </c>
      <c r="R15" s="49"/>
      <c r="S15" s="59"/>
      <c r="T15" s="49"/>
      <c r="U15" s="49"/>
    </row>
    <row r="16" spans="1:21" hidden="1">
      <c r="B16" s="56"/>
      <c r="C16" s="57"/>
      <c r="D16" s="48">
        <v>46093</v>
      </c>
      <c r="E16" s="50" t="s">
        <v>63</v>
      </c>
      <c r="F16" s="48"/>
      <c r="G16" s="48"/>
      <c r="H16" s="49" t="s">
        <v>59</v>
      </c>
      <c r="I16" s="66">
        <v>-730.05</v>
      </c>
      <c r="J16" s="66" t="s">
        <v>43</v>
      </c>
      <c r="K1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6" s="67"/>
      <c r="M16" s="95"/>
      <c r="N1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-730.05</v>
      </c>
      <c r="O1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46093</v>
      </c>
      <c r="P16" s="49"/>
      <c r="Q16" s="49" t="s">
        <v>64</v>
      </c>
      <c r="R16" s="49"/>
      <c r="S16" s="59"/>
      <c r="T16" s="49"/>
      <c r="U16" s="49"/>
    </row>
    <row r="17" spans="2:21" hidden="1">
      <c r="B17" s="56"/>
      <c r="C17" s="57"/>
      <c r="D17" s="48">
        <v>46093</v>
      </c>
      <c r="E17" s="50" t="s">
        <v>65</v>
      </c>
      <c r="F17" s="48"/>
      <c r="G17" s="48"/>
      <c r="H17" s="49" t="s">
        <v>59</v>
      </c>
      <c r="I17" s="66">
        <v>-567.04999999999995</v>
      </c>
      <c r="J17" s="66" t="s">
        <v>43</v>
      </c>
      <c r="K1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7" s="67"/>
      <c r="M17" s="95"/>
      <c r="N1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-567.04999999999995</v>
      </c>
      <c r="O1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46093</v>
      </c>
      <c r="P17" s="49"/>
      <c r="Q17" s="49" t="s">
        <v>66</v>
      </c>
      <c r="R17" s="49"/>
      <c r="S17" s="59"/>
      <c r="T17" s="49"/>
      <c r="U17" s="49"/>
    </row>
    <row r="18" spans="2:21" hidden="1">
      <c r="B18" s="1">
        <v>46036</v>
      </c>
      <c r="C18" t="s">
        <v>67</v>
      </c>
      <c r="D18" s="1">
        <v>46041</v>
      </c>
      <c r="E18" s="29" t="s">
        <v>68</v>
      </c>
      <c r="F18" s="1">
        <v>46037</v>
      </c>
      <c r="G18" s="1"/>
      <c r="H18" s="49" t="s">
        <v>69</v>
      </c>
      <c r="I18" s="2">
        <v>11729.79</v>
      </c>
      <c r="J18" s="2" t="s">
        <v>55</v>
      </c>
      <c r="K1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8" s="3"/>
      <c r="M18" s="11"/>
      <c r="N1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11729.79</v>
      </c>
      <c r="O1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46037</v>
      </c>
      <c r="P18" t="s">
        <v>25</v>
      </c>
      <c r="Q18" t="s">
        <v>70</v>
      </c>
      <c r="R18" s="1">
        <v>46037</v>
      </c>
      <c r="S18" t="s">
        <v>45</v>
      </c>
      <c r="U18" t="s">
        <v>32</v>
      </c>
    </row>
    <row r="19" spans="2:21" hidden="1">
      <c r="B19" s="1">
        <v>46036</v>
      </c>
      <c r="C19" t="s">
        <v>71</v>
      </c>
      <c r="D19" s="1">
        <v>46041</v>
      </c>
      <c r="E19" s="29" t="s">
        <v>72</v>
      </c>
      <c r="F19" s="1">
        <v>46037</v>
      </c>
      <c r="G19" s="1"/>
      <c r="H19" s="49" t="s">
        <v>69</v>
      </c>
      <c r="I19" s="2">
        <v>11512.5</v>
      </c>
      <c r="J19" s="2" t="s">
        <v>55</v>
      </c>
      <c r="K1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9" s="3"/>
      <c r="M19" s="11"/>
      <c r="N1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11512.5</v>
      </c>
      <c r="O1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46037</v>
      </c>
      <c r="P19" t="s">
        <v>25</v>
      </c>
      <c r="Q19" t="s">
        <v>73</v>
      </c>
      <c r="R19" s="1">
        <v>46037</v>
      </c>
      <c r="S19" t="s">
        <v>45</v>
      </c>
      <c r="U19" t="s">
        <v>32</v>
      </c>
    </row>
    <row r="20" spans="2:21" hidden="1">
      <c r="B20" s="1">
        <v>46036</v>
      </c>
      <c r="C20" t="s">
        <v>74</v>
      </c>
      <c r="D20" s="1">
        <v>46041</v>
      </c>
      <c r="E20" s="29" t="s">
        <v>75</v>
      </c>
      <c r="F20" s="1">
        <v>46037</v>
      </c>
      <c r="G20" s="1"/>
      <c r="H20" s="49" t="s">
        <v>69</v>
      </c>
      <c r="I20" s="2">
        <v>13468.11</v>
      </c>
      <c r="J20" s="2" t="s">
        <v>55</v>
      </c>
      <c r="K2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0" s="3"/>
      <c r="M20" s="11"/>
      <c r="N2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13468.11</v>
      </c>
      <c r="O2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46037</v>
      </c>
      <c r="P20" t="s">
        <v>25</v>
      </c>
      <c r="Q20" t="s">
        <v>76</v>
      </c>
      <c r="R20" s="1">
        <v>46037</v>
      </c>
      <c r="S20" t="s">
        <v>45</v>
      </c>
      <c r="U20" t="s">
        <v>32</v>
      </c>
    </row>
    <row r="21" spans="2:21" hidden="1">
      <c r="B21" s="1">
        <v>46041</v>
      </c>
      <c r="C21">
        <v>96723</v>
      </c>
      <c r="D21" s="1"/>
      <c r="E21" s="29"/>
      <c r="F21" s="40">
        <v>46051</v>
      </c>
      <c r="G21" s="40"/>
      <c r="H21" t="s">
        <v>77</v>
      </c>
      <c r="I21" s="2">
        <v>23301.31</v>
      </c>
      <c r="J21" s="2" t="s">
        <v>78</v>
      </c>
      <c r="K2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11650.655000000001</v>
      </c>
      <c r="L21" s="17">
        <v>46051</v>
      </c>
      <c r="M21" t="s">
        <v>25</v>
      </c>
      <c r="N2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11650.655000000001</v>
      </c>
      <c r="O21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Q21" t="s">
        <v>79</v>
      </c>
      <c r="R21" s="1"/>
      <c r="S21" t="s">
        <v>45</v>
      </c>
    </row>
    <row r="22" spans="2:21" hidden="1">
      <c r="B22" s="1"/>
      <c r="D22" s="1">
        <v>46057</v>
      </c>
      <c r="E22" s="29" t="s">
        <v>80</v>
      </c>
      <c r="F22" s="1"/>
      <c r="G22" s="1"/>
      <c r="H22" t="s">
        <v>54</v>
      </c>
      <c r="I22" s="2">
        <v>-302.06</v>
      </c>
      <c r="J22" s="2" t="s">
        <v>55</v>
      </c>
      <c r="K2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2" s="3"/>
      <c r="M22" s="11"/>
      <c r="N2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-302.06</v>
      </c>
      <c r="O22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Q22" t="s">
        <v>81</v>
      </c>
      <c r="S22"/>
      <c r="U22" s="49" t="s">
        <v>32</v>
      </c>
    </row>
    <row r="23" spans="2:21" hidden="1">
      <c r="B23" s="1"/>
      <c r="D23" s="1">
        <v>46070</v>
      </c>
      <c r="E23" s="29" t="s">
        <v>82</v>
      </c>
      <c r="F23" s="1"/>
      <c r="G23" s="1"/>
      <c r="H23" t="s">
        <v>54</v>
      </c>
      <c r="I23" s="2">
        <v>-267</v>
      </c>
      <c r="J23" s="2" t="s">
        <v>55</v>
      </c>
      <c r="K2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3" s="3"/>
      <c r="N2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-267</v>
      </c>
      <c r="O23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Q23" t="s">
        <v>81</v>
      </c>
      <c r="R23" s="1"/>
      <c r="U23" s="49" t="s">
        <v>32</v>
      </c>
    </row>
    <row r="24" spans="2:21" hidden="1">
      <c r="B24" s="56"/>
      <c r="C24" s="57"/>
      <c r="D24" s="48">
        <v>46100</v>
      </c>
      <c r="E24" s="50" t="s">
        <v>83</v>
      </c>
      <c r="F24" s="48"/>
      <c r="G24" s="48"/>
      <c r="H24" s="49" t="s">
        <v>54</v>
      </c>
      <c r="I24" s="51">
        <v>-459.01</v>
      </c>
      <c r="J24" s="51" t="s">
        <v>55</v>
      </c>
      <c r="K24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4" s="52"/>
      <c r="M24" s="58"/>
      <c r="N24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-459.01</v>
      </c>
      <c r="O24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24" s="49"/>
      <c r="Q24" s="49" t="s">
        <v>84</v>
      </c>
      <c r="R24" s="49"/>
      <c r="S24" s="59"/>
      <c r="T24" s="49"/>
      <c r="U24" s="49" t="s">
        <v>32</v>
      </c>
    </row>
    <row r="25" spans="2:21" hidden="1">
      <c r="B25" s="56"/>
      <c r="C25" s="57"/>
      <c r="D25" s="48">
        <v>46073</v>
      </c>
      <c r="E25" s="50" t="s">
        <v>85</v>
      </c>
      <c r="F25" s="48"/>
      <c r="G25" s="48"/>
      <c r="H25" s="49" t="s">
        <v>86</v>
      </c>
      <c r="I25" s="51">
        <v>-608.86</v>
      </c>
      <c r="J25" s="51" t="s">
        <v>55</v>
      </c>
      <c r="K25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5" s="52"/>
      <c r="M25" s="58"/>
      <c r="N25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-608.86</v>
      </c>
      <c r="O25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25" s="49"/>
      <c r="Q25" s="49" t="s">
        <v>87</v>
      </c>
      <c r="R25" s="49"/>
      <c r="S25" s="59"/>
      <c r="T25" s="49"/>
      <c r="U25" s="49"/>
    </row>
    <row r="26" spans="2:21" hidden="1">
      <c r="B26" s="56"/>
      <c r="C26" s="57"/>
      <c r="D26" s="48">
        <v>45714</v>
      </c>
      <c r="E26" s="50" t="s">
        <v>88</v>
      </c>
      <c r="F26" s="48"/>
      <c r="G26" s="48"/>
      <c r="H26" s="49" t="s">
        <v>86</v>
      </c>
      <c r="I26" s="51">
        <v>-222.41</v>
      </c>
      <c r="J26" s="51" t="s">
        <v>55</v>
      </c>
      <c r="K26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6" s="52"/>
      <c r="M26" s="58"/>
      <c r="N26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-222.41</v>
      </c>
      <c r="O26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26" s="49"/>
      <c r="Q26" s="49" t="s">
        <v>87</v>
      </c>
      <c r="R26" s="49"/>
      <c r="S26" s="59"/>
      <c r="T26" s="49"/>
      <c r="U26" s="49"/>
    </row>
    <row r="27" spans="2:21" hidden="1">
      <c r="B27" s="1">
        <v>46036</v>
      </c>
      <c r="C27" t="s">
        <v>89</v>
      </c>
      <c r="D27" s="1">
        <v>46041</v>
      </c>
      <c r="E27" s="29" t="s">
        <v>90</v>
      </c>
      <c r="F27" s="1">
        <v>46037</v>
      </c>
      <c r="G27" s="1"/>
      <c r="H27" s="49" t="s">
        <v>69</v>
      </c>
      <c r="I27" s="2">
        <v>9991.4699999999993</v>
      </c>
      <c r="J27" s="2" t="s">
        <v>55</v>
      </c>
      <c r="K2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7" s="3"/>
      <c r="M27" s="11"/>
      <c r="N2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9991.4699999999993</v>
      </c>
      <c r="O2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46037</v>
      </c>
      <c r="P27" t="s">
        <v>25</v>
      </c>
      <c r="Q27" t="s">
        <v>91</v>
      </c>
      <c r="R27" s="1">
        <v>46037</v>
      </c>
      <c r="S27" t="s">
        <v>45</v>
      </c>
      <c r="U27" t="s">
        <v>32</v>
      </c>
    </row>
    <row r="28" spans="2:21" hidden="1">
      <c r="B28" s="56">
        <v>46191</v>
      </c>
      <c r="C28" s="57"/>
      <c r="D28" s="48"/>
      <c r="E28" s="50"/>
      <c r="F28" s="48"/>
      <c r="G28" s="48"/>
      <c r="H28" s="49" t="s">
        <v>92</v>
      </c>
      <c r="I28" s="51">
        <v>32.799999999999997</v>
      </c>
      <c r="J28" s="51" t="s">
        <v>43</v>
      </c>
      <c r="K28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8" s="52"/>
      <c r="M28" s="58"/>
      <c r="N28" s="135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32.799999999999997</v>
      </c>
      <c r="O28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28" s="49" t="s">
        <v>25</v>
      </c>
      <c r="Q28" s="49" t="s">
        <v>93</v>
      </c>
      <c r="R28" s="48">
        <v>46205</v>
      </c>
      <c r="S28" s="59" t="s">
        <v>94</v>
      </c>
      <c r="T28" s="49" t="s">
        <v>95</v>
      </c>
      <c r="U28" s="49"/>
    </row>
    <row r="29" spans="2:21" ht="19.5" hidden="1" customHeight="1">
      <c r="B29" s="44"/>
      <c r="D29" s="1">
        <v>46023</v>
      </c>
      <c r="E29" s="29" t="s">
        <v>96</v>
      </c>
      <c r="F29" s="1"/>
      <c r="G29" s="1"/>
      <c r="H29" t="s">
        <v>97</v>
      </c>
      <c r="I29" s="2">
        <v>145.13999999999999</v>
      </c>
      <c r="J29" s="2" t="s">
        <v>98</v>
      </c>
      <c r="K29" s="11" t="str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/>
      </c>
      <c r="L29" s="3"/>
      <c r="M29" s="11"/>
      <c r="N2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145.13999999999999</v>
      </c>
      <c r="O29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U29" s="49"/>
    </row>
    <row r="30" spans="2:21" ht="19.5" hidden="1" customHeight="1">
      <c r="B30" s="1">
        <v>46042</v>
      </c>
      <c r="C30" t="s">
        <v>99</v>
      </c>
      <c r="D30" s="1">
        <v>46052</v>
      </c>
      <c r="E30" s="29" t="s">
        <v>100</v>
      </c>
      <c r="F30" s="1"/>
      <c r="G30" s="1"/>
      <c r="H30" s="49" t="s">
        <v>69</v>
      </c>
      <c r="I30" s="2">
        <v>44239.07</v>
      </c>
      <c r="J30" s="2" t="s">
        <v>55</v>
      </c>
      <c r="K3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0" s="3"/>
      <c r="M30" s="11"/>
      <c r="N3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44239.07</v>
      </c>
      <c r="O30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30" t="s">
        <v>25</v>
      </c>
      <c r="Q30" t="s">
        <v>101</v>
      </c>
      <c r="R30" s="1">
        <v>46044</v>
      </c>
      <c r="S30" t="s">
        <v>45</v>
      </c>
      <c r="U30" t="s">
        <v>32</v>
      </c>
    </row>
    <row r="31" spans="2:21" ht="19.5" hidden="1" customHeight="1">
      <c r="B31" s="56"/>
      <c r="C31" s="57"/>
      <c r="D31" s="48">
        <v>46143</v>
      </c>
      <c r="E31" s="50" t="s">
        <v>102</v>
      </c>
      <c r="F31" s="48"/>
      <c r="G31" s="48"/>
      <c r="H31" s="49" t="s">
        <v>97</v>
      </c>
      <c r="I31" s="51">
        <v>145.13999999999999</v>
      </c>
      <c r="J31" s="51" t="s">
        <v>98</v>
      </c>
      <c r="K31" s="11" t="str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/>
      </c>
      <c r="L31" s="52"/>
      <c r="M31" s="58"/>
      <c r="N3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145.13999999999999</v>
      </c>
      <c r="O31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31" s="49"/>
      <c r="Q31" s="49"/>
      <c r="R31" s="49"/>
      <c r="S31" s="59"/>
      <c r="T31" s="49"/>
      <c r="U31" s="49"/>
    </row>
    <row r="32" spans="2:21" ht="19.5" hidden="1" customHeight="1">
      <c r="B32" s="56">
        <v>46197</v>
      </c>
      <c r="C32" s="57" t="s">
        <v>103</v>
      </c>
      <c r="D32" s="48">
        <v>46202</v>
      </c>
      <c r="E32" s="50" t="s">
        <v>104</v>
      </c>
      <c r="F32" s="48"/>
      <c r="G32" s="48"/>
      <c r="H32" s="49" t="s">
        <v>105</v>
      </c>
      <c r="I32" s="51">
        <v>269.51</v>
      </c>
      <c r="J32" s="51" t="s">
        <v>55</v>
      </c>
      <c r="K3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2" s="52"/>
      <c r="M32" s="58"/>
      <c r="N32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269.51</v>
      </c>
      <c r="O32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32" s="49" t="s">
        <v>25</v>
      </c>
      <c r="Q32" s="49" t="s">
        <v>106</v>
      </c>
      <c r="R32" s="48">
        <v>46212</v>
      </c>
      <c r="S32" s="59" t="s">
        <v>27</v>
      </c>
      <c r="T32" s="49"/>
      <c r="U32" s="49"/>
    </row>
    <row r="33" spans="2:21" ht="19.5" hidden="1" customHeight="1">
      <c r="B33" s="56"/>
      <c r="C33" s="57"/>
      <c r="D33" s="48">
        <v>46160</v>
      </c>
      <c r="E33" s="50" t="s">
        <v>107</v>
      </c>
      <c r="F33" s="48"/>
      <c r="G33" s="48"/>
      <c r="H33" s="49" t="s">
        <v>108</v>
      </c>
      <c r="I33" s="51">
        <v>4875.18</v>
      </c>
      <c r="J33" s="51" t="s">
        <v>30</v>
      </c>
      <c r="K33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3" s="52"/>
      <c r="M33" s="58"/>
      <c r="N33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4875.18</v>
      </c>
      <c r="O33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46220</v>
      </c>
      <c r="P33" s="49"/>
      <c r="Q33" s="49" t="s">
        <v>109</v>
      </c>
      <c r="R33" s="48">
        <v>46219</v>
      </c>
      <c r="S33" s="59" t="s">
        <v>27</v>
      </c>
      <c r="T33" s="49"/>
      <c r="U33" s="49" t="s">
        <v>32</v>
      </c>
    </row>
    <row r="34" spans="2:21" ht="19.5" hidden="1" customHeight="1">
      <c r="B34" s="56"/>
      <c r="C34" s="57"/>
      <c r="D34" s="48">
        <v>46160</v>
      </c>
      <c r="E34" s="50" t="s">
        <v>110</v>
      </c>
      <c r="F34" s="48"/>
      <c r="G34" s="48"/>
      <c r="H34" s="49" t="s">
        <v>108</v>
      </c>
      <c r="I34" s="51">
        <v>10530.66</v>
      </c>
      <c r="J34" s="51" t="s">
        <v>30</v>
      </c>
      <c r="K34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4" s="52"/>
      <c r="M34" s="58"/>
      <c r="N34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10530.66</v>
      </c>
      <c r="O34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46220</v>
      </c>
      <c r="P34" s="49"/>
      <c r="Q34" s="49" t="s">
        <v>109</v>
      </c>
      <c r="R34" s="48">
        <v>46219</v>
      </c>
      <c r="S34" s="59" t="s">
        <v>27</v>
      </c>
      <c r="T34" s="49"/>
      <c r="U34" s="49" t="s">
        <v>32</v>
      </c>
    </row>
    <row r="35" spans="2:21" ht="19.5" hidden="1" customHeight="1">
      <c r="B35" s="56"/>
      <c r="C35" s="57"/>
      <c r="D35" s="48">
        <v>46160</v>
      </c>
      <c r="E35" s="50" t="s">
        <v>111</v>
      </c>
      <c r="F35" s="48"/>
      <c r="G35" s="48"/>
      <c r="H35" s="49" t="s">
        <v>108</v>
      </c>
      <c r="I35" s="51">
        <v>2656.26</v>
      </c>
      <c r="J35" s="51" t="s">
        <v>30</v>
      </c>
      <c r="K35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5" s="52"/>
      <c r="M35" s="58"/>
      <c r="N35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2656.26</v>
      </c>
      <c r="O35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46220</v>
      </c>
      <c r="P35" s="49"/>
      <c r="Q35" s="49" t="s">
        <v>112</v>
      </c>
      <c r="R35" s="48">
        <v>46219</v>
      </c>
      <c r="S35" s="59" t="s">
        <v>27</v>
      </c>
      <c r="T35" s="49"/>
      <c r="U35" s="49" t="s">
        <v>32</v>
      </c>
    </row>
    <row r="36" spans="2:21" ht="19.5" hidden="1" customHeight="1">
      <c r="B36" s="56">
        <v>46146</v>
      </c>
      <c r="C36" s="57" t="s">
        <v>113</v>
      </c>
      <c r="D36" s="48">
        <v>46170</v>
      </c>
      <c r="E36" s="50" t="s">
        <v>114</v>
      </c>
      <c r="F36" s="48"/>
      <c r="G36" s="48"/>
      <c r="H36" s="49" t="s">
        <v>23</v>
      </c>
      <c r="I36" s="51">
        <v>3692.09</v>
      </c>
      <c r="J36" s="51" t="s">
        <v>24</v>
      </c>
      <c r="K36" s="62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1107.627</v>
      </c>
      <c r="L36" s="52">
        <v>46170</v>
      </c>
      <c r="M36" s="49" t="s">
        <v>25</v>
      </c>
      <c r="N36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2584.4629999999997</v>
      </c>
      <c r="O36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46230</v>
      </c>
      <c r="P36" s="49"/>
      <c r="Q36" s="49" t="s">
        <v>115</v>
      </c>
      <c r="R36" s="48">
        <v>46226</v>
      </c>
      <c r="S36" s="59" t="s">
        <v>27</v>
      </c>
      <c r="T36" s="49"/>
      <c r="U36" s="49" t="s">
        <v>32</v>
      </c>
    </row>
    <row r="37" spans="2:21" ht="19.5" hidden="1" customHeight="1">
      <c r="B37" s="56"/>
      <c r="C37" s="57"/>
      <c r="D37" s="48">
        <v>46161</v>
      </c>
      <c r="E37" s="50" t="s">
        <v>116</v>
      </c>
      <c r="F37" s="48"/>
      <c r="G37" s="48"/>
      <c r="H37" s="49" t="s">
        <v>42</v>
      </c>
      <c r="I37" s="51">
        <v>406.56</v>
      </c>
      <c r="J37" s="51" t="s">
        <v>43</v>
      </c>
      <c r="K37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7" s="52"/>
      <c r="M37" s="58"/>
      <c r="N37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406.56</v>
      </c>
      <c r="O37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46161</v>
      </c>
      <c r="P37" s="49"/>
      <c r="Q37" s="49" t="s">
        <v>117</v>
      </c>
      <c r="R37" s="48">
        <v>46219</v>
      </c>
      <c r="S37" s="59" t="s">
        <v>45</v>
      </c>
      <c r="T37" s="49"/>
      <c r="U37" s="49"/>
    </row>
    <row r="38" spans="2:21" ht="19.5" hidden="1" customHeight="1">
      <c r="B38" s="1">
        <v>46048</v>
      </c>
      <c r="C38" s="7" t="s">
        <v>118</v>
      </c>
      <c r="D38" s="1">
        <v>46062</v>
      </c>
      <c r="E38" s="29" t="s">
        <v>119</v>
      </c>
      <c r="F38" s="40">
        <v>46058</v>
      </c>
      <c r="G38" s="40"/>
      <c r="H38" s="49" t="s">
        <v>69</v>
      </c>
      <c r="I38" s="41">
        <v>30011.49</v>
      </c>
      <c r="J38" s="41" t="s">
        <v>55</v>
      </c>
      <c r="K3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8" s="43"/>
      <c r="M38" s="42"/>
      <c r="N3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30011.49</v>
      </c>
      <c r="O3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46058</v>
      </c>
      <c r="P38" t="s">
        <v>25</v>
      </c>
      <c r="Q38" t="s">
        <v>120</v>
      </c>
      <c r="R38" s="1">
        <v>46059</v>
      </c>
      <c r="S38" t="s">
        <v>45</v>
      </c>
      <c r="T38" s="24"/>
      <c r="U38" t="s">
        <v>32</v>
      </c>
    </row>
    <row r="39" spans="2:21" ht="19.5" hidden="1" customHeight="1">
      <c r="B39" s="1">
        <v>46048</v>
      </c>
      <c r="C39" s="7" t="s">
        <v>121</v>
      </c>
      <c r="D39" s="1">
        <v>46052</v>
      </c>
      <c r="E39" s="29" t="s">
        <v>122</v>
      </c>
      <c r="F39" s="1">
        <v>46051</v>
      </c>
      <c r="G39" s="1"/>
      <c r="H39" s="49" t="s">
        <v>69</v>
      </c>
      <c r="I39" s="2">
        <v>38277.730000000003</v>
      </c>
      <c r="J39" s="2" t="s">
        <v>55</v>
      </c>
      <c r="K3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9" s="3"/>
      <c r="M39" s="11"/>
      <c r="N3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38277.730000000003</v>
      </c>
      <c r="O3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46051</v>
      </c>
      <c r="P39" t="s">
        <v>25</v>
      </c>
      <c r="Q39" t="s">
        <v>123</v>
      </c>
      <c r="R39" s="1">
        <v>46051</v>
      </c>
      <c r="S39" t="s">
        <v>45</v>
      </c>
      <c r="U39" t="s">
        <v>32</v>
      </c>
    </row>
    <row r="40" spans="2:21" ht="19.5" hidden="1" customHeight="1">
      <c r="B40" s="1">
        <v>46049</v>
      </c>
      <c r="C40" s="7" t="s">
        <v>124</v>
      </c>
      <c r="D40" s="1">
        <v>46052</v>
      </c>
      <c r="E40" s="29" t="s">
        <v>125</v>
      </c>
      <c r="F40" s="1">
        <v>46051</v>
      </c>
      <c r="G40" s="1"/>
      <c r="H40" s="49" t="s">
        <v>69</v>
      </c>
      <c r="I40" s="2">
        <v>92192.17</v>
      </c>
      <c r="J40" s="2" t="s">
        <v>55</v>
      </c>
      <c r="K4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0" s="3"/>
      <c r="M40" s="11"/>
      <c r="N4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92192.17</v>
      </c>
      <c r="O4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46051</v>
      </c>
      <c r="P40" t="s">
        <v>25</v>
      </c>
      <c r="Q40" t="s">
        <v>126</v>
      </c>
      <c r="R40" s="1">
        <v>46051</v>
      </c>
      <c r="S40" t="s">
        <v>45</v>
      </c>
      <c r="U40" t="s">
        <v>32</v>
      </c>
    </row>
    <row r="41" spans="2:21" ht="19.5" hidden="1" customHeight="1">
      <c r="B41" s="1">
        <v>46050</v>
      </c>
      <c r="C41" s="7" t="s">
        <v>127</v>
      </c>
      <c r="D41" s="1">
        <v>46052</v>
      </c>
      <c r="E41" s="1" t="s">
        <v>128</v>
      </c>
      <c r="F41" s="1">
        <v>46051</v>
      </c>
      <c r="G41" s="1"/>
      <c r="H41" s="49" t="s">
        <v>69</v>
      </c>
      <c r="I41" s="2">
        <v>17502.84</v>
      </c>
      <c r="J41" s="2" t="s">
        <v>55</v>
      </c>
      <c r="K4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1" s="3"/>
      <c r="M41" s="11"/>
      <c r="N4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17502.84</v>
      </c>
      <c r="O4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46051</v>
      </c>
      <c r="P41" t="s">
        <v>25</v>
      </c>
      <c r="Q41" t="s">
        <v>129</v>
      </c>
      <c r="R41" s="1">
        <v>46051</v>
      </c>
      <c r="S41" t="s">
        <v>45</v>
      </c>
      <c r="U41" t="s">
        <v>32</v>
      </c>
    </row>
    <row r="42" spans="2:21" ht="19.5" hidden="1" customHeight="1">
      <c r="B42" s="1">
        <v>46050</v>
      </c>
      <c r="C42" s="7" t="s">
        <v>130</v>
      </c>
      <c r="D42" s="1">
        <v>46052</v>
      </c>
      <c r="E42" s="1" t="s">
        <v>131</v>
      </c>
      <c r="F42" s="1">
        <v>46051</v>
      </c>
      <c r="G42" s="1"/>
      <c r="H42" s="49" t="s">
        <v>69</v>
      </c>
      <c r="I42" s="2">
        <v>15279.08</v>
      </c>
      <c r="J42" s="2" t="s">
        <v>55</v>
      </c>
      <c r="K4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2" s="3"/>
      <c r="M42" s="11"/>
      <c r="N4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15279.08</v>
      </c>
      <c r="O4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46051</v>
      </c>
      <c r="P42" t="s">
        <v>25</v>
      </c>
      <c r="Q42" t="s">
        <v>132</v>
      </c>
      <c r="R42" s="1">
        <v>46051</v>
      </c>
      <c r="S42" t="s">
        <v>45</v>
      </c>
      <c r="U42" t="s">
        <v>32</v>
      </c>
    </row>
    <row r="43" spans="2:21" ht="19.5" hidden="1" customHeight="1">
      <c r="B43" s="56">
        <v>46146</v>
      </c>
      <c r="C43" s="57" t="s">
        <v>133</v>
      </c>
      <c r="D43" s="48">
        <v>46170</v>
      </c>
      <c r="E43" s="50" t="s">
        <v>134</v>
      </c>
      <c r="F43" s="48"/>
      <c r="G43" s="48"/>
      <c r="H43" s="49" t="s">
        <v>23</v>
      </c>
      <c r="I43" s="51">
        <v>11877.28</v>
      </c>
      <c r="J43" s="51" t="s">
        <v>24</v>
      </c>
      <c r="K43" s="62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3563.1840000000002</v>
      </c>
      <c r="L43" s="52">
        <v>46170</v>
      </c>
      <c r="M43" s="49" t="s">
        <v>25</v>
      </c>
      <c r="N43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8314.0959999999995</v>
      </c>
      <c r="O43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46230</v>
      </c>
      <c r="P43" s="49"/>
      <c r="Q43" s="49" t="s">
        <v>135</v>
      </c>
      <c r="R43" s="48">
        <v>46226</v>
      </c>
      <c r="S43" s="59" t="s">
        <v>27</v>
      </c>
      <c r="T43" s="49"/>
      <c r="U43" s="49" t="s">
        <v>32</v>
      </c>
    </row>
    <row r="44" spans="2:21" ht="19.5" hidden="1" customHeight="1">
      <c r="B44" s="1">
        <v>46050</v>
      </c>
      <c r="C44" s="7" t="s">
        <v>136</v>
      </c>
      <c r="D44" s="1">
        <v>46052</v>
      </c>
      <c r="E44" s="29" t="s">
        <v>137</v>
      </c>
      <c r="F44" s="1">
        <v>46051</v>
      </c>
      <c r="G44" s="1"/>
      <c r="H44" s="49" t="s">
        <v>69</v>
      </c>
      <c r="I44" s="2">
        <v>15557.05</v>
      </c>
      <c r="J44" s="2" t="s">
        <v>55</v>
      </c>
      <c r="K4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4" s="3"/>
      <c r="M44" s="11"/>
      <c r="N4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15557.05</v>
      </c>
      <c r="O4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46051</v>
      </c>
      <c r="P44" t="s">
        <v>25</v>
      </c>
      <c r="Q44" t="s">
        <v>138</v>
      </c>
      <c r="R44" s="1">
        <v>46051</v>
      </c>
      <c r="S44" t="s">
        <v>45</v>
      </c>
      <c r="U44" t="s">
        <v>32</v>
      </c>
    </row>
    <row r="45" spans="2:21" ht="19.5" hidden="1" customHeight="1">
      <c r="B45" s="1">
        <v>46050</v>
      </c>
      <c r="C45" s="12" t="s">
        <v>139</v>
      </c>
      <c r="D45" s="1">
        <v>46052</v>
      </c>
      <c r="E45" s="29" t="s">
        <v>140</v>
      </c>
      <c r="F45" s="1">
        <v>46051</v>
      </c>
      <c r="G45" s="1"/>
      <c r="H45" s="49" t="s">
        <v>69</v>
      </c>
      <c r="I45" s="2">
        <v>15279.08</v>
      </c>
      <c r="J45" s="2" t="s">
        <v>55</v>
      </c>
      <c r="K4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5" s="3"/>
      <c r="M45" s="11"/>
      <c r="N4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15279.08</v>
      </c>
      <c r="O4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46051</v>
      </c>
      <c r="P45" t="s">
        <v>25</v>
      </c>
      <c r="Q45" t="s">
        <v>141</v>
      </c>
      <c r="R45" s="1">
        <v>46051</v>
      </c>
      <c r="S45" t="s">
        <v>45</v>
      </c>
      <c r="U45" t="s">
        <v>32</v>
      </c>
    </row>
    <row r="46" spans="2:21" s="49" customFormat="1" ht="19.5" hidden="1" customHeight="1">
      <c r="B46" s="56">
        <v>46150</v>
      </c>
      <c r="C46" s="57" t="s">
        <v>142</v>
      </c>
      <c r="D46" s="48">
        <v>46177</v>
      </c>
      <c r="E46" s="50" t="s">
        <v>143</v>
      </c>
      <c r="F46" s="48"/>
      <c r="G46" s="48"/>
      <c r="H46" s="49" t="s">
        <v>23</v>
      </c>
      <c r="I46" s="51">
        <v>4074.54</v>
      </c>
      <c r="J46" s="51" t="s">
        <v>24</v>
      </c>
      <c r="K46" s="62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1222.3619999999999</v>
      </c>
      <c r="L46" s="52">
        <v>46178</v>
      </c>
      <c r="M46" s="49" t="s">
        <v>25</v>
      </c>
      <c r="N46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2852.1779999999999</v>
      </c>
      <c r="O46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46237</v>
      </c>
      <c r="Q46" s="49" t="s">
        <v>144</v>
      </c>
      <c r="R46" s="48">
        <v>46233</v>
      </c>
      <c r="S46" s="59" t="s">
        <v>27</v>
      </c>
    </row>
    <row r="47" spans="2:21" ht="19.5" hidden="1" customHeight="1">
      <c r="B47" s="56">
        <v>46198</v>
      </c>
      <c r="C47" s="57"/>
      <c r="D47" s="48"/>
      <c r="E47" s="50"/>
      <c r="F47" s="48"/>
      <c r="G47" s="48"/>
      <c r="H47" s="49" t="s">
        <v>145</v>
      </c>
      <c r="I47" s="51">
        <v>9800</v>
      </c>
      <c r="J47" s="51" t="s">
        <v>55</v>
      </c>
      <c r="K4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7" s="52"/>
      <c r="M47" s="58"/>
      <c r="N4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9800</v>
      </c>
      <c r="O47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47" s="49"/>
      <c r="Q47" s="49" t="s">
        <v>146</v>
      </c>
      <c r="R47" s="48">
        <v>46226</v>
      </c>
      <c r="S47" s="59" t="s">
        <v>27</v>
      </c>
      <c r="T47" s="49"/>
      <c r="U47" s="49"/>
    </row>
    <row r="48" spans="2:21" s="49" customFormat="1" ht="19.5" hidden="1" customHeight="1">
      <c r="B48" s="56">
        <v>46204</v>
      </c>
      <c r="C48" s="57"/>
      <c r="D48" s="48">
        <v>46204</v>
      </c>
      <c r="E48" s="50" t="s">
        <v>147</v>
      </c>
      <c r="F48" s="48"/>
      <c r="G48" s="48"/>
      <c r="H48" s="49" t="s">
        <v>148</v>
      </c>
      <c r="I48" s="51">
        <v>2702</v>
      </c>
      <c r="J48" s="51" t="s">
        <v>43</v>
      </c>
      <c r="K48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8" s="52"/>
      <c r="M48" s="58"/>
      <c r="N48" s="135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2702</v>
      </c>
      <c r="O48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46204</v>
      </c>
      <c r="P48" s="49" t="s">
        <v>25</v>
      </c>
      <c r="Q48" s="49" t="s">
        <v>149</v>
      </c>
      <c r="R48" s="48">
        <v>46205</v>
      </c>
      <c r="S48" s="59" t="s">
        <v>27</v>
      </c>
    </row>
    <row r="49" spans="2:21" s="49" customFormat="1" ht="19.5" hidden="1" customHeight="1">
      <c r="B49" s="56">
        <v>46235</v>
      </c>
      <c r="C49" s="57"/>
      <c r="D49" s="48"/>
      <c r="E49" s="50"/>
      <c r="F49" s="48"/>
      <c r="G49" s="48"/>
      <c r="H49" s="49" t="s">
        <v>148</v>
      </c>
      <c r="I49" s="51">
        <v>2702</v>
      </c>
      <c r="J49" s="51" t="s">
        <v>43</v>
      </c>
      <c r="K49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9" s="52"/>
      <c r="M49" s="58"/>
      <c r="N49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2702</v>
      </c>
      <c r="O49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Q49" s="49" t="s">
        <v>150</v>
      </c>
      <c r="R49" s="48">
        <v>46240</v>
      </c>
      <c r="S49" s="59" t="s">
        <v>27</v>
      </c>
    </row>
    <row r="50" spans="2:21" s="49" customFormat="1" ht="19.5" hidden="1" customHeight="1">
      <c r="B50" s="56">
        <v>46266</v>
      </c>
      <c r="C50" s="57"/>
      <c r="D50" s="48"/>
      <c r="E50" s="50"/>
      <c r="F50" s="48"/>
      <c r="G50" s="48"/>
      <c r="H50" s="49" t="s">
        <v>148</v>
      </c>
      <c r="I50" s="51">
        <v>2702</v>
      </c>
      <c r="J50" s="51" t="s">
        <v>43</v>
      </c>
      <c r="K50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0" s="52"/>
      <c r="M50" s="58"/>
      <c r="N50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2702</v>
      </c>
      <c r="O50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Q50" s="49" t="s">
        <v>151</v>
      </c>
      <c r="R50" s="48">
        <v>46268</v>
      </c>
      <c r="S50" s="59" t="s">
        <v>27</v>
      </c>
    </row>
    <row r="51" spans="2:21" s="49" customFormat="1" ht="19.5" hidden="1" customHeight="1">
      <c r="B51" s="56">
        <v>46296</v>
      </c>
      <c r="C51" s="57"/>
      <c r="D51" s="48"/>
      <c r="E51" s="50"/>
      <c r="F51" s="48"/>
      <c r="G51" s="48"/>
      <c r="H51" s="49" t="s">
        <v>148</v>
      </c>
      <c r="I51" s="51">
        <v>2702</v>
      </c>
      <c r="J51" s="51" t="s">
        <v>43</v>
      </c>
      <c r="K51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1" s="52"/>
      <c r="M51" s="58"/>
      <c r="N51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2702</v>
      </c>
      <c r="O51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Q51" s="49" t="s">
        <v>152</v>
      </c>
      <c r="R51" s="48">
        <v>46296</v>
      </c>
      <c r="S51" s="59" t="s">
        <v>27</v>
      </c>
    </row>
    <row r="52" spans="2:21" s="49" customFormat="1" ht="19.5" hidden="1" customHeight="1">
      <c r="B52" s="56">
        <v>46327</v>
      </c>
      <c r="C52" s="57"/>
      <c r="D52" s="48"/>
      <c r="E52" s="50"/>
      <c r="F52" s="48"/>
      <c r="G52" s="48"/>
      <c r="H52" s="49" t="s">
        <v>148</v>
      </c>
      <c r="I52" s="51">
        <v>2702</v>
      </c>
      <c r="J52" s="51" t="s">
        <v>43</v>
      </c>
      <c r="K52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2" s="52"/>
      <c r="M52" s="58"/>
      <c r="N52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2702</v>
      </c>
      <c r="O52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Q52" s="49" t="s">
        <v>153</v>
      </c>
      <c r="R52" s="48">
        <v>46331</v>
      </c>
      <c r="S52" s="59" t="s">
        <v>27</v>
      </c>
    </row>
    <row r="53" spans="2:21" s="49" customFormat="1" ht="19.5" hidden="1" customHeight="1">
      <c r="B53" s="56">
        <v>46357</v>
      </c>
      <c r="C53" s="57"/>
      <c r="D53" s="48"/>
      <c r="E53" s="50"/>
      <c r="F53" s="48"/>
      <c r="G53" s="48"/>
      <c r="H53" s="49" t="s">
        <v>148</v>
      </c>
      <c r="I53" s="51">
        <v>2702</v>
      </c>
      <c r="J53" s="51" t="s">
        <v>43</v>
      </c>
      <c r="K53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3" s="52"/>
      <c r="M53" s="58"/>
      <c r="N53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2702</v>
      </c>
      <c r="O53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Q53" s="49" t="s">
        <v>154</v>
      </c>
      <c r="R53" s="48">
        <v>46359</v>
      </c>
      <c r="S53" s="59" t="s">
        <v>27</v>
      </c>
    </row>
    <row r="54" spans="2:21" ht="19.5" hidden="1" customHeight="1">
      <c r="B54" s="56">
        <v>46204</v>
      </c>
      <c r="C54" s="57"/>
      <c r="D54" s="48"/>
      <c r="E54" s="50"/>
      <c r="F54" s="48"/>
      <c r="G54" s="48"/>
      <c r="H54" s="49" t="s">
        <v>155</v>
      </c>
      <c r="I54" s="51">
        <v>2000</v>
      </c>
      <c r="J54" s="51" t="s">
        <v>55</v>
      </c>
      <c r="K5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4" s="52"/>
      <c r="M54" s="58"/>
      <c r="N54" s="135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2000</v>
      </c>
      <c r="O54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54" s="49" t="s">
        <v>25</v>
      </c>
      <c r="Q54" s="49" t="s">
        <v>156</v>
      </c>
      <c r="R54" s="48">
        <v>46205</v>
      </c>
      <c r="S54" s="59" t="s">
        <v>27</v>
      </c>
      <c r="T54" s="49"/>
      <c r="U54" s="49"/>
    </row>
    <row r="55" spans="2:21" ht="19.5" hidden="1" customHeight="1">
      <c r="B55" s="56">
        <v>46235</v>
      </c>
      <c r="C55" s="57"/>
      <c r="D55" s="48"/>
      <c r="E55" s="50"/>
      <c r="F55" s="48"/>
      <c r="G55" s="48"/>
      <c r="H55" s="49" t="s">
        <v>155</v>
      </c>
      <c r="I55" s="51">
        <v>2000</v>
      </c>
      <c r="J55" s="51" t="s">
        <v>55</v>
      </c>
      <c r="K5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5" s="52"/>
      <c r="M55" s="58"/>
      <c r="N5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2000</v>
      </c>
      <c r="O55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55" s="49"/>
      <c r="Q55" s="49" t="s">
        <v>157</v>
      </c>
      <c r="R55" s="48">
        <v>46240</v>
      </c>
      <c r="S55" s="59" t="s">
        <v>27</v>
      </c>
      <c r="T55" s="49"/>
      <c r="U55" s="49"/>
    </row>
    <row r="56" spans="2:21" ht="19.5" hidden="1" customHeight="1">
      <c r="B56" s="56">
        <v>46266</v>
      </c>
      <c r="C56" s="57"/>
      <c r="D56" s="48"/>
      <c r="E56" s="50"/>
      <c r="F56" s="48"/>
      <c r="G56" s="48"/>
      <c r="H56" s="49" t="s">
        <v>155</v>
      </c>
      <c r="I56" s="51">
        <v>2000</v>
      </c>
      <c r="J56" s="51" t="s">
        <v>55</v>
      </c>
      <c r="K5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6" s="52"/>
      <c r="M56" s="58"/>
      <c r="N5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2000</v>
      </c>
      <c r="O56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56" s="49"/>
      <c r="Q56" s="49" t="s">
        <v>158</v>
      </c>
      <c r="R56" s="48">
        <v>46268</v>
      </c>
      <c r="S56" s="59" t="s">
        <v>27</v>
      </c>
      <c r="T56" s="49"/>
      <c r="U56" s="49"/>
    </row>
    <row r="57" spans="2:21" ht="19.5" hidden="1" customHeight="1">
      <c r="B57" s="56">
        <v>46296</v>
      </c>
      <c r="C57" s="57"/>
      <c r="D57" s="48"/>
      <c r="E57" s="50"/>
      <c r="F57" s="48"/>
      <c r="G57" s="48"/>
      <c r="H57" s="49" t="s">
        <v>155</v>
      </c>
      <c r="I57" s="51">
        <v>2000</v>
      </c>
      <c r="J57" s="51" t="s">
        <v>55</v>
      </c>
      <c r="K5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7" s="52"/>
      <c r="M57" s="58"/>
      <c r="N5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2000</v>
      </c>
      <c r="O57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57" s="49"/>
      <c r="Q57" s="49" t="s">
        <v>159</v>
      </c>
      <c r="R57" s="48">
        <v>46296</v>
      </c>
      <c r="S57" s="59" t="s">
        <v>27</v>
      </c>
      <c r="T57" s="49"/>
      <c r="U57" s="49"/>
    </row>
    <row r="58" spans="2:21" ht="19.5" hidden="1" customHeight="1">
      <c r="B58" s="56">
        <v>46327</v>
      </c>
      <c r="C58" s="57"/>
      <c r="D58" s="48"/>
      <c r="E58" s="50"/>
      <c r="F58" s="48"/>
      <c r="G58" s="48"/>
      <c r="H58" s="49" t="s">
        <v>155</v>
      </c>
      <c r="I58" s="51">
        <v>2000</v>
      </c>
      <c r="J58" s="51" t="s">
        <v>55</v>
      </c>
      <c r="K5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8" s="52"/>
      <c r="M58" s="58"/>
      <c r="N5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2000</v>
      </c>
      <c r="O58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58" s="49"/>
      <c r="Q58" s="49" t="s">
        <v>160</v>
      </c>
      <c r="R58" s="48">
        <v>46331</v>
      </c>
      <c r="S58" s="59" t="s">
        <v>27</v>
      </c>
      <c r="T58" s="49"/>
      <c r="U58" s="49"/>
    </row>
    <row r="59" spans="2:21" s="49" customFormat="1" ht="19.5" hidden="1" customHeight="1">
      <c r="B59" s="56">
        <v>46357</v>
      </c>
      <c r="C59" s="57"/>
      <c r="D59" s="48"/>
      <c r="E59" s="50"/>
      <c r="F59" s="48"/>
      <c r="G59" s="48"/>
      <c r="H59" s="49" t="s">
        <v>155</v>
      </c>
      <c r="I59" s="51">
        <v>2000</v>
      </c>
      <c r="J59" s="51" t="s">
        <v>55</v>
      </c>
      <c r="K5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9" s="52"/>
      <c r="M59" s="58"/>
      <c r="N5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2000</v>
      </c>
      <c r="O59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Q59" s="49" t="s">
        <v>161</v>
      </c>
      <c r="R59" s="48">
        <v>46359</v>
      </c>
      <c r="S59" s="59" t="s">
        <v>27</v>
      </c>
    </row>
    <row r="60" spans="2:21" s="49" customFormat="1" ht="19.5" hidden="1" customHeight="1">
      <c r="B60" s="56">
        <v>46204</v>
      </c>
      <c r="C60" s="57"/>
      <c r="D60" s="48"/>
      <c r="E60" s="50"/>
      <c r="F60" s="48"/>
      <c r="G60" s="48"/>
      <c r="H60" s="49" t="s">
        <v>162</v>
      </c>
      <c r="I60" s="51">
        <v>1300</v>
      </c>
      <c r="J60" s="51" t="s">
        <v>55</v>
      </c>
      <c r="K6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0" s="52"/>
      <c r="M60" s="58"/>
      <c r="N60" s="135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1300</v>
      </c>
      <c r="O60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60" s="49" t="s">
        <v>25</v>
      </c>
      <c r="Q60" s="49" t="s">
        <v>163</v>
      </c>
      <c r="R60" s="48">
        <v>46205</v>
      </c>
      <c r="S60" s="59" t="s">
        <v>27</v>
      </c>
    </row>
    <row r="61" spans="2:21" ht="19.5" hidden="1" customHeight="1">
      <c r="B61" s="56">
        <v>46235</v>
      </c>
      <c r="C61" s="57"/>
      <c r="D61" s="48"/>
      <c r="E61" s="50"/>
      <c r="F61" s="48"/>
      <c r="G61" s="48"/>
      <c r="H61" s="49" t="s">
        <v>162</v>
      </c>
      <c r="I61" s="51">
        <v>1300</v>
      </c>
      <c r="J61" s="51" t="s">
        <v>55</v>
      </c>
      <c r="K6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1" s="52"/>
      <c r="M61" s="58"/>
      <c r="N6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1300</v>
      </c>
      <c r="O61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61" s="49"/>
      <c r="Q61" s="49" t="s">
        <v>164</v>
      </c>
      <c r="R61" s="48">
        <v>46240</v>
      </c>
      <c r="S61" s="59" t="s">
        <v>165</v>
      </c>
      <c r="T61" s="49"/>
      <c r="U61" s="49"/>
    </row>
    <row r="62" spans="2:21" ht="19.5" hidden="1" customHeight="1">
      <c r="B62" s="56">
        <v>46266</v>
      </c>
      <c r="C62" s="57"/>
      <c r="D62" s="48"/>
      <c r="E62" s="50"/>
      <c r="F62" s="48"/>
      <c r="G62" s="48"/>
      <c r="H62" s="49" t="s">
        <v>162</v>
      </c>
      <c r="I62" s="51">
        <v>1300</v>
      </c>
      <c r="J62" s="51" t="s">
        <v>55</v>
      </c>
      <c r="K6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2" s="52"/>
      <c r="M62" s="58"/>
      <c r="N6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1300</v>
      </c>
      <c r="O62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62" s="49"/>
      <c r="Q62" s="49" t="s">
        <v>166</v>
      </c>
      <c r="R62" s="48">
        <v>46268</v>
      </c>
      <c r="S62" s="59" t="s">
        <v>27</v>
      </c>
      <c r="T62" s="49"/>
      <c r="U62" s="49"/>
    </row>
    <row r="63" spans="2:21" ht="19.5" hidden="1" customHeight="1">
      <c r="B63" s="56">
        <v>46296</v>
      </c>
      <c r="C63" s="57"/>
      <c r="D63" s="48"/>
      <c r="E63" s="50"/>
      <c r="F63" s="48"/>
      <c r="G63" s="48"/>
      <c r="H63" s="49" t="s">
        <v>162</v>
      </c>
      <c r="I63" s="51">
        <v>1300</v>
      </c>
      <c r="J63" s="51" t="s">
        <v>55</v>
      </c>
      <c r="K6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3" s="52"/>
      <c r="M63" s="58"/>
      <c r="N6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1300</v>
      </c>
      <c r="O63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63" s="49"/>
      <c r="Q63" s="49" t="s">
        <v>167</v>
      </c>
      <c r="R63" s="48">
        <v>46296</v>
      </c>
      <c r="S63" s="59" t="s">
        <v>27</v>
      </c>
      <c r="T63" s="49"/>
      <c r="U63" s="49"/>
    </row>
    <row r="64" spans="2:21" ht="19.5" hidden="1" customHeight="1">
      <c r="B64" s="56">
        <v>46327</v>
      </c>
      <c r="C64" s="57"/>
      <c r="D64" s="48"/>
      <c r="E64" s="50"/>
      <c r="F64" s="48"/>
      <c r="G64" s="48"/>
      <c r="H64" s="49" t="s">
        <v>162</v>
      </c>
      <c r="I64" s="51">
        <v>1300</v>
      </c>
      <c r="J64" s="51" t="s">
        <v>55</v>
      </c>
      <c r="K6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4" s="52"/>
      <c r="M64" s="58"/>
      <c r="N6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1300</v>
      </c>
      <c r="O64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64" s="49"/>
      <c r="Q64" s="49" t="s">
        <v>168</v>
      </c>
      <c r="R64" s="48">
        <v>46331</v>
      </c>
      <c r="S64" s="59" t="s">
        <v>27</v>
      </c>
      <c r="T64" s="49"/>
      <c r="U64" s="49"/>
    </row>
    <row r="65" spans="2:21" ht="19.5" hidden="1" customHeight="1">
      <c r="B65" s="56">
        <v>46357</v>
      </c>
      <c r="C65" s="57"/>
      <c r="D65" s="48"/>
      <c r="E65" s="50"/>
      <c r="F65" s="48"/>
      <c r="G65" s="48"/>
      <c r="H65" s="49" t="s">
        <v>162</v>
      </c>
      <c r="I65" s="51">
        <v>1300</v>
      </c>
      <c r="J65" s="51" t="s">
        <v>55</v>
      </c>
      <c r="K6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5" s="52"/>
      <c r="M65" s="58"/>
      <c r="N6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1300</v>
      </c>
      <c r="O65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65" s="49"/>
      <c r="Q65" s="49" t="s">
        <v>169</v>
      </c>
      <c r="R65" s="48">
        <v>46359</v>
      </c>
      <c r="S65" s="59" t="s">
        <v>27</v>
      </c>
      <c r="T65" s="49"/>
      <c r="U65" s="49"/>
    </row>
    <row r="66" spans="2:21" ht="19.5" hidden="1" customHeight="1">
      <c r="B66" s="56">
        <v>46204</v>
      </c>
      <c r="C66" s="57"/>
      <c r="D66" s="48">
        <v>46206</v>
      </c>
      <c r="E66" s="50" t="s">
        <v>170</v>
      </c>
      <c r="F66" s="48"/>
      <c r="G66" s="48"/>
      <c r="H66" s="49" t="s">
        <v>171</v>
      </c>
      <c r="I66" s="51">
        <v>3000</v>
      </c>
      <c r="J66" s="51" t="s">
        <v>55</v>
      </c>
      <c r="K6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6" s="52"/>
      <c r="M66" s="58"/>
      <c r="N66" s="135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3000</v>
      </c>
      <c r="O66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66" s="49" t="s">
        <v>25</v>
      </c>
      <c r="Q66" s="49" t="s">
        <v>172</v>
      </c>
      <c r="R66" s="48">
        <v>46205</v>
      </c>
      <c r="S66" s="59" t="s">
        <v>27</v>
      </c>
      <c r="T66" s="49"/>
      <c r="U66" s="49"/>
    </row>
    <row r="67" spans="2:21" ht="19.5" hidden="1" customHeight="1">
      <c r="B67" s="56">
        <v>46235</v>
      </c>
      <c r="C67" s="57"/>
      <c r="D67" s="48"/>
      <c r="E67" s="50"/>
      <c r="F67" s="48"/>
      <c r="G67" s="48"/>
      <c r="H67" s="49" t="s">
        <v>171</v>
      </c>
      <c r="I67" s="51">
        <v>3000</v>
      </c>
      <c r="J67" s="51" t="s">
        <v>55</v>
      </c>
      <c r="K6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7" s="52"/>
      <c r="M67" s="58"/>
      <c r="N6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3000</v>
      </c>
      <c r="O67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67" s="49"/>
      <c r="Q67" s="49" t="s">
        <v>173</v>
      </c>
      <c r="R67" s="48">
        <v>46240</v>
      </c>
      <c r="S67" s="59" t="s">
        <v>27</v>
      </c>
      <c r="T67" s="49"/>
      <c r="U67" s="49"/>
    </row>
    <row r="68" spans="2:21" ht="19.5" hidden="1" customHeight="1">
      <c r="B68" s="56">
        <v>46266</v>
      </c>
      <c r="C68" s="57"/>
      <c r="D68" s="48"/>
      <c r="E68" s="50"/>
      <c r="F68" s="48"/>
      <c r="G68" s="48"/>
      <c r="H68" s="49" t="s">
        <v>171</v>
      </c>
      <c r="I68" s="51">
        <v>3000</v>
      </c>
      <c r="J68" s="51" t="s">
        <v>55</v>
      </c>
      <c r="K6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8" s="52"/>
      <c r="M68" s="58"/>
      <c r="N6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3000</v>
      </c>
      <c r="O68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68" s="49"/>
      <c r="Q68" s="49" t="s">
        <v>174</v>
      </c>
      <c r="R68" s="48">
        <v>46268</v>
      </c>
      <c r="S68" s="59" t="s">
        <v>27</v>
      </c>
      <c r="T68" s="49"/>
      <c r="U68" s="49"/>
    </row>
    <row r="69" spans="2:21" ht="19.5" hidden="1" customHeight="1">
      <c r="B69" s="56">
        <v>46296</v>
      </c>
      <c r="C69" s="57"/>
      <c r="D69" s="48"/>
      <c r="E69" s="50"/>
      <c r="F69" s="48"/>
      <c r="G69" s="48"/>
      <c r="H69" s="49" t="s">
        <v>171</v>
      </c>
      <c r="I69" s="51">
        <v>3000</v>
      </c>
      <c r="J69" s="51" t="s">
        <v>55</v>
      </c>
      <c r="K6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9" s="52"/>
      <c r="M69" s="58"/>
      <c r="N6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3000</v>
      </c>
      <c r="O69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69" s="49"/>
      <c r="Q69" s="49" t="s">
        <v>175</v>
      </c>
      <c r="R69" s="48">
        <v>46296</v>
      </c>
      <c r="S69" s="59" t="s">
        <v>27</v>
      </c>
      <c r="T69" s="49"/>
      <c r="U69" s="49"/>
    </row>
    <row r="70" spans="2:21" ht="19.5" hidden="1" customHeight="1">
      <c r="B70" s="56">
        <v>46327</v>
      </c>
      <c r="C70" s="57"/>
      <c r="D70" s="48"/>
      <c r="E70" s="50"/>
      <c r="F70" s="48"/>
      <c r="G70" s="48"/>
      <c r="H70" s="49" t="s">
        <v>171</v>
      </c>
      <c r="I70" s="51">
        <v>3000</v>
      </c>
      <c r="J70" s="51" t="s">
        <v>55</v>
      </c>
      <c r="K7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0" s="52"/>
      <c r="M70" s="58"/>
      <c r="N7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3000</v>
      </c>
      <c r="O70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70" s="49"/>
      <c r="Q70" s="49" t="s">
        <v>176</v>
      </c>
      <c r="R70" s="48">
        <v>46331</v>
      </c>
      <c r="S70" s="59" t="s">
        <v>27</v>
      </c>
      <c r="T70" s="49"/>
      <c r="U70" s="49"/>
    </row>
    <row r="71" spans="2:21" ht="19.5" hidden="1" customHeight="1">
      <c r="B71" s="56">
        <v>46357</v>
      </c>
      <c r="C71" s="57"/>
      <c r="D71" s="48"/>
      <c r="E71" s="50"/>
      <c r="F71" s="48"/>
      <c r="G71" s="48"/>
      <c r="H71" s="49" t="s">
        <v>171</v>
      </c>
      <c r="I71" s="51">
        <v>3000</v>
      </c>
      <c r="J71" s="51" t="s">
        <v>55</v>
      </c>
      <c r="K7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1" s="52"/>
      <c r="M71" s="58"/>
      <c r="N7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3000</v>
      </c>
      <c r="O71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71" s="49"/>
      <c r="Q71" s="49" t="s">
        <v>177</v>
      </c>
      <c r="R71" s="48">
        <v>46359</v>
      </c>
      <c r="S71" s="59" t="s">
        <v>27</v>
      </c>
      <c r="T71" s="49"/>
      <c r="U71" s="49"/>
    </row>
    <row r="72" spans="2:21" ht="19.5" hidden="1" customHeight="1">
      <c r="B72" s="56">
        <v>46127</v>
      </c>
      <c r="C72" s="57"/>
      <c r="D72" s="48"/>
      <c r="E72" s="50"/>
      <c r="F72" s="48"/>
      <c r="G72" s="48"/>
      <c r="H72" s="49" t="s">
        <v>178</v>
      </c>
      <c r="I72" s="51">
        <v>1329</v>
      </c>
      <c r="J72" s="51" t="s">
        <v>43</v>
      </c>
      <c r="K7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2" s="52"/>
      <c r="M72" s="58"/>
      <c r="N7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1329</v>
      </c>
      <c r="O72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72" s="49"/>
      <c r="Q72" s="49" t="s">
        <v>179</v>
      </c>
      <c r="R72" s="48">
        <v>46289</v>
      </c>
      <c r="S72" s="59" t="s">
        <v>27</v>
      </c>
      <c r="T72" s="49"/>
      <c r="U72" s="49"/>
    </row>
    <row r="73" spans="2:21" ht="19.5" hidden="1" customHeight="1">
      <c r="B73" s="56">
        <v>46204</v>
      </c>
      <c r="C73" s="57"/>
      <c r="D73" s="48">
        <v>46206</v>
      </c>
      <c r="E73" s="50" t="s">
        <v>180</v>
      </c>
      <c r="F73" s="48"/>
      <c r="G73" s="48"/>
      <c r="H73" s="49" t="s">
        <v>181</v>
      </c>
      <c r="I73" s="51">
        <v>1125</v>
      </c>
      <c r="J73" s="51" t="s">
        <v>55</v>
      </c>
      <c r="K7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3" s="52"/>
      <c r="M73" s="58"/>
      <c r="N73" s="135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1125</v>
      </c>
      <c r="O73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73" s="49" t="s">
        <v>25</v>
      </c>
      <c r="Q73" s="49" t="s">
        <v>182</v>
      </c>
      <c r="R73" s="48">
        <v>46205</v>
      </c>
      <c r="S73" s="59" t="s">
        <v>183</v>
      </c>
      <c r="T73" s="49"/>
      <c r="U73" s="49"/>
    </row>
    <row r="74" spans="2:21" ht="19.5" hidden="1" customHeight="1">
      <c r="B74" s="56">
        <v>46235</v>
      </c>
      <c r="C74" s="57"/>
      <c r="D74" s="48"/>
      <c r="E74" s="50"/>
      <c r="F74" s="48"/>
      <c r="G74" s="48"/>
      <c r="H74" s="49" t="s">
        <v>181</v>
      </c>
      <c r="I74" s="51">
        <v>1125</v>
      </c>
      <c r="J74" s="51" t="s">
        <v>55</v>
      </c>
      <c r="K7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4" s="52"/>
      <c r="M74" s="58"/>
      <c r="N74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1125</v>
      </c>
      <c r="O74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74" s="49"/>
      <c r="Q74" s="49" t="s">
        <v>184</v>
      </c>
      <c r="R74" s="48">
        <v>46233</v>
      </c>
      <c r="S74" s="59" t="s">
        <v>183</v>
      </c>
      <c r="T74" s="49"/>
      <c r="U74" s="49"/>
    </row>
    <row r="75" spans="2:21" ht="19.5" hidden="1" customHeight="1">
      <c r="B75" s="56">
        <v>46266</v>
      </c>
      <c r="C75" s="57"/>
      <c r="D75" s="48"/>
      <c r="E75" s="50"/>
      <c r="F75" s="48"/>
      <c r="G75" s="48"/>
      <c r="H75" s="49" t="s">
        <v>181</v>
      </c>
      <c r="I75" s="51">
        <v>1125</v>
      </c>
      <c r="J75" s="51" t="s">
        <v>55</v>
      </c>
      <c r="K7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5" s="52"/>
      <c r="M75" s="58"/>
      <c r="N75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1125</v>
      </c>
      <c r="O75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75" s="49"/>
      <c r="Q75" s="49" t="s">
        <v>185</v>
      </c>
      <c r="R75" s="48">
        <v>46268</v>
      </c>
      <c r="S75" s="59" t="s">
        <v>183</v>
      </c>
      <c r="T75" s="49"/>
      <c r="U75" s="49"/>
    </row>
    <row r="76" spans="2:21" ht="19.5" hidden="1" customHeight="1">
      <c r="B76" s="56">
        <v>46296</v>
      </c>
      <c r="C76" s="57"/>
      <c r="D76" s="48"/>
      <c r="E76" s="50"/>
      <c r="F76" s="48"/>
      <c r="G76" s="48"/>
      <c r="H76" s="49" t="s">
        <v>181</v>
      </c>
      <c r="I76" s="51">
        <v>1125</v>
      </c>
      <c r="J76" s="51" t="s">
        <v>55</v>
      </c>
      <c r="K7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6" s="52"/>
      <c r="M76" s="58"/>
      <c r="N76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1125</v>
      </c>
      <c r="O76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76" s="49"/>
      <c r="Q76" s="49" t="s">
        <v>186</v>
      </c>
      <c r="R76" s="48">
        <v>46296</v>
      </c>
      <c r="S76" s="59" t="s">
        <v>183</v>
      </c>
      <c r="T76" s="49"/>
      <c r="U76" s="49"/>
    </row>
    <row r="77" spans="2:21" ht="19.5" hidden="1" customHeight="1">
      <c r="B77" s="56">
        <v>46327</v>
      </c>
      <c r="C77" s="57"/>
      <c r="D77" s="48"/>
      <c r="E77" s="50"/>
      <c r="F77" s="48"/>
      <c r="G77" s="48"/>
      <c r="H77" s="49" t="s">
        <v>181</v>
      </c>
      <c r="I77" s="51">
        <v>1125</v>
      </c>
      <c r="J77" s="51" t="s">
        <v>55</v>
      </c>
      <c r="K7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7" s="52"/>
      <c r="M77" s="58"/>
      <c r="N77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1125</v>
      </c>
      <c r="O77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77" s="49"/>
      <c r="Q77" s="49" t="s">
        <v>187</v>
      </c>
      <c r="R77" s="48">
        <v>46324</v>
      </c>
      <c r="S77" s="59" t="s">
        <v>183</v>
      </c>
      <c r="T77" s="49"/>
      <c r="U77" s="49"/>
    </row>
    <row r="78" spans="2:21" ht="19.5" hidden="1" customHeight="1">
      <c r="B78" s="1">
        <v>45683</v>
      </c>
      <c r="C78" s="7" t="s">
        <v>188</v>
      </c>
      <c r="D78" s="1">
        <v>46052</v>
      </c>
      <c r="E78" s="29" t="s">
        <v>189</v>
      </c>
      <c r="F78" s="1">
        <v>46051</v>
      </c>
      <c r="G78" s="1"/>
      <c r="H78" s="49" t="s">
        <v>69</v>
      </c>
      <c r="I78" s="2">
        <v>15557.05</v>
      </c>
      <c r="J78" s="2" t="s">
        <v>55</v>
      </c>
      <c r="K7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8" s="3"/>
      <c r="M78" s="11"/>
      <c r="N7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15557.05</v>
      </c>
      <c r="O7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46051</v>
      </c>
      <c r="P78" t="s">
        <v>25</v>
      </c>
      <c r="Q78" t="s">
        <v>190</v>
      </c>
      <c r="R78" s="1">
        <v>46051</v>
      </c>
      <c r="S78" t="s">
        <v>45</v>
      </c>
      <c r="U78" t="s">
        <v>32</v>
      </c>
    </row>
    <row r="79" spans="2:21" ht="19.5" hidden="1" customHeight="1">
      <c r="B79" s="1">
        <v>46057</v>
      </c>
      <c r="C79" s="7" t="s">
        <v>191</v>
      </c>
      <c r="D79" s="1">
        <v>46062</v>
      </c>
      <c r="E79" s="29" t="s">
        <v>192</v>
      </c>
      <c r="F79" s="40">
        <v>46058</v>
      </c>
      <c r="G79" s="40"/>
      <c r="H79" s="49" t="s">
        <v>69</v>
      </c>
      <c r="I79" s="2">
        <v>54.44</v>
      </c>
      <c r="J79" s="2" t="s">
        <v>55</v>
      </c>
      <c r="K7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9" s="3"/>
      <c r="M79" s="11"/>
      <c r="N7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54.44</v>
      </c>
      <c r="O7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46058</v>
      </c>
      <c r="P79" t="s">
        <v>25</v>
      </c>
      <c r="Q79" t="s">
        <v>193</v>
      </c>
      <c r="R79" s="1">
        <v>46059</v>
      </c>
      <c r="S79" t="s">
        <v>45</v>
      </c>
      <c r="T79" s="24"/>
      <c r="U79" t="s">
        <v>32</v>
      </c>
    </row>
    <row r="80" spans="2:21" ht="19.5" customHeight="1">
      <c r="B80" s="56">
        <v>46049</v>
      </c>
      <c r="C80" s="57" t="s">
        <v>194</v>
      </c>
      <c r="D80" s="48">
        <v>46163</v>
      </c>
      <c r="E80" s="48" t="s">
        <v>195</v>
      </c>
      <c r="F80" s="48"/>
      <c r="G80" s="48"/>
      <c r="H80" s="49" t="s">
        <v>196</v>
      </c>
      <c r="I80" s="51">
        <v>37231</v>
      </c>
      <c r="J80" s="51" t="s">
        <v>78</v>
      </c>
      <c r="K80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18615.5</v>
      </c>
      <c r="L80" s="52">
        <v>46163</v>
      </c>
      <c r="M80" s="58" t="s">
        <v>25</v>
      </c>
      <c r="N80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18615.5</v>
      </c>
      <c r="O80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46223</v>
      </c>
      <c r="P80" s="49"/>
      <c r="Q80" s="49" t="s">
        <v>36</v>
      </c>
      <c r="R80" s="48">
        <v>46219</v>
      </c>
      <c r="S80" s="59" t="s">
        <v>27</v>
      </c>
      <c r="T80" s="49"/>
      <c r="U80" s="49" t="s">
        <v>32</v>
      </c>
    </row>
    <row r="81" spans="1:21" s="38" customFormat="1" ht="19.5" hidden="1" customHeight="1">
      <c r="A81"/>
      <c r="B81" s="1">
        <v>46057</v>
      </c>
      <c r="C81" s="7" t="s">
        <v>197</v>
      </c>
      <c r="D81" s="1"/>
      <c r="E81" s="29"/>
      <c r="F81" s="40">
        <v>46058</v>
      </c>
      <c r="G81" s="40"/>
      <c r="H81" s="49" t="s">
        <v>69</v>
      </c>
      <c r="I81" s="2">
        <v>1622.22</v>
      </c>
      <c r="J81" s="2" t="s">
        <v>55</v>
      </c>
      <c r="K8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1" s="3"/>
      <c r="M81" s="11"/>
      <c r="N8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1622.22</v>
      </c>
      <c r="O8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46058</v>
      </c>
      <c r="P81" t="s">
        <v>25</v>
      </c>
      <c r="Q81" t="s">
        <v>198</v>
      </c>
      <c r="R81" s="1">
        <v>46059</v>
      </c>
      <c r="S81" t="s">
        <v>45</v>
      </c>
      <c r="T81" s="24"/>
      <c r="U81"/>
    </row>
    <row r="82" spans="1:21" s="38" customFormat="1" ht="19.5" hidden="1" customHeight="1">
      <c r="A82"/>
      <c r="B82" s="1">
        <v>46057</v>
      </c>
      <c r="C82" s="7" t="s">
        <v>199</v>
      </c>
      <c r="D82" s="1">
        <v>46062</v>
      </c>
      <c r="E82" s="29" t="s">
        <v>200</v>
      </c>
      <c r="F82" s="40">
        <v>46058</v>
      </c>
      <c r="G82" s="40"/>
      <c r="H82" s="49" t="s">
        <v>69</v>
      </c>
      <c r="I82" s="41">
        <v>89164.73</v>
      </c>
      <c r="J82" s="41" t="s">
        <v>55</v>
      </c>
      <c r="K8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2" s="43"/>
      <c r="M82" s="42"/>
      <c r="N8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89164.73</v>
      </c>
      <c r="O8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46058</v>
      </c>
      <c r="P82" t="s">
        <v>25</v>
      </c>
      <c r="Q82" t="s">
        <v>201</v>
      </c>
      <c r="R82" s="1">
        <v>46059</v>
      </c>
      <c r="S82" t="s">
        <v>45</v>
      </c>
      <c r="T82" s="24"/>
      <c r="U82" t="s">
        <v>32</v>
      </c>
    </row>
    <row r="83" spans="1:21" s="38" customFormat="1" ht="19.5" hidden="1" customHeight="1">
      <c r="A83"/>
      <c r="B83" s="83">
        <v>46077</v>
      </c>
      <c r="C83" s="77" t="s">
        <v>202</v>
      </c>
      <c r="D83" s="76">
        <v>46080</v>
      </c>
      <c r="E83" s="78" t="s">
        <v>203</v>
      </c>
      <c r="F83" s="76"/>
      <c r="G83" s="76"/>
      <c r="H83" s="49" t="s">
        <v>69</v>
      </c>
      <c r="I83" s="79">
        <v>159333.07</v>
      </c>
      <c r="J83" s="79" t="s">
        <v>55</v>
      </c>
      <c r="K8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3" s="80"/>
      <c r="M83" s="81"/>
      <c r="N8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159333.07</v>
      </c>
      <c r="O83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83" s="63" t="s">
        <v>25</v>
      </c>
      <c r="Q83" s="63" t="s">
        <v>31</v>
      </c>
      <c r="R83" s="76">
        <v>46079</v>
      </c>
      <c r="S83" s="82" t="s">
        <v>45</v>
      </c>
      <c r="T83" s="63"/>
      <c r="U83" s="63" t="s">
        <v>32</v>
      </c>
    </row>
    <row r="84" spans="1:21" s="38" customFormat="1" ht="19.5" hidden="1" customHeight="1">
      <c r="A84"/>
      <c r="B84" s="56">
        <v>46150</v>
      </c>
      <c r="C84" s="57" t="s">
        <v>204</v>
      </c>
      <c r="D84" s="48">
        <v>46178</v>
      </c>
      <c r="E84" s="50" t="s">
        <v>205</v>
      </c>
      <c r="F84" s="48"/>
      <c r="G84" s="48"/>
      <c r="H84" s="49" t="s">
        <v>23</v>
      </c>
      <c r="I84" s="51">
        <v>1043.73</v>
      </c>
      <c r="J84" s="51" t="s">
        <v>24</v>
      </c>
      <c r="K84" s="62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313.11899999999997</v>
      </c>
      <c r="L84" s="52">
        <v>46184</v>
      </c>
      <c r="M84" s="49" t="s">
        <v>25</v>
      </c>
      <c r="N84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730.61099999999999</v>
      </c>
      <c r="O84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46238</v>
      </c>
      <c r="P84" s="49"/>
      <c r="Q84" s="49" t="s">
        <v>206</v>
      </c>
      <c r="R84" s="48">
        <v>46233</v>
      </c>
      <c r="S84" s="59" t="s">
        <v>27</v>
      </c>
      <c r="T84" s="49"/>
      <c r="U84" s="49"/>
    </row>
    <row r="85" spans="1:21" s="38" customFormat="1" ht="19.5" hidden="1" customHeight="1">
      <c r="A85"/>
      <c r="B85" s="56">
        <v>46157</v>
      </c>
      <c r="C85" s="57" t="s">
        <v>207</v>
      </c>
      <c r="D85" s="48">
        <v>46178</v>
      </c>
      <c r="E85" s="50" t="s">
        <v>208</v>
      </c>
      <c r="F85" s="48"/>
      <c r="G85" s="48"/>
      <c r="H85" s="49" t="s">
        <v>23</v>
      </c>
      <c r="I85" s="51">
        <v>2919.24</v>
      </c>
      <c r="J85" s="51" t="s">
        <v>24</v>
      </c>
      <c r="K85" s="62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875.77199999999993</v>
      </c>
      <c r="L85" s="52">
        <v>46184</v>
      </c>
      <c r="M85" s="49" t="s">
        <v>25</v>
      </c>
      <c r="N85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2043.4679999999996</v>
      </c>
      <c r="O85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46238</v>
      </c>
      <c r="P85" s="49"/>
      <c r="Q85" s="49" t="s">
        <v>209</v>
      </c>
      <c r="R85" s="48">
        <v>46233</v>
      </c>
      <c r="S85" s="59" t="s">
        <v>27</v>
      </c>
      <c r="T85" s="49"/>
      <c r="U85" s="49"/>
    </row>
    <row r="86" spans="1:21" ht="19.5" hidden="1" customHeight="1">
      <c r="B86" s="56"/>
      <c r="C86" s="57"/>
      <c r="D86" s="48">
        <v>46167</v>
      </c>
      <c r="E86" s="50" t="s">
        <v>210</v>
      </c>
      <c r="F86" s="48"/>
      <c r="G86" s="48"/>
      <c r="H86" s="49" t="s">
        <v>108</v>
      </c>
      <c r="I86" s="51">
        <v>3270</v>
      </c>
      <c r="J86" s="51" t="s">
        <v>30</v>
      </c>
      <c r="K86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6" s="52"/>
      <c r="M86" s="58"/>
      <c r="N86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3270</v>
      </c>
      <c r="O86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46227</v>
      </c>
      <c r="P86" s="49"/>
      <c r="Q86" s="49" t="s">
        <v>39</v>
      </c>
      <c r="R86" s="48">
        <v>46226</v>
      </c>
      <c r="S86" s="59" t="s">
        <v>27</v>
      </c>
      <c r="T86" s="49"/>
      <c r="U86" s="49" t="s">
        <v>32</v>
      </c>
    </row>
    <row r="87" spans="1:21" ht="19.5" hidden="1" customHeight="1">
      <c r="B87" s="56"/>
      <c r="C87" s="57"/>
      <c r="D87" s="48">
        <v>46160</v>
      </c>
      <c r="E87" s="50" t="s">
        <v>211</v>
      </c>
      <c r="F87" s="48"/>
      <c r="G87" s="48"/>
      <c r="H87" s="49" t="s">
        <v>29</v>
      </c>
      <c r="I87" s="51">
        <v>37020.879999999997</v>
      </c>
      <c r="J87" s="51" t="s">
        <v>30</v>
      </c>
      <c r="K87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7" s="52"/>
      <c r="M87" s="58"/>
      <c r="N87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37020.879999999997</v>
      </c>
      <c r="O87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46220</v>
      </c>
      <c r="P87" s="49"/>
      <c r="Q87" s="49" t="s">
        <v>212</v>
      </c>
      <c r="R87" s="48">
        <v>46219</v>
      </c>
      <c r="S87" s="59" t="s">
        <v>27</v>
      </c>
      <c r="T87" s="49"/>
      <c r="U87" s="49" t="s">
        <v>32</v>
      </c>
    </row>
    <row r="88" spans="1:21" ht="19.5" hidden="1" customHeight="1">
      <c r="B88" s="56"/>
      <c r="C88" s="57"/>
      <c r="D88" s="48">
        <v>46160</v>
      </c>
      <c r="E88" s="50" t="s">
        <v>213</v>
      </c>
      <c r="F88" s="48"/>
      <c r="G88" s="48"/>
      <c r="H88" s="49" t="s">
        <v>29</v>
      </c>
      <c r="I88" s="51">
        <v>40560.54</v>
      </c>
      <c r="J88" s="51" t="s">
        <v>30</v>
      </c>
      <c r="K88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8" s="52"/>
      <c r="M88" s="58"/>
      <c r="N88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40560.54</v>
      </c>
      <c r="O88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46220</v>
      </c>
      <c r="P88" s="49"/>
      <c r="Q88" s="49" t="s">
        <v>214</v>
      </c>
      <c r="R88" s="48">
        <v>46219</v>
      </c>
      <c r="S88" s="59" t="s">
        <v>27</v>
      </c>
      <c r="T88" s="49"/>
      <c r="U88" s="49" t="s">
        <v>32</v>
      </c>
    </row>
    <row r="89" spans="1:21" ht="19.5" hidden="1" customHeight="1">
      <c r="B89" s="56"/>
      <c r="C89" s="57"/>
      <c r="D89" s="48">
        <v>46161</v>
      </c>
      <c r="E89" s="50" t="s">
        <v>215</v>
      </c>
      <c r="F89" s="48"/>
      <c r="G89" s="48"/>
      <c r="H89" s="49" t="s">
        <v>29</v>
      </c>
      <c r="I89" s="51">
        <v>40738.43</v>
      </c>
      <c r="J89" s="51" t="s">
        <v>30</v>
      </c>
      <c r="K89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9" s="52"/>
      <c r="M89" s="58"/>
      <c r="N89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40738.43</v>
      </c>
      <c r="O89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46221</v>
      </c>
      <c r="P89" s="49"/>
      <c r="Q89" s="49" t="s">
        <v>214</v>
      </c>
      <c r="R89" s="48">
        <v>46219</v>
      </c>
      <c r="S89" s="59" t="s">
        <v>27</v>
      </c>
      <c r="T89" s="49"/>
      <c r="U89" s="49" t="s">
        <v>32</v>
      </c>
    </row>
    <row r="90" spans="1:21" ht="19.5" hidden="1" customHeight="1">
      <c r="B90" s="56"/>
      <c r="C90" s="57"/>
      <c r="D90" s="48">
        <v>46161</v>
      </c>
      <c r="E90" s="50" t="s">
        <v>216</v>
      </c>
      <c r="F90" s="48"/>
      <c r="G90" s="48"/>
      <c r="H90" s="49" t="s">
        <v>29</v>
      </c>
      <c r="I90" s="51">
        <v>26113.79</v>
      </c>
      <c r="J90" s="51" t="s">
        <v>30</v>
      </c>
      <c r="K9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0" s="52"/>
      <c r="M90" s="58"/>
      <c r="N90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26113.79</v>
      </c>
      <c r="O90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46221</v>
      </c>
      <c r="P90" s="49"/>
      <c r="Q90" s="49" t="s">
        <v>217</v>
      </c>
      <c r="R90" s="48">
        <v>46219</v>
      </c>
      <c r="S90" s="59" t="s">
        <v>27</v>
      </c>
      <c r="T90" s="49"/>
      <c r="U90" s="49" t="s">
        <v>32</v>
      </c>
    </row>
    <row r="91" spans="1:21" ht="19.5" hidden="1" customHeight="1">
      <c r="B91" s="56"/>
      <c r="C91" s="57"/>
      <c r="D91" s="48">
        <v>46161</v>
      </c>
      <c r="E91" s="50" t="s">
        <v>218</v>
      </c>
      <c r="F91" s="48"/>
      <c r="G91" s="48"/>
      <c r="H91" s="49" t="s">
        <v>29</v>
      </c>
      <c r="I91" s="51">
        <v>5797.6</v>
      </c>
      <c r="J91" s="51" t="s">
        <v>30</v>
      </c>
      <c r="K91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1" s="52"/>
      <c r="M91" s="58"/>
      <c r="N91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5797.6</v>
      </c>
      <c r="O91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46221</v>
      </c>
      <c r="P91" s="49"/>
      <c r="Q91" s="49" t="s">
        <v>217</v>
      </c>
      <c r="R91" s="48">
        <v>46219</v>
      </c>
      <c r="S91" s="59" t="s">
        <v>27</v>
      </c>
      <c r="T91" s="49"/>
      <c r="U91" s="49" t="s">
        <v>32</v>
      </c>
    </row>
    <row r="92" spans="1:21" ht="19.5" hidden="1" customHeight="1">
      <c r="B92" s="56"/>
      <c r="C92" s="57"/>
      <c r="D92" s="48">
        <v>46161</v>
      </c>
      <c r="E92" s="50" t="s">
        <v>219</v>
      </c>
      <c r="F92" s="48"/>
      <c r="G92" s="48"/>
      <c r="H92" s="49" t="s">
        <v>29</v>
      </c>
      <c r="I92" s="51">
        <v>20088.599999999999</v>
      </c>
      <c r="J92" s="51" t="s">
        <v>30</v>
      </c>
      <c r="K9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2" s="52"/>
      <c r="M92" s="58"/>
      <c r="N92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20088.599999999999</v>
      </c>
      <c r="O92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46221</v>
      </c>
      <c r="P92" s="49"/>
      <c r="Q92" s="49" t="s">
        <v>220</v>
      </c>
      <c r="R92" s="48">
        <v>46219</v>
      </c>
      <c r="S92" s="59" t="s">
        <v>27</v>
      </c>
      <c r="T92" s="49"/>
      <c r="U92" s="49" t="s">
        <v>32</v>
      </c>
    </row>
    <row r="93" spans="1:21" ht="19.5" hidden="1" customHeight="1">
      <c r="B93" s="56"/>
      <c r="C93" s="57"/>
      <c r="D93" s="48">
        <v>46161</v>
      </c>
      <c r="E93" s="50" t="s">
        <v>221</v>
      </c>
      <c r="F93" s="48"/>
      <c r="G93" s="48"/>
      <c r="H93" s="49" t="s">
        <v>29</v>
      </c>
      <c r="I93" s="51">
        <v>36359.18</v>
      </c>
      <c r="J93" s="51" t="s">
        <v>30</v>
      </c>
      <c r="K93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3" s="52"/>
      <c r="M93" s="58"/>
      <c r="N93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36359.18</v>
      </c>
      <c r="O93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46221</v>
      </c>
      <c r="P93" s="49"/>
      <c r="Q93" s="49" t="s">
        <v>222</v>
      </c>
      <c r="R93" s="48">
        <v>46219</v>
      </c>
      <c r="S93" s="59" t="s">
        <v>27</v>
      </c>
      <c r="T93" s="49"/>
      <c r="U93" s="49" t="s">
        <v>32</v>
      </c>
    </row>
    <row r="94" spans="1:21" ht="19.5" hidden="1" customHeight="1">
      <c r="B94" s="56"/>
      <c r="C94" s="57"/>
      <c r="D94" s="48">
        <v>46161</v>
      </c>
      <c r="E94" s="50" t="s">
        <v>223</v>
      </c>
      <c r="F94" s="48"/>
      <c r="G94" s="48"/>
      <c r="H94" s="49" t="s">
        <v>29</v>
      </c>
      <c r="I94" s="51">
        <v>34475.26</v>
      </c>
      <c r="J94" s="51" t="s">
        <v>30</v>
      </c>
      <c r="K94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4" s="52"/>
      <c r="M94" s="58"/>
      <c r="N94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34475.26</v>
      </c>
      <c r="O94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46221</v>
      </c>
      <c r="P94" s="49"/>
      <c r="Q94" s="49" t="s">
        <v>222</v>
      </c>
      <c r="R94" s="48">
        <v>46219</v>
      </c>
      <c r="S94" s="59" t="s">
        <v>27</v>
      </c>
      <c r="T94" s="49"/>
      <c r="U94" s="49" t="s">
        <v>32</v>
      </c>
    </row>
    <row r="95" spans="1:21" ht="19.5" hidden="1" customHeight="1">
      <c r="B95" s="56"/>
      <c r="C95" s="57"/>
      <c r="D95" s="48">
        <v>46162</v>
      </c>
      <c r="E95" s="50" t="s">
        <v>224</v>
      </c>
      <c r="F95" s="48"/>
      <c r="G95" s="48"/>
      <c r="H95" s="49" t="s">
        <v>29</v>
      </c>
      <c r="I95" s="51">
        <v>34933.339999999997</v>
      </c>
      <c r="J95" s="51" t="s">
        <v>30</v>
      </c>
      <c r="K95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5" s="52"/>
      <c r="M95" s="58"/>
      <c r="N95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34933.339999999997</v>
      </c>
      <c r="O95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46222</v>
      </c>
      <c r="P95" s="49"/>
      <c r="Q95" s="49" t="s">
        <v>222</v>
      </c>
      <c r="R95" s="48">
        <v>46219</v>
      </c>
      <c r="S95" s="59" t="s">
        <v>27</v>
      </c>
      <c r="T95" s="49"/>
      <c r="U95" s="49" t="s">
        <v>32</v>
      </c>
    </row>
    <row r="96" spans="1:21" ht="19.5" hidden="1" customHeight="1">
      <c r="B96" s="56"/>
      <c r="C96" s="57"/>
      <c r="D96" s="48">
        <v>46163</v>
      </c>
      <c r="E96" s="50" t="s">
        <v>225</v>
      </c>
      <c r="F96" s="48"/>
      <c r="G96" s="48"/>
      <c r="H96" s="49" t="s">
        <v>29</v>
      </c>
      <c r="I96" s="51">
        <v>9584.2999999999993</v>
      </c>
      <c r="J96" s="51" t="s">
        <v>30</v>
      </c>
      <c r="K96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6" s="52"/>
      <c r="M96" s="58"/>
      <c r="N96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9584.2999999999993</v>
      </c>
      <c r="O96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46223</v>
      </c>
      <c r="P96" s="49"/>
      <c r="Q96" s="49" t="s">
        <v>214</v>
      </c>
      <c r="R96" s="48">
        <v>46219</v>
      </c>
      <c r="S96" s="59" t="s">
        <v>27</v>
      </c>
      <c r="T96" s="49"/>
      <c r="U96" s="49" t="s">
        <v>32</v>
      </c>
    </row>
    <row r="97" spans="2:21" ht="19.5" hidden="1" customHeight="1">
      <c r="B97" s="56"/>
      <c r="C97" s="57"/>
      <c r="D97" s="48">
        <v>46163</v>
      </c>
      <c r="E97" s="50" t="s">
        <v>226</v>
      </c>
      <c r="F97" s="48"/>
      <c r="G97" s="48"/>
      <c r="H97" s="49" t="s">
        <v>29</v>
      </c>
      <c r="I97" s="51">
        <v>29409.51</v>
      </c>
      <c r="J97" s="51" t="s">
        <v>30</v>
      </c>
      <c r="K97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7" s="52"/>
      <c r="M97" s="58"/>
      <c r="N97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29409.51</v>
      </c>
      <c r="O97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46223</v>
      </c>
      <c r="P97" s="49"/>
      <c r="Q97" s="49" t="s">
        <v>214</v>
      </c>
      <c r="R97" s="48">
        <v>46219</v>
      </c>
      <c r="S97" s="59" t="s">
        <v>27</v>
      </c>
      <c r="T97" s="49"/>
      <c r="U97" s="49" t="s">
        <v>32</v>
      </c>
    </row>
    <row r="98" spans="2:21" ht="19.5" hidden="1" customHeight="1">
      <c r="B98" s="56">
        <v>46168</v>
      </c>
      <c r="C98" s="57" t="s">
        <v>227</v>
      </c>
      <c r="D98" s="48">
        <v>46178</v>
      </c>
      <c r="E98" s="50" t="s">
        <v>228</v>
      </c>
      <c r="F98" s="48"/>
      <c r="G98" s="48"/>
      <c r="H98" s="49" t="s">
        <v>23</v>
      </c>
      <c r="I98" s="51">
        <v>3563.37</v>
      </c>
      <c r="J98" s="51" t="s">
        <v>24</v>
      </c>
      <c r="K98" s="62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1069.011</v>
      </c>
      <c r="L98" s="52">
        <v>46184</v>
      </c>
      <c r="M98" s="49" t="s">
        <v>25</v>
      </c>
      <c r="N98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2494.3589999999999</v>
      </c>
      <c r="O98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46238</v>
      </c>
      <c r="P98" s="49"/>
      <c r="Q98" s="49" t="s">
        <v>229</v>
      </c>
      <c r="R98" s="48">
        <v>46233</v>
      </c>
      <c r="S98" s="59" t="s">
        <v>27</v>
      </c>
      <c r="T98" s="49"/>
      <c r="U98" s="49"/>
    </row>
    <row r="99" spans="2:21" ht="19.5" customHeight="1">
      <c r="B99" s="56">
        <v>46142</v>
      </c>
      <c r="C99" s="57" t="s">
        <v>230</v>
      </c>
      <c r="D99" s="48">
        <v>46163</v>
      </c>
      <c r="E99" s="50" t="s">
        <v>231</v>
      </c>
      <c r="F99" s="48"/>
      <c r="G99" s="48"/>
      <c r="H99" s="49" t="s">
        <v>196</v>
      </c>
      <c r="I99" s="51">
        <v>7063</v>
      </c>
      <c r="J99" s="51" t="s">
        <v>78</v>
      </c>
      <c r="K99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3531.5</v>
      </c>
      <c r="L99" s="52">
        <v>46163</v>
      </c>
      <c r="M99" s="58" t="s">
        <v>25</v>
      </c>
      <c r="N99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3531.5</v>
      </c>
      <c r="O99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46223</v>
      </c>
      <c r="P99" s="49"/>
      <c r="Q99" s="49" t="s">
        <v>232</v>
      </c>
      <c r="R99" s="48">
        <v>46219</v>
      </c>
      <c r="S99" s="59" t="s">
        <v>27</v>
      </c>
      <c r="T99" s="49"/>
      <c r="U99" s="49" t="s">
        <v>32</v>
      </c>
    </row>
    <row r="100" spans="2:21" ht="19.5" customHeight="1">
      <c r="B100" s="56">
        <v>46044</v>
      </c>
      <c r="C100" s="57" t="s">
        <v>233</v>
      </c>
      <c r="D100" s="48">
        <v>46170</v>
      </c>
      <c r="E100" s="50" t="s">
        <v>234</v>
      </c>
      <c r="F100" s="48"/>
      <c r="G100" s="48"/>
      <c r="H100" s="49" t="s">
        <v>196</v>
      </c>
      <c r="I100" s="51">
        <v>28576</v>
      </c>
      <c r="J100" s="51" t="s">
        <v>78</v>
      </c>
      <c r="K100" s="62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14288</v>
      </c>
      <c r="L100" s="52">
        <v>46170</v>
      </c>
      <c r="M100" s="49" t="s">
        <v>25</v>
      </c>
      <c r="N100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14288</v>
      </c>
      <c r="O100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46230</v>
      </c>
      <c r="P100" s="49"/>
      <c r="Q100" s="49" t="s">
        <v>235</v>
      </c>
      <c r="R100" s="48">
        <v>46226</v>
      </c>
      <c r="S100" s="59" t="s">
        <v>27</v>
      </c>
      <c r="T100" s="49"/>
      <c r="U100" s="49" t="s">
        <v>32</v>
      </c>
    </row>
    <row r="101" spans="2:21" ht="19.5" customHeight="1">
      <c r="B101" s="56">
        <v>46162</v>
      </c>
      <c r="C101" s="57" t="s">
        <v>236</v>
      </c>
      <c r="D101" s="48">
        <v>46170</v>
      </c>
      <c r="E101" s="50" t="s">
        <v>237</v>
      </c>
      <c r="F101" s="48"/>
      <c r="G101" s="48"/>
      <c r="H101" s="49" t="s">
        <v>196</v>
      </c>
      <c r="I101" s="51">
        <v>2585.4</v>
      </c>
      <c r="J101" s="51" t="s">
        <v>78</v>
      </c>
      <c r="K101" s="62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1292.7</v>
      </c>
      <c r="L101" s="52">
        <v>46170</v>
      </c>
      <c r="M101" s="49" t="s">
        <v>25</v>
      </c>
      <c r="N101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1292.7</v>
      </c>
      <c r="O101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46230</v>
      </c>
      <c r="P101" s="49"/>
      <c r="Q101" s="49" t="s">
        <v>232</v>
      </c>
      <c r="R101" s="48">
        <v>46226</v>
      </c>
      <c r="S101" s="59" t="s">
        <v>27</v>
      </c>
      <c r="T101" s="49"/>
      <c r="U101" s="49" t="s">
        <v>32</v>
      </c>
    </row>
    <row r="102" spans="2:21" ht="19.5" hidden="1" customHeight="1">
      <c r="B102" s="56"/>
      <c r="C102" s="57"/>
      <c r="D102" s="48">
        <v>46168</v>
      </c>
      <c r="E102" s="50" t="s">
        <v>238</v>
      </c>
      <c r="F102" s="48"/>
      <c r="G102" s="48"/>
      <c r="H102" s="49" t="s">
        <v>86</v>
      </c>
      <c r="I102" s="51">
        <v>-132.97999999999999</v>
      </c>
      <c r="J102" s="51" t="s">
        <v>55</v>
      </c>
      <c r="K10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2" s="52"/>
      <c r="M102" s="58"/>
      <c r="N102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-132.97999999999999</v>
      </c>
      <c r="O102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02" s="49"/>
      <c r="Q102" s="49" t="s">
        <v>239</v>
      </c>
      <c r="R102" s="49"/>
      <c r="S102" s="59"/>
      <c r="T102" s="49"/>
      <c r="U102" s="49"/>
    </row>
    <row r="103" spans="2:21" ht="19.5" hidden="1" customHeight="1">
      <c r="B103" s="56"/>
      <c r="C103" s="57"/>
      <c r="D103" s="48">
        <v>46171</v>
      </c>
      <c r="E103" s="50" t="s">
        <v>240</v>
      </c>
      <c r="F103" s="48"/>
      <c r="G103" s="48"/>
      <c r="H103" s="49" t="s">
        <v>108</v>
      </c>
      <c r="I103" s="51">
        <v>699.24</v>
      </c>
      <c r="J103" s="51" t="s">
        <v>30</v>
      </c>
      <c r="K103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3" s="52"/>
      <c r="M103" s="58"/>
      <c r="N103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699.24</v>
      </c>
      <c r="O103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46231</v>
      </c>
      <c r="P103" s="49"/>
      <c r="Q103" s="49" t="s">
        <v>241</v>
      </c>
      <c r="R103" s="48">
        <v>46219</v>
      </c>
      <c r="S103" s="59" t="s">
        <v>27</v>
      </c>
      <c r="T103" s="49"/>
      <c r="U103" s="49" t="s">
        <v>32</v>
      </c>
    </row>
    <row r="104" spans="2:21" s="174" customFormat="1" ht="19.5" hidden="1" customHeight="1">
      <c r="B104" s="56"/>
      <c r="C104" s="57"/>
      <c r="D104" s="48">
        <v>46171</v>
      </c>
      <c r="E104" s="50" t="s">
        <v>242</v>
      </c>
      <c r="F104" s="48"/>
      <c r="G104" s="48"/>
      <c r="H104" s="49" t="s">
        <v>108</v>
      </c>
      <c r="I104" s="51">
        <v>104.22</v>
      </c>
      <c r="J104" s="51" t="s">
        <v>30</v>
      </c>
      <c r="K104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4" s="52"/>
      <c r="M104" s="58"/>
      <c r="N104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104.22</v>
      </c>
      <c r="O104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46231</v>
      </c>
      <c r="P104" s="49"/>
      <c r="Q104" s="49" t="s">
        <v>241</v>
      </c>
      <c r="R104" s="48">
        <v>46219</v>
      </c>
      <c r="S104" s="59" t="s">
        <v>27</v>
      </c>
      <c r="T104" s="49"/>
      <c r="U104" s="49" t="s">
        <v>32</v>
      </c>
    </row>
    <row r="105" spans="2:21" ht="19.5" hidden="1" customHeight="1">
      <c r="B105" s="56"/>
      <c r="C105" s="57"/>
      <c r="D105" s="48">
        <v>46167</v>
      </c>
      <c r="E105" s="50" t="s">
        <v>243</v>
      </c>
      <c r="F105" s="48"/>
      <c r="G105" s="48"/>
      <c r="H105" s="49" t="s">
        <v>29</v>
      </c>
      <c r="I105" s="51">
        <v>15311.76</v>
      </c>
      <c r="J105" s="51" t="s">
        <v>30</v>
      </c>
      <c r="K105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5" s="52"/>
      <c r="M105" s="58"/>
      <c r="N105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15311.76</v>
      </c>
      <c r="O105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46227</v>
      </c>
      <c r="P105" s="49"/>
      <c r="Q105" s="49" t="s">
        <v>232</v>
      </c>
      <c r="R105" s="48">
        <v>46226</v>
      </c>
      <c r="S105" s="59" t="s">
        <v>27</v>
      </c>
      <c r="T105" s="49"/>
      <c r="U105" s="49" t="s">
        <v>32</v>
      </c>
    </row>
    <row r="106" spans="2:21" s="49" customFormat="1" ht="19.5" hidden="1" customHeight="1">
      <c r="B106" s="56"/>
      <c r="C106" s="57"/>
      <c r="D106" s="48">
        <v>46167</v>
      </c>
      <c r="E106" s="50" t="s">
        <v>244</v>
      </c>
      <c r="F106" s="48"/>
      <c r="G106" s="48"/>
      <c r="H106" s="49" t="s">
        <v>29</v>
      </c>
      <c r="I106" s="51">
        <v>15891</v>
      </c>
      <c r="J106" s="51" t="s">
        <v>30</v>
      </c>
      <c r="K106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6" s="52"/>
      <c r="M106" s="58"/>
      <c r="N106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15891</v>
      </c>
      <c r="O106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46227</v>
      </c>
      <c r="Q106" s="49" t="s">
        <v>232</v>
      </c>
      <c r="R106" s="48">
        <v>46226</v>
      </c>
      <c r="S106" s="59" t="s">
        <v>27</v>
      </c>
      <c r="U106" s="49" t="s">
        <v>32</v>
      </c>
    </row>
    <row r="107" spans="2:21" ht="19.5" hidden="1" customHeight="1">
      <c r="B107" s="56"/>
      <c r="C107" s="57"/>
      <c r="D107" s="48">
        <v>46167</v>
      </c>
      <c r="E107" s="50" t="s">
        <v>245</v>
      </c>
      <c r="F107" s="48"/>
      <c r="G107" s="48"/>
      <c r="H107" s="49" t="s">
        <v>29</v>
      </c>
      <c r="I107" s="51">
        <v>33541.9</v>
      </c>
      <c r="J107" s="51" t="s">
        <v>30</v>
      </c>
      <c r="K107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7" s="52"/>
      <c r="M107" s="58"/>
      <c r="N107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33541.9</v>
      </c>
      <c r="O107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46227</v>
      </c>
      <c r="P107" s="49"/>
      <c r="Q107" s="49" t="s">
        <v>232</v>
      </c>
      <c r="R107" s="48">
        <v>46226</v>
      </c>
      <c r="S107" s="59" t="s">
        <v>27</v>
      </c>
      <c r="T107" s="49"/>
      <c r="U107" s="49" t="s">
        <v>32</v>
      </c>
    </row>
    <row r="108" spans="2:21" ht="19.5" hidden="1" customHeight="1">
      <c r="B108" s="56"/>
      <c r="C108" s="57"/>
      <c r="D108" s="48">
        <v>46168</v>
      </c>
      <c r="E108" s="50" t="s">
        <v>246</v>
      </c>
      <c r="F108" s="48"/>
      <c r="G108" s="48"/>
      <c r="H108" s="49" t="s">
        <v>29</v>
      </c>
      <c r="I108" s="51">
        <v>40101.269999999997</v>
      </c>
      <c r="J108" s="51" t="s">
        <v>30</v>
      </c>
      <c r="K108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8" s="52"/>
      <c r="M108" s="58"/>
      <c r="N108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40101.269999999997</v>
      </c>
      <c r="O108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46228</v>
      </c>
      <c r="P108" s="49"/>
      <c r="Q108" s="49" t="s">
        <v>222</v>
      </c>
      <c r="R108" s="48">
        <v>46226</v>
      </c>
      <c r="S108" s="59" t="s">
        <v>27</v>
      </c>
      <c r="T108" s="49"/>
      <c r="U108" s="49" t="s">
        <v>32</v>
      </c>
    </row>
    <row r="109" spans="2:21" ht="19.5" hidden="1" customHeight="1">
      <c r="B109" s="56"/>
      <c r="C109" s="57"/>
      <c r="D109" s="48">
        <v>46170</v>
      </c>
      <c r="E109" s="50" t="s">
        <v>247</v>
      </c>
      <c r="F109" s="48"/>
      <c r="G109" s="48"/>
      <c r="H109" s="49" t="s">
        <v>29</v>
      </c>
      <c r="I109" s="51">
        <v>33676.879999999997</v>
      </c>
      <c r="J109" s="51" t="s">
        <v>30</v>
      </c>
      <c r="K109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9" s="52"/>
      <c r="M109" s="58"/>
      <c r="N109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33676.879999999997</v>
      </c>
      <c r="O109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46230</v>
      </c>
      <c r="P109" s="49"/>
      <c r="Q109" s="49" t="s">
        <v>222</v>
      </c>
      <c r="R109" s="48">
        <v>46226</v>
      </c>
      <c r="S109" s="59" t="s">
        <v>27</v>
      </c>
      <c r="T109" s="49"/>
      <c r="U109" s="49" t="s">
        <v>32</v>
      </c>
    </row>
    <row r="110" spans="2:21" ht="18.75" hidden="1" customHeight="1">
      <c r="B110" s="56"/>
      <c r="C110" s="57"/>
      <c r="D110" s="48">
        <v>46170</v>
      </c>
      <c r="E110" s="50" t="s">
        <v>248</v>
      </c>
      <c r="F110" s="48"/>
      <c r="G110" s="48"/>
      <c r="H110" s="49" t="s">
        <v>29</v>
      </c>
      <c r="I110" s="51">
        <v>27831.64</v>
      </c>
      <c r="J110" s="51" t="s">
        <v>30</v>
      </c>
      <c r="K11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0" s="52"/>
      <c r="M110" s="58"/>
      <c r="N110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27831.64</v>
      </c>
      <c r="O110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46230</v>
      </c>
      <c r="P110" s="49"/>
      <c r="Q110" s="49" t="s">
        <v>222</v>
      </c>
      <c r="R110" s="48">
        <v>46226</v>
      </c>
      <c r="S110" s="59" t="s">
        <v>27</v>
      </c>
      <c r="T110" s="49"/>
      <c r="U110" s="49" t="s">
        <v>32</v>
      </c>
    </row>
    <row r="111" spans="2:21" ht="18.75" hidden="1" customHeight="1">
      <c r="B111" s="56"/>
      <c r="C111" s="57"/>
      <c r="D111" s="48">
        <v>46170</v>
      </c>
      <c r="E111" s="50" t="s">
        <v>249</v>
      </c>
      <c r="F111" s="48"/>
      <c r="G111" s="48"/>
      <c r="H111" s="49" t="s">
        <v>29</v>
      </c>
      <c r="I111" s="51">
        <v>28772.6</v>
      </c>
      <c r="J111" s="51" t="s">
        <v>30</v>
      </c>
      <c r="K111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1" s="52"/>
      <c r="M111" s="58"/>
      <c r="N111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28772.6</v>
      </c>
      <c r="O111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46230</v>
      </c>
      <c r="P111" s="49"/>
      <c r="Q111" s="49" t="s">
        <v>222</v>
      </c>
      <c r="R111" s="48">
        <v>46226</v>
      </c>
      <c r="S111" s="59" t="s">
        <v>27</v>
      </c>
      <c r="T111" s="49"/>
      <c r="U111" s="49" t="s">
        <v>32</v>
      </c>
    </row>
    <row r="112" spans="2:21" ht="18.75" hidden="1" customHeight="1">
      <c r="B112" s="56"/>
      <c r="C112" s="57"/>
      <c r="D112" s="48">
        <v>46171</v>
      </c>
      <c r="E112" s="50" t="s">
        <v>250</v>
      </c>
      <c r="F112" s="48"/>
      <c r="G112" s="48"/>
      <c r="H112" s="49" t="s">
        <v>29</v>
      </c>
      <c r="I112" s="66">
        <v>1230.05</v>
      </c>
      <c r="J112" s="66" t="s">
        <v>30</v>
      </c>
      <c r="K11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2" s="67"/>
      <c r="M112" s="95"/>
      <c r="N112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1230.05</v>
      </c>
      <c r="O112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46231</v>
      </c>
      <c r="P112" s="49"/>
      <c r="Q112" s="49" t="s">
        <v>251</v>
      </c>
      <c r="R112" s="48">
        <v>46226</v>
      </c>
      <c r="S112" s="59" t="s">
        <v>27</v>
      </c>
      <c r="T112" s="49"/>
      <c r="U112" s="49" t="s">
        <v>32</v>
      </c>
    </row>
    <row r="113" spans="2:21" ht="18.75" hidden="1" customHeight="1">
      <c r="B113" s="56"/>
      <c r="C113" s="57"/>
      <c r="D113" s="48">
        <v>46171</v>
      </c>
      <c r="E113" s="50" t="s">
        <v>252</v>
      </c>
      <c r="F113" s="48"/>
      <c r="G113" s="48"/>
      <c r="H113" s="49" t="s">
        <v>29</v>
      </c>
      <c r="I113" s="66">
        <v>3074.3</v>
      </c>
      <c r="J113" s="66" t="s">
        <v>30</v>
      </c>
      <c r="K113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3" s="67"/>
      <c r="M113" s="95"/>
      <c r="N113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3074.3</v>
      </c>
      <c r="O113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46231</v>
      </c>
      <c r="P113" s="49"/>
      <c r="Q113" s="49" t="s">
        <v>253</v>
      </c>
      <c r="R113" s="48">
        <v>46226</v>
      </c>
      <c r="S113" s="59" t="s">
        <v>27</v>
      </c>
      <c r="T113" s="49"/>
      <c r="U113" s="49" t="s">
        <v>32</v>
      </c>
    </row>
    <row r="114" spans="2:21" ht="18.75" hidden="1" customHeight="1">
      <c r="B114" s="56"/>
      <c r="C114" s="57"/>
      <c r="D114" s="48">
        <v>46171</v>
      </c>
      <c r="E114" s="50" t="s">
        <v>254</v>
      </c>
      <c r="F114" s="48"/>
      <c r="G114" s="48"/>
      <c r="H114" s="49" t="s">
        <v>29</v>
      </c>
      <c r="I114" s="51">
        <v>34710</v>
      </c>
      <c r="J114" s="51" t="s">
        <v>30</v>
      </c>
      <c r="K114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4" s="52"/>
      <c r="M114" s="58"/>
      <c r="N114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34710</v>
      </c>
      <c r="O114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46231</v>
      </c>
      <c r="P114" s="49"/>
      <c r="Q114" s="49" t="s">
        <v>255</v>
      </c>
      <c r="R114" s="48">
        <v>46226</v>
      </c>
      <c r="S114" s="59" t="s">
        <v>27</v>
      </c>
      <c r="T114" s="49"/>
      <c r="U114" s="49" t="s">
        <v>32</v>
      </c>
    </row>
    <row r="115" spans="2:21" ht="18.75" hidden="1" customHeight="1">
      <c r="B115" s="56"/>
      <c r="C115" s="57"/>
      <c r="D115" s="48">
        <v>46172</v>
      </c>
      <c r="E115" s="50" t="s">
        <v>256</v>
      </c>
      <c r="F115" s="48"/>
      <c r="G115" s="48"/>
      <c r="H115" s="49" t="s">
        <v>108</v>
      </c>
      <c r="I115" s="51">
        <v>3177.36</v>
      </c>
      <c r="J115" s="51" t="s">
        <v>30</v>
      </c>
      <c r="K115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5" s="52"/>
      <c r="M115" s="58"/>
      <c r="N115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3177.36</v>
      </c>
      <c r="O115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46232</v>
      </c>
      <c r="P115" s="49"/>
      <c r="Q115" s="49" t="s">
        <v>257</v>
      </c>
      <c r="R115" s="48">
        <v>46233</v>
      </c>
      <c r="S115" s="59" t="s">
        <v>27</v>
      </c>
      <c r="T115" s="49"/>
      <c r="U115" s="49" t="s">
        <v>32</v>
      </c>
    </row>
    <row r="116" spans="2:21" ht="18.75" hidden="1" customHeight="1">
      <c r="B116" s="56"/>
      <c r="C116" s="57"/>
      <c r="D116" s="48">
        <v>46172</v>
      </c>
      <c r="E116" s="50" t="s">
        <v>258</v>
      </c>
      <c r="F116" s="48"/>
      <c r="G116" s="48"/>
      <c r="H116" s="49" t="s">
        <v>108</v>
      </c>
      <c r="I116" s="51">
        <v>937.98</v>
      </c>
      <c r="J116" s="51" t="s">
        <v>30</v>
      </c>
      <c r="K116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6" s="52"/>
      <c r="M116" s="58"/>
      <c r="N116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937.98</v>
      </c>
      <c r="O116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46232</v>
      </c>
      <c r="P116" s="49"/>
      <c r="Q116" s="49" t="s">
        <v>257</v>
      </c>
      <c r="R116" s="48">
        <v>46226</v>
      </c>
      <c r="S116" s="59" t="s">
        <v>27</v>
      </c>
      <c r="T116" s="49"/>
      <c r="U116" s="49" t="s">
        <v>32</v>
      </c>
    </row>
    <row r="117" spans="2:21" ht="18.75" customHeight="1">
      <c r="B117" s="56">
        <v>46091</v>
      </c>
      <c r="C117" s="57" t="s">
        <v>259</v>
      </c>
      <c r="D117" s="48">
        <v>46174</v>
      </c>
      <c r="E117" s="50" t="s">
        <v>260</v>
      </c>
      <c r="F117" s="48"/>
      <c r="G117" s="48"/>
      <c r="H117" s="49" t="s">
        <v>196</v>
      </c>
      <c r="I117" s="51">
        <v>55613</v>
      </c>
      <c r="J117" s="51" t="s">
        <v>78</v>
      </c>
      <c r="K117" s="62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27806.5</v>
      </c>
      <c r="L117" s="52">
        <v>46170</v>
      </c>
      <c r="M117" s="49" t="s">
        <v>25</v>
      </c>
      <c r="N117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27806.5</v>
      </c>
      <c r="O117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46234</v>
      </c>
      <c r="P117" s="49"/>
      <c r="Q117" s="49" t="s">
        <v>261</v>
      </c>
      <c r="R117" s="48">
        <v>46233</v>
      </c>
      <c r="S117" s="59" t="s">
        <v>27</v>
      </c>
      <c r="T117" s="49"/>
      <c r="U117" s="49" t="s">
        <v>32</v>
      </c>
    </row>
    <row r="118" spans="2:21" ht="18.75" hidden="1" customHeight="1">
      <c r="B118" s="56">
        <v>46175</v>
      </c>
      <c r="C118" s="57" t="s">
        <v>262</v>
      </c>
      <c r="D118" s="48">
        <v>46177</v>
      </c>
      <c r="E118" s="50" t="s">
        <v>263</v>
      </c>
      <c r="F118" s="48"/>
      <c r="G118" s="48"/>
      <c r="H118" s="49" t="s">
        <v>23</v>
      </c>
      <c r="I118" s="51">
        <v>1150</v>
      </c>
      <c r="J118" s="51" t="s">
        <v>24</v>
      </c>
      <c r="K118" s="62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345</v>
      </c>
      <c r="L118" s="52">
        <v>46178</v>
      </c>
      <c r="M118" s="49" t="s">
        <v>25</v>
      </c>
      <c r="N118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805</v>
      </c>
      <c r="O118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46237</v>
      </c>
      <c r="P118" s="49"/>
      <c r="Q118" s="49" t="s">
        <v>52</v>
      </c>
      <c r="R118" s="48">
        <v>46233</v>
      </c>
      <c r="S118" s="59" t="s">
        <v>27</v>
      </c>
      <c r="T118" s="49"/>
      <c r="U118" s="49"/>
    </row>
    <row r="119" spans="2:21" ht="18.75" hidden="1" customHeight="1">
      <c r="B119" s="56"/>
      <c r="C119" s="57"/>
      <c r="D119" s="48">
        <v>46174</v>
      </c>
      <c r="E119" s="50" t="s">
        <v>264</v>
      </c>
      <c r="F119" s="48"/>
      <c r="G119" s="48"/>
      <c r="H119" s="49" t="s">
        <v>97</v>
      </c>
      <c r="I119" s="51">
        <v>201.72</v>
      </c>
      <c r="J119" s="51" t="s">
        <v>98</v>
      </c>
      <c r="K119" s="51" t="str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/>
      </c>
      <c r="L119" s="52"/>
      <c r="M119" s="58"/>
      <c r="N119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201.72</v>
      </c>
      <c r="O119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9" s="49"/>
      <c r="Q119" s="49"/>
      <c r="R119" s="49"/>
      <c r="S119" s="59"/>
      <c r="T119" s="49"/>
      <c r="U119" s="49"/>
    </row>
    <row r="120" spans="2:21" ht="18.75" hidden="1" customHeight="1">
      <c r="B120" s="56"/>
      <c r="C120" s="57"/>
      <c r="D120" s="48"/>
      <c r="E120" s="50"/>
      <c r="F120" s="48"/>
      <c r="G120" s="48"/>
      <c r="H120" s="49" t="s">
        <v>265</v>
      </c>
      <c r="I120" s="51">
        <v>900</v>
      </c>
      <c r="J120" s="51" t="s">
        <v>55</v>
      </c>
      <c r="K12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0" s="52"/>
      <c r="M120" s="58"/>
      <c r="N120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900</v>
      </c>
      <c r="O120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0" s="49"/>
      <c r="Q120" s="49" t="s">
        <v>266</v>
      </c>
      <c r="R120" s="48">
        <v>46233</v>
      </c>
      <c r="S120" s="59" t="s">
        <v>183</v>
      </c>
      <c r="T120" s="49"/>
      <c r="U120" s="49"/>
    </row>
    <row r="121" spans="2:21" ht="18.75" hidden="1" customHeight="1">
      <c r="B121" s="56"/>
      <c r="C121" s="57"/>
      <c r="D121" s="48"/>
      <c r="E121" s="50"/>
      <c r="F121" s="48"/>
      <c r="G121" s="48"/>
      <c r="H121" s="49" t="s">
        <v>265</v>
      </c>
      <c r="I121" s="51">
        <v>900</v>
      </c>
      <c r="J121" s="51" t="s">
        <v>55</v>
      </c>
      <c r="K121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1" s="52"/>
      <c r="M121" s="58"/>
      <c r="N121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900</v>
      </c>
      <c r="O121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1" s="49"/>
      <c r="Q121" s="49" t="s">
        <v>267</v>
      </c>
      <c r="R121" s="48">
        <v>46261</v>
      </c>
      <c r="S121" s="59" t="s">
        <v>183</v>
      </c>
      <c r="T121" s="49"/>
      <c r="U121" s="49"/>
    </row>
    <row r="122" spans="2:21" ht="18.75" hidden="1" customHeight="1">
      <c r="B122" s="56"/>
      <c r="C122" s="57"/>
      <c r="D122" s="48"/>
      <c r="E122" s="50"/>
      <c r="F122" s="48"/>
      <c r="G122" s="48"/>
      <c r="H122" s="49" t="s">
        <v>265</v>
      </c>
      <c r="I122" s="51">
        <v>900</v>
      </c>
      <c r="J122" s="51" t="s">
        <v>55</v>
      </c>
      <c r="K12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2" s="52"/>
      <c r="M122" s="58"/>
      <c r="N122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900</v>
      </c>
      <c r="O122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2" s="49"/>
      <c r="Q122" s="49" t="s">
        <v>268</v>
      </c>
      <c r="R122" s="48">
        <v>46289</v>
      </c>
      <c r="S122" s="59" t="s">
        <v>183</v>
      </c>
      <c r="T122" s="49"/>
      <c r="U122" s="49"/>
    </row>
    <row r="123" spans="2:21" ht="18.75" hidden="1" customHeight="1">
      <c r="B123" s="56"/>
      <c r="C123" s="57"/>
      <c r="D123" s="48"/>
      <c r="E123" s="50"/>
      <c r="F123" s="48"/>
      <c r="G123" s="48"/>
      <c r="H123" s="49" t="s">
        <v>265</v>
      </c>
      <c r="I123" s="51">
        <v>900</v>
      </c>
      <c r="J123" s="51" t="s">
        <v>55</v>
      </c>
      <c r="K123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3" s="52"/>
      <c r="M123" s="58"/>
      <c r="N123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900</v>
      </c>
      <c r="O123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3" s="49"/>
      <c r="Q123" s="49" t="s">
        <v>269</v>
      </c>
      <c r="R123" s="48">
        <v>46324</v>
      </c>
      <c r="S123" s="59" t="s">
        <v>183</v>
      </c>
      <c r="T123" s="49"/>
      <c r="U123" s="49"/>
    </row>
    <row r="124" spans="2:21" ht="18.75" hidden="1" customHeight="1">
      <c r="B124" s="56"/>
      <c r="C124" s="57"/>
      <c r="D124" s="48"/>
      <c r="E124" s="50"/>
      <c r="F124" s="48"/>
      <c r="G124" s="48"/>
      <c r="H124" s="49" t="s">
        <v>265</v>
      </c>
      <c r="I124" s="51">
        <v>900</v>
      </c>
      <c r="J124" s="51" t="s">
        <v>55</v>
      </c>
      <c r="K124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4" s="52"/>
      <c r="M124" s="58"/>
      <c r="N124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900</v>
      </c>
      <c r="O124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4" s="49"/>
      <c r="Q124" s="49" t="s">
        <v>270</v>
      </c>
      <c r="R124" s="48">
        <v>46352</v>
      </c>
      <c r="S124" s="59" t="s">
        <v>183</v>
      </c>
      <c r="T124" s="49"/>
      <c r="U124" s="49"/>
    </row>
    <row r="125" spans="2:21" ht="18.75" hidden="1" customHeight="1">
      <c r="B125" s="83"/>
      <c r="C125" s="77"/>
      <c r="D125" s="76">
        <v>46175</v>
      </c>
      <c r="E125" s="78" t="s">
        <v>271</v>
      </c>
      <c r="F125" s="76"/>
      <c r="G125" s="76"/>
      <c r="H125" s="63" t="s">
        <v>86</v>
      </c>
      <c r="I125" s="79">
        <v>-434.03</v>
      </c>
      <c r="J125" s="79" t="s">
        <v>55</v>
      </c>
      <c r="K125" s="79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5" s="80"/>
      <c r="M125" s="81"/>
      <c r="N125" s="79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-434.03</v>
      </c>
      <c r="O125" s="8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5" s="63"/>
      <c r="Q125" s="63" t="s">
        <v>272</v>
      </c>
      <c r="R125" s="63"/>
      <c r="S125" s="82"/>
      <c r="T125" s="63"/>
      <c r="U125" s="63"/>
    </row>
    <row r="126" spans="2:21" ht="18.75" hidden="1" customHeight="1">
      <c r="B126" s="56"/>
      <c r="C126" s="57"/>
      <c r="D126" s="48">
        <v>46181</v>
      </c>
      <c r="E126" s="50" t="s">
        <v>273</v>
      </c>
      <c r="F126" s="48"/>
      <c r="G126" s="48"/>
      <c r="H126" s="49" t="s">
        <v>108</v>
      </c>
      <c r="I126" s="51">
        <v>6431.34</v>
      </c>
      <c r="J126" s="51" t="s">
        <v>30</v>
      </c>
      <c r="K126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6" s="52"/>
      <c r="M126" s="58"/>
      <c r="N126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6431.34</v>
      </c>
      <c r="O126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46241</v>
      </c>
      <c r="P126" s="49"/>
      <c r="Q126" s="49" t="s">
        <v>214</v>
      </c>
      <c r="R126" s="48">
        <v>46240</v>
      </c>
      <c r="S126" s="59" t="s">
        <v>27</v>
      </c>
      <c r="T126" s="49"/>
      <c r="U126" s="49" t="s">
        <v>32</v>
      </c>
    </row>
    <row r="127" spans="2:21" ht="18.75" hidden="1" customHeight="1">
      <c r="B127" s="56"/>
      <c r="C127" s="57"/>
      <c r="D127" s="48">
        <v>46181</v>
      </c>
      <c r="E127" s="50" t="s">
        <v>274</v>
      </c>
      <c r="F127" s="48"/>
      <c r="G127" s="48"/>
      <c r="H127" s="49" t="s">
        <v>108</v>
      </c>
      <c r="I127" s="51">
        <v>1614.06</v>
      </c>
      <c r="J127" s="51" t="s">
        <v>30</v>
      </c>
      <c r="K127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7" s="52"/>
      <c r="M127" s="58"/>
      <c r="N127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1614.06</v>
      </c>
      <c r="O127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46241</v>
      </c>
      <c r="P127" s="49"/>
      <c r="Q127" s="49" t="s">
        <v>49</v>
      </c>
      <c r="R127" s="48">
        <v>46240</v>
      </c>
      <c r="S127" s="59" t="s">
        <v>27</v>
      </c>
      <c r="T127" s="49"/>
      <c r="U127" s="49" t="s">
        <v>32</v>
      </c>
    </row>
    <row r="128" spans="2:21" ht="18.75" hidden="1" customHeight="1">
      <c r="B128" s="56"/>
      <c r="C128" s="57"/>
      <c r="D128" s="48">
        <v>46181</v>
      </c>
      <c r="E128" s="50" t="s">
        <v>275</v>
      </c>
      <c r="F128" s="48"/>
      <c r="G128" s="48"/>
      <c r="H128" s="49" t="s">
        <v>108</v>
      </c>
      <c r="I128" s="51">
        <v>3084.72</v>
      </c>
      <c r="J128" s="51" t="s">
        <v>30</v>
      </c>
      <c r="K128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8" s="52"/>
      <c r="M128" s="58"/>
      <c r="N128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3084.72</v>
      </c>
      <c r="O128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46241</v>
      </c>
      <c r="P128" s="49"/>
      <c r="Q128" s="49" t="s">
        <v>115</v>
      </c>
      <c r="R128" s="48">
        <v>46240</v>
      </c>
      <c r="S128" s="59" t="s">
        <v>27</v>
      </c>
      <c r="T128" s="49"/>
      <c r="U128" s="49" t="s">
        <v>32</v>
      </c>
    </row>
    <row r="129" spans="2:21" ht="18.75" hidden="1" customHeight="1">
      <c r="B129" s="56"/>
      <c r="C129" s="57"/>
      <c r="D129" s="48">
        <v>46181</v>
      </c>
      <c r="E129" s="50" t="s">
        <v>276</v>
      </c>
      <c r="F129" s="48"/>
      <c r="G129" s="48"/>
      <c r="H129" s="49" t="s">
        <v>108</v>
      </c>
      <c r="I129" s="51">
        <v>8828.4</v>
      </c>
      <c r="J129" s="51" t="s">
        <v>30</v>
      </c>
      <c r="K129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9" s="52"/>
      <c r="M129" s="58"/>
      <c r="N129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8828.4</v>
      </c>
      <c r="O129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46241</v>
      </c>
      <c r="P129" s="49"/>
      <c r="Q129" s="49" t="s">
        <v>135</v>
      </c>
      <c r="R129" s="48">
        <v>46240</v>
      </c>
      <c r="S129" s="59" t="s">
        <v>27</v>
      </c>
      <c r="T129" s="49"/>
      <c r="U129" s="49" t="s">
        <v>32</v>
      </c>
    </row>
    <row r="130" spans="2:21" ht="18.75" hidden="1" customHeight="1">
      <c r="B130" s="56"/>
      <c r="C130" s="57"/>
      <c r="D130" s="48">
        <v>46181</v>
      </c>
      <c r="E130" s="50" t="s">
        <v>277</v>
      </c>
      <c r="F130" s="48"/>
      <c r="G130" s="48"/>
      <c r="H130" s="49" t="s">
        <v>108</v>
      </c>
      <c r="I130" s="51">
        <v>13645.68</v>
      </c>
      <c r="J130" s="51" t="s">
        <v>30</v>
      </c>
      <c r="K13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0" s="52"/>
      <c r="M130" s="58"/>
      <c r="N130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13645.68</v>
      </c>
      <c r="O130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46241</v>
      </c>
      <c r="P130" s="49"/>
      <c r="Q130" s="49" t="s">
        <v>222</v>
      </c>
      <c r="R130" s="48">
        <v>46240</v>
      </c>
      <c r="S130" s="59" t="s">
        <v>27</v>
      </c>
      <c r="T130" s="49"/>
      <c r="U130" s="49" t="s">
        <v>32</v>
      </c>
    </row>
    <row r="131" spans="2:21" s="49" customFormat="1" ht="18.75" customHeight="1">
      <c r="B131" s="56"/>
      <c r="C131" s="57"/>
      <c r="D131" s="48">
        <v>46174</v>
      </c>
      <c r="E131" s="50" t="s">
        <v>278</v>
      </c>
      <c r="F131" s="48"/>
      <c r="G131" s="48"/>
      <c r="H131" s="49" t="s">
        <v>196</v>
      </c>
      <c r="I131" s="51">
        <v>12486</v>
      </c>
      <c r="J131" s="51" t="s">
        <v>78</v>
      </c>
      <c r="K131" s="62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6243</v>
      </c>
      <c r="L131" s="52">
        <v>46198</v>
      </c>
      <c r="M131" s="49" t="s">
        <v>25</v>
      </c>
      <c r="N131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6243</v>
      </c>
      <c r="O131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46234</v>
      </c>
      <c r="Q131" s="49" t="s">
        <v>217</v>
      </c>
      <c r="R131" s="48">
        <v>46233</v>
      </c>
      <c r="S131" s="59" t="s">
        <v>27</v>
      </c>
      <c r="U131" s="49" t="s">
        <v>32</v>
      </c>
    </row>
    <row r="132" spans="2:21" s="49" customFormat="1" ht="18.75" customHeight="1">
      <c r="B132" s="56">
        <v>46072</v>
      </c>
      <c r="C132" s="57" t="s">
        <v>279</v>
      </c>
      <c r="D132" s="48">
        <v>46184</v>
      </c>
      <c r="E132" s="50" t="s">
        <v>280</v>
      </c>
      <c r="F132" s="48"/>
      <c r="G132" s="48"/>
      <c r="H132" s="49" t="s">
        <v>196</v>
      </c>
      <c r="I132" s="51">
        <v>8860</v>
      </c>
      <c r="J132" s="51" t="s">
        <v>78</v>
      </c>
      <c r="K132" s="62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4430</v>
      </c>
      <c r="L132" s="52">
        <v>46184</v>
      </c>
      <c r="M132" s="49" t="s">
        <v>25</v>
      </c>
      <c r="N132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4430</v>
      </c>
      <c r="O132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46244</v>
      </c>
      <c r="Q132" s="49" t="s">
        <v>281</v>
      </c>
      <c r="R132" s="48">
        <v>46240</v>
      </c>
      <c r="S132" s="214" t="s">
        <v>27</v>
      </c>
      <c r="U132" s="49" t="s">
        <v>32</v>
      </c>
    </row>
    <row r="133" spans="2:21" s="49" customFormat="1" ht="18.75" customHeight="1">
      <c r="B133" s="56">
        <v>46049</v>
      </c>
      <c r="C133" s="57" t="s">
        <v>282</v>
      </c>
      <c r="D133" s="48">
        <v>46191</v>
      </c>
      <c r="E133" s="50" t="s">
        <v>283</v>
      </c>
      <c r="F133" s="48"/>
      <c r="G133" s="48"/>
      <c r="H133" s="49" t="s">
        <v>196</v>
      </c>
      <c r="I133" s="51">
        <v>35829</v>
      </c>
      <c r="J133" s="51" t="s">
        <v>78</v>
      </c>
      <c r="K133" s="62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17914.5</v>
      </c>
      <c r="L133" s="52">
        <v>46191</v>
      </c>
      <c r="M133" s="49" t="s">
        <v>25</v>
      </c>
      <c r="N133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17914.5</v>
      </c>
      <c r="O133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46251</v>
      </c>
      <c r="Q133" s="49" t="s">
        <v>222</v>
      </c>
      <c r="R133" s="48">
        <v>46247</v>
      </c>
      <c r="S133" s="59" t="s">
        <v>45</v>
      </c>
      <c r="U133" s="49" t="s">
        <v>32</v>
      </c>
    </row>
    <row r="134" spans="2:21" s="49" customFormat="1" ht="18.75" hidden="1" customHeight="1">
      <c r="B134" s="56"/>
      <c r="C134" s="57"/>
      <c r="D134" s="48">
        <v>46174</v>
      </c>
      <c r="E134" s="50" t="s">
        <v>284</v>
      </c>
      <c r="F134" s="48"/>
      <c r="G134" s="48"/>
      <c r="H134" s="49" t="s">
        <v>29</v>
      </c>
      <c r="I134" s="51">
        <v>25193.62</v>
      </c>
      <c r="J134" s="51" t="s">
        <v>30</v>
      </c>
      <c r="K134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4" s="52"/>
      <c r="M134" s="58"/>
      <c r="N134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25193.62</v>
      </c>
      <c r="O134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46234</v>
      </c>
      <c r="Q134" s="49" t="s">
        <v>115</v>
      </c>
      <c r="R134" s="48">
        <v>46233</v>
      </c>
      <c r="S134" s="59" t="s">
        <v>27</v>
      </c>
    </row>
    <row r="135" spans="2:21" s="49" customFormat="1" ht="18.75" hidden="1" customHeight="1">
      <c r="B135" s="56"/>
      <c r="C135" s="57"/>
      <c r="D135" s="48">
        <v>46174</v>
      </c>
      <c r="E135" s="50" t="s">
        <v>285</v>
      </c>
      <c r="F135" s="48"/>
      <c r="G135" s="48"/>
      <c r="H135" s="49" t="s">
        <v>29</v>
      </c>
      <c r="I135" s="51">
        <v>34710</v>
      </c>
      <c r="J135" s="51" t="s">
        <v>30</v>
      </c>
      <c r="K135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5" s="52"/>
      <c r="M135" s="58"/>
      <c r="N135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34710</v>
      </c>
      <c r="O135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46234</v>
      </c>
      <c r="Q135" s="49" t="s">
        <v>255</v>
      </c>
      <c r="R135" s="48">
        <v>46233</v>
      </c>
      <c r="S135" s="59" t="s">
        <v>27</v>
      </c>
    </row>
    <row r="136" spans="2:21" s="49" customFormat="1" ht="18.75" hidden="1" customHeight="1">
      <c r="B136" s="56"/>
      <c r="C136" s="57"/>
      <c r="D136" s="48">
        <v>46175</v>
      </c>
      <c r="E136" s="50" t="s">
        <v>286</v>
      </c>
      <c r="F136" s="48"/>
      <c r="G136" s="48"/>
      <c r="H136" s="49" t="s">
        <v>29</v>
      </c>
      <c r="I136" s="51">
        <v>35502.81</v>
      </c>
      <c r="J136" s="51" t="s">
        <v>30</v>
      </c>
      <c r="K136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6" s="52"/>
      <c r="M136" s="58"/>
      <c r="N136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35502.81</v>
      </c>
      <c r="O136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46235</v>
      </c>
      <c r="Q136" s="49" t="s">
        <v>135</v>
      </c>
      <c r="R136" s="48">
        <v>46233</v>
      </c>
      <c r="S136" s="59" t="s">
        <v>27</v>
      </c>
    </row>
    <row r="137" spans="2:21" s="49" customFormat="1" ht="18.75" hidden="1" customHeight="1">
      <c r="B137" s="56"/>
      <c r="C137" s="57"/>
      <c r="D137" s="48">
        <v>46175</v>
      </c>
      <c r="E137" s="50" t="s">
        <v>287</v>
      </c>
      <c r="F137" s="48"/>
      <c r="G137" s="48"/>
      <c r="H137" s="49" t="s">
        <v>29</v>
      </c>
      <c r="I137" s="51">
        <v>23008.5</v>
      </c>
      <c r="J137" s="51" t="s">
        <v>30</v>
      </c>
      <c r="K137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7" s="52"/>
      <c r="M137" s="58"/>
      <c r="N137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23008.5</v>
      </c>
      <c r="O137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46235</v>
      </c>
      <c r="Q137" s="49" t="s">
        <v>288</v>
      </c>
      <c r="R137" s="48">
        <v>46233</v>
      </c>
      <c r="S137" s="59" t="s">
        <v>27</v>
      </c>
    </row>
    <row r="138" spans="2:21" s="49" customFormat="1" ht="18.75" hidden="1" customHeight="1">
      <c r="B138" s="56"/>
      <c r="C138" s="57"/>
      <c r="D138" s="48">
        <v>46175</v>
      </c>
      <c r="E138" s="50" t="s">
        <v>289</v>
      </c>
      <c r="F138" s="48"/>
      <c r="G138" s="48"/>
      <c r="H138" s="49" t="s">
        <v>29</v>
      </c>
      <c r="I138" s="51">
        <v>11700.74</v>
      </c>
      <c r="J138" s="51" t="s">
        <v>30</v>
      </c>
      <c r="K138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8" s="52"/>
      <c r="M138" s="58"/>
      <c r="N138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11700.74</v>
      </c>
      <c r="O138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46235</v>
      </c>
      <c r="Q138" s="49" t="s">
        <v>290</v>
      </c>
      <c r="R138" s="48">
        <v>46233</v>
      </c>
      <c r="S138" s="59" t="s">
        <v>27</v>
      </c>
    </row>
    <row r="139" spans="2:21" s="49" customFormat="1" ht="18.75" hidden="1" customHeight="1">
      <c r="B139" s="56"/>
      <c r="C139" s="57"/>
      <c r="D139" s="48">
        <v>46175</v>
      </c>
      <c r="E139" s="50" t="s">
        <v>291</v>
      </c>
      <c r="F139" s="48"/>
      <c r="G139" s="48"/>
      <c r="H139" s="49" t="s">
        <v>29</v>
      </c>
      <c r="I139" s="51">
        <v>3468.72</v>
      </c>
      <c r="J139" s="51" t="s">
        <v>30</v>
      </c>
      <c r="K139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9" s="52"/>
      <c r="M139" s="58"/>
      <c r="N139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3468.72</v>
      </c>
      <c r="O139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46235</v>
      </c>
      <c r="Q139" s="49" t="s">
        <v>292</v>
      </c>
      <c r="R139" s="48">
        <v>46233</v>
      </c>
      <c r="S139" s="59" t="s">
        <v>27</v>
      </c>
    </row>
    <row r="140" spans="2:21" ht="18.75" hidden="1" customHeight="1">
      <c r="B140" s="56"/>
      <c r="C140" s="57"/>
      <c r="D140" s="48">
        <v>46176</v>
      </c>
      <c r="E140" s="50" t="s">
        <v>293</v>
      </c>
      <c r="F140" s="48"/>
      <c r="G140" s="48"/>
      <c r="H140" s="49" t="s">
        <v>29</v>
      </c>
      <c r="I140" s="51">
        <v>29391.65</v>
      </c>
      <c r="J140" s="51" t="s">
        <v>30</v>
      </c>
      <c r="K14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0" s="52"/>
      <c r="M140" s="58"/>
      <c r="N140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29391.65</v>
      </c>
      <c r="O140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46236</v>
      </c>
      <c r="P140" s="49"/>
      <c r="Q140" s="49" t="s">
        <v>288</v>
      </c>
      <c r="R140" s="48">
        <v>46233</v>
      </c>
      <c r="S140" s="59" t="s">
        <v>27</v>
      </c>
      <c r="T140" s="49"/>
      <c r="U140" s="49"/>
    </row>
    <row r="141" spans="2:21" ht="18.75" hidden="1" customHeight="1">
      <c r="B141" s="56"/>
      <c r="C141" s="57"/>
      <c r="D141" s="48">
        <v>46176</v>
      </c>
      <c r="E141" s="50" t="s">
        <v>294</v>
      </c>
      <c r="F141" s="48"/>
      <c r="G141" s="48"/>
      <c r="H141" s="49" t="s">
        <v>29</v>
      </c>
      <c r="I141" s="51">
        <v>1844</v>
      </c>
      <c r="J141" s="51" t="s">
        <v>30</v>
      </c>
      <c r="K141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1" s="52"/>
      <c r="M141" s="58"/>
      <c r="N141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1844</v>
      </c>
      <c r="O141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46236</v>
      </c>
      <c r="P141" s="49"/>
      <c r="Q141" s="49" t="s">
        <v>232</v>
      </c>
      <c r="R141" s="48">
        <v>46233</v>
      </c>
      <c r="S141" s="59" t="s">
        <v>27</v>
      </c>
      <c r="T141" s="49"/>
      <c r="U141" s="49"/>
    </row>
    <row r="142" spans="2:21" ht="18.75" hidden="1" customHeight="1">
      <c r="B142" s="56"/>
      <c r="C142" s="57"/>
      <c r="D142" s="48">
        <v>46176</v>
      </c>
      <c r="E142" s="50" t="s">
        <v>295</v>
      </c>
      <c r="F142" s="48"/>
      <c r="G142" s="48"/>
      <c r="H142" s="49" t="s">
        <v>29</v>
      </c>
      <c r="I142" s="51">
        <v>34710</v>
      </c>
      <c r="J142" s="51" t="s">
        <v>30</v>
      </c>
      <c r="K14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2" s="52"/>
      <c r="M142" s="58"/>
      <c r="N142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34710</v>
      </c>
      <c r="O142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46236</v>
      </c>
      <c r="P142" s="49"/>
      <c r="Q142" s="49" t="s">
        <v>255</v>
      </c>
      <c r="R142" s="48">
        <v>46233</v>
      </c>
      <c r="S142" s="59" t="s">
        <v>27</v>
      </c>
      <c r="T142" s="49"/>
      <c r="U142" s="49"/>
    </row>
    <row r="143" spans="2:21" ht="18.75" hidden="1" customHeight="1">
      <c r="B143" s="56"/>
      <c r="C143" s="57"/>
      <c r="D143" s="48">
        <v>46177</v>
      </c>
      <c r="E143" s="50" t="s">
        <v>296</v>
      </c>
      <c r="F143" s="48"/>
      <c r="G143" s="48"/>
      <c r="H143" s="49" t="s">
        <v>29</v>
      </c>
      <c r="I143" s="51">
        <v>2075.3200000000002</v>
      </c>
      <c r="J143" s="51" t="s">
        <v>30</v>
      </c>
      <c r="K143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3" s="52"/>
      <c r="M143" s="58"/>
      <c r="N143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2075.3200000000002</v>
      </c>
      <c r="O143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46237</v>
      </c>
      <c r="P143" s="49"/>
      <c r="Q143" s="49" t="s">
        <v>235</v>
      </c>
      <c r="R143" s="48">
        <v>46233</v>
      </c>
      <c r="S143" s="59" t="s">
        <v>27</v>
      </c>
      <c r="T143" s="49"/>
      <c r="U143" s="49"/>
    </row>
    <row r="144" spans="2:21" s="49" customFormat="1" ht="18.75" hidden="1" customHeight="1">
      <c r="B144" s="56"/>
      <c r="C144" s="57"/>
      <c r="D144" s="48">
        <v>46177</v>
      </c>
      <c r="E144" s="50" t="s">
        <v>297</v>
      </c>
      <c r="F144" s="48"/>
      <c r="G144" s="48"/>
      <c r="H144" s="49" t="s">
        <v>29</v>
      </c>
      <c r="I144" s="51">
        <v>2098.5</v>
      </c>
      <c r="J144" s="51" t="s">
        <v>30</v>
      </c>
      <c r="K144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4" s="52"/>
      <c r="M144" s="58"/>
      <c r="N144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2098.5</v>
      </c>
      <c r="O144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46237</v>
      </c>
      <c r="Q144" s="49" t="s">
        <v>298</v>
      </c>
      <c r="R144" s="48">
        <v>46233</v>
      </c>
      <c r="S144" s="59" t="s">
        <v>27</v>
      </c>
    </row>
    <row r="145" spans="2:21" s="49" customFormat="1" ht="18.75" hidden="1" customHeight="1">
      <c r="B145" s="56"/>
      <c r="C145" s="57"/>
      <c r="D145" s="48">
        <v>46178</v>
      </c>
      <c r="E145" s="50" t="s">
        <v>299</v>
      </c>
      <c r="F145" s="48"/>
      <c r="G145" s="48"/>
      <c r="H145" s="49" t="s">
        <v>29</v>
      </c>
      <c r="I145" s="51">
        <v>34140.6</v>
      </c>
      <c r="J145" s="51" t="s">
        <v>30</v>
      </c>
      <c r="K145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5" s="52"/>
      <c r="M145" s="58"/>
      <c r="N145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34140.6</v>
      </c>
      <c r="O145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46238</v>
      </c>
      <c r="Q145" s="49" t="s">
        <v>255</v>
      </c>
      <c r="R145" s="48">
        <v>46233</v>
      </c>
      <c r="S145" s="59" t="s">
        <v>27</v>
      </c>
    </row>
    <row r="146" spans="2:21" s="49" customFormat="1" ht="18.75" hidden="1" customHeight="1">
      <c r="B146" s="56">
        <v>46183</v>
      </c>
      <c r="C146" s="57" t="s">
        <v>300</v>
      </c>
      <c r="D146" s="48">
        <v>46213</v>
      </c>
      <c r="E146" s="50">
        <v>788</v>
      </c>
      <c r="F146" s="48"/>
      <c r="G146" s="48"/>
      <c r="H146" s="49" t="s">
        <v>301</v>
      </c>
      <c r="I146" s="51">
        <v>19.96</v>
      </c>
      <c r="J146" s="51" t="s">
        <v>55</v>
      </c>
      <c r="K146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6" s="52"/>
      <c r="M146" s="58"/>
      <c r="N146" s="135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19.96</v>
      </c>
      <c r="O146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46" s="49" t="s">
        <v>25</v>
      </c>
      <c r="Q146" s="49" t="s">
        <v>302</v>
      </c>
      <c r="R146" s="48">
        <v>46205</v>
      </c>
      <c r="S146" s="59" t="s">
        <v>45</v>
      </c>
    </row>
    <row r="147" spans="2:21" s="49" customFormat="1" ht="18.75" hidden="1" customHeight="1">
      <c r="B147" s="56">
        <v>46183</v>
      </c>
      <c r="C147" s="57" t="s">
        <v>303</v>
      </c>
      <c r="D147" s="48">
        <v>46213</v>
      </c>
      <c r="E147" s="50">
        <v>789</v>
      </c>
      <c r="F147" s="48"/>
      <c r="G147" s="48"/>
      <c r="H147" s="49" t="s">
        <v>301</v>
      </c>
      <c r="I147" s="51">
        <v>34.11</v>
      </c>
      <c r="J147" s="51" t="s">
        <v>55</v>
      </c>
      <c r="K147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7" s="52"/>
      <c r="M147" s="58"/>
      <c r="N147" s="135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34.11</v>
      </c>
      <c r="O147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47" s="49" t="s">
        <v>25</v>
      </c>
      <c r="Q147" s="49" t="s">
        <v>304</v>
      </c>
      <c r="R147" s="48">
        <v>46205</v>
      </c>
      <c r="S147" s="59" t="s">
        <v>45</v>
      </c>
    </row>
    <row r="148" spans="2:21" s="49" customFormat="1" ht="18.75" hidden="1" customHeight="1">
      <c r="B148" s="56">
        <v>46184</v>
      </c>
      <c r="C148" s="57" t="s">
        <v>305</v>
      </c>
      <c r="D148" s="48">
        <v>46206</v>
      </c>
      <c r="E148" s="50">
        <v>764</v>
      </c>
      <c r="F148" s="48"/>
      <c r="G148" s="48"/>
      <c r="H148" s="49" t="s">
        <v>301</v>
      </c>
      <c r="I148" s="51">
        <v>93.72</v>
      </c>
      <c r="J148" s="51" t="s">
        <v>55</v>
      </c>
      <c r="K148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8" s="52"/>
      <c r="M148" s="58"/>
      <c r="N148" s="135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93.72</v>
      </c>
      <c r="O148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48" s="49" t="s">
        <v>25</v>
      </c>
      <c r="Q148" s="49" t="s">
        <v>306</v>
      </c>
      <c r="R148" s="48">
        <v>46205</v>
      </c>
      <c r="S148" s="59" t="s">
        <v>45</v>
      </c>
    </row>
    <row r="149" spans="2:21" s="49" customFormat="1" ht="18.75" customHeight="1">
      <c r="B149" s="56">
        <v>46177</v>
      </c>
      <c r="C149" s="57" t="s">
        <v>307</v>
      </c>
      <c r="D149" s="48">
        <v>46191</v>
      </c>
      <c r="E149" s="50" t="s">
        <v>308</v>
      </c>
      <c r="F149" s="48"/>
      <c r="G149" s="48"/>
      <c r="H149" s="49" t="s">
        <v>196</v>
      </c>
      <c r="I149" s="51">
        <v>9909</v>
      </c>
      <c r="J149" s="51" t="s">
        <v>78</v>
      </c>
      <c r="K149" s="62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4954.5</v>
      </c>
      <c r="L149" s="52">
        <v>46191</v>
      </c>
      <c r="M149" s="49" t="s">
        <v>25</v>
      </c>
      <c r="N149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4954.5</v>
      </c>
      <c r="O149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46251</v>
      </c>
      <c r="Q149" s="49" t="s">
        <v>309</v>
      </c>
      <c r="R149" s="48">
        <v>46247</v>
      </c>
      <c r="S149" s="59" t="s">
        <v>45</v>
      </c>
      <c r="U149" s="49" t="s">
        <v>32</v>
      </c>
    </row>
    <row r="150" spans="2:21" s="49" customFormat="1" ht="18.75" hidden="1" customHeight="1">
      <c r="B150" s="56">
        <v>46188</v>
      </c>
      <c r="C150" s="57" t="s">
        <v>310</v>
      </c>
      <c r="D150" s="48">
        <v>46206</v>
      </c>
      <c r="E150" s="50">
        <v>765</v>
      </c>
      <c r="F150" s="48"/>
      <c r="G150" s="48"/>
      <c r="H150" s="49" t="s">
        <v>301</v>
      </c>
      <c r="I150" s="51">
        <v>19.96</v>
      </c>
      <c r="J150" s="51" t="s">
        <v>55</v>
      </c>
      <c r="K15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50" s="52"/>
      <c r="M150" s="58"/>
      <c r="N150" s="135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19.96</v>
      </c>
      <c r="O150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50" s="49" t="s">
        <v>25</v>
      </c>
      <c r="Q150" s="49" t="s">
        <v>34</v>
      </c>
      <c r="R150" s="48">
        <v>46205</v>
      </c>
      <c r="S150" s="59" t="s">
        <v>45</v>
      </c>
    </row>
    <row r="151" spans="2:21" s="49" customFormat="1" ht="18.75" customHeight="1">
      <c r="B151" s="56">
        <v>46119</v>
      </c>
      <c r="C151" s="57" t="s">
        <v>311</v>
      </c>
      <c r="D151" s="48">
        <v>46191</v>
      </c>
      <c r="E151" s="50" t="s">
        <v>312</v>
      </c>
      <c r="F151" s="48"/>
      <c r="G151" s="48"/>
      <c r="H151" s="49" t="s">
        <v>196</v>
      </c>
      <c r="I151" s="51">
        <v>9558</v>
      </c>
      <c r="J151" s="51" t="s">
        <v>78</v>
      </c>
      <c r="K151" s="62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4779</v>
      </c>
      <c r="L151" s="52">
        <v>46191</v>
      </c>
      <c r="M151" s="49" t="s">
        <v>25</v>
      </c>
      <c r="N151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4779</v>
      </c>
      <c r="O151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46251</v>
      </c>
      <c r="Q151" s="49" t="s">
        <v>313</v>
      </c>
      <c r="R151" s="48">
        <v>46247</v>
      </c>
      <c r="S151" s="59" t="s">
        <v>45</v>
      </c>
      <c r="U151" s="49" t="s">
        <v>32</v>
      </c>
    </row>
    <row r="152" spans="2:21" s="49" customFormat="1" ht="18.75" hidden="1" customHeight="1">
      <c r="B152" s="83">
        <v>46077</v>
      </c>
      <c r="C152" s="77" t="s">
        <v>202</v>
      </c>
      <c r="D152" s="76">
        <v>46107</v>
      </c>
      <c r="E152" s="78" t="s">
        <v>314</v>
      </c>
      <c r="F152" s="76"/>
      <c r="G152" s="76"/>
      <c r="H152" s="49" t="s">
        <v>69</v>
      </c>
      <c r="I152" s="81">
        <v>17697.68</v>
      </c>
      <c r="J152" s="81" t="s">
        <v>55</v>
      </c>
      <c r="K15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52" s="138"/>
      <c r="M152" s="81"/>
      <c r="N15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17697.68</v>
      </c>
      <c r="O152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52" s="63" t="s">
        <v>25</v>
      </c>
      <c r="Q152" s="63" t="s">
        <v>31</v>
      </c>
      <c r="R152" s="63"/>
      <c r="S152" s="82" t="s">
        <v>45</v>
      </c>
      <c r="T152" s="63" t="s">
        <v>315</v>
      </c>
      <c r="U152" s="63" t="s">
        <v>32</v>
      </c>
    </row>
    <row r="153" spans="2:21" s="49" customFormat="1" ht="18.75" hidden="1" customHeight="1">
      <c r="B153" s="56"/>
      <c r="C153" s="57"/>
      <c r="D153" s="48">
        <v>46189</v>
      </c>
      <c r="E153" s="50" t="s">
        <v>316</v>
      </c>
      <c r="F153" s="48"/>
      <c r="G153" s="48"/>
      <c r="H153" s="49" t="s">
        <v>108</v>
      </c>
      <c r="I153" s="51">
        <v>3802.68</v>
      </c>
      <c r="J153" s="51" t="s">
        <v>30</v>
      </c>
      <c r="K153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53" s="52"/>
      <c r="M153" s="58"/>
      <c r="N153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3802.68</v>
      </c>
      <c r="O153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46249</v>
      </c>
      <c r="Q153" s="49" t="s">
        <v>281</v>
      </c>
      <c r="R153" s="48">
        <v>46244</v>
      </c>
      <c r="S153" s="59" t="s">
        <v>27</v>
      </c>
      <c r="U153" s="49" t="s">
        <v>32</v>
      </c>
    </row>
    <row r="154" spans="2:21" s="49" customFormat="1" ht="18.75" hidden="1" customHeight="1">
      <c r="B154" s="56">
        <v>46188</v>
      </c>
      <c r="C154" s="57" t="s">
        <v>317</v>
      </c>
      <c r="D154" s="48"/>
      <c r="E154" s="50"/>
      <c r="F154" s="48"/>
      <c r="G154" s="48"/>
      <c r="H154" s="49" t="s">
        <v>301</v>
      </c>
      <c r="I154" s="51">
        <v>1155.8900000000001</v>
      </c>
      <c r="J154" s="51" t="s">
        <v>55</v>
      </c>
      <c r="K154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54" s="52"/>
      <c r="M154" s="58"/>
      <c r="N154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1155.8900000000001</v>
      </c>
      <c r="O154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Q154" s="49" t="s">
        <v>318</v>
      </c>
      <c r="S154" s="59" t="s">
        <v>45</v>
      </c>
    </row>
    <row r="155" spans="2:21" s="49" customFormat="1" ht="18.75" hidden="1" customHeight="1">
      <c r="B155" s="56">
        <v>46195</v>
      </c>
      <c r="C155" s="142" t="s">
        <v>319</v>
      </c>
      <c r="D155" s="76">
        <v>46213</v>
      </c>
      <c r="E155" s="78">
        <v>790</v>
      </c>
      <c r="F155" s="76"/>
      <c r="G155" s="76"/>
      <c r="H155" s="63" t="s">
        <v>301</v>
      </c>
      <c r="I155" s="79">
        <v>312</v>
      </c>
      <c r="J155" s="51" t="s">
        <v>55</v>
      </c>
      <c r="K155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55" s="52"/>
      <c r="M155" s="58"/>
      <c r="N155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312</v>
      </c>
      <c r="O155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55" s="49" t="s">
        <v>25</v>
      </c>
      <c r="Q155" s="63" t="s">
        <v>320</v>
      </c>
      <c r="R155" s="76">
        <v>46212</v>
      </c>
      <c r="S155" s="82" t="s">
        <v>45</v>
      </c>
      <c r="T155" s="63"/>
    </row>
    <row r="156" spans="2:21" s="49" customFormat="1" ht="18.75" hidden="1" customHeight="1">
      <c r="B156" s="56">
        <v>46168</v>
      </c>
      <c r="C156" s="57" t="s">
        <v>321</v>
      </c>
      <c r="D156" s="48">
        <v>46213</v>
      </c>
      <c r="E156" s="50">
        <v>791</v>
      </c>
      <c r="F156" s="48"/>
      <c r="G156" s="48"/>
      <c r="H156" s="49" t="s">
        <v>301</v>
      </c>
      <c r="I156" s="51">
        <v>511.07</v>
      </c>
      <c r="J156" s="51" t="s">
        <v>55</v>
      </c>
      <c r="K156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56" s="52"/>
      <c r="M156" s="58"/>
      <c r="N156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511.07</v>
      </c>
      <c r="O156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56" s="49" t="s">
        <v>25</v>
      </c>
      <c r="Q156" s="49" t="s">
        <v>322</v>
      </c>
      <c r="R156" s="48">
        <v>46212</v>
      </c>
      <c r="S156" s="59" t="s">
        <v>45</v>
      </c>
    </row>
    <row r="157" spans="2:21" s="49" customFormat="1" ht="18.75" hidden="1" customHeight="1">
      <c r="B157" s="56">
        <v>46120</v>
      </c>
      <c r="C157" s="57" t="s">
        <v>323</v>
      </c>
      <c r="D157" s="48">
        <v>46152</v>
      </c>
      <c r="E157" s="50" t="s">
        <v>324</v>
      </c>
      <c r="F157" s="48"/>
      <c r="G157" s="48"/>
      <c r="H157" s="49" t="s">
        <v>23</v>
      </c>
      <c r="I157" s="51">
        <v>7169.5</v>
      </c>
      <c r="J157" s="51" t="s">
        <v>24</v>
      </c>
      <c r="K157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2150.85</v>
      </c>
      <c r="L157" s="52"/>
      <c r="M157" s="49" t="s">
        <v>25</v>
      </c>
      <c r="N157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5018.6499999999996</v>
      </c>
      <c r="O157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46212</v>
      </c>
      <c r="P157" s="49" t="s">
        <v>25</v>
      </c>
      <c r="Q157" s="49" t="s">
        <v>214</v>
      </c>
      <c r="R157" s="48">
        <v>46212</v>
      </c>
      <c r="S157" s="59" t="s">
        <v>27</v>
      </c>
      <c r="U157" s="49" t="s">
        <v>32</v>
      </c>
    </row>
    <row r="158" spans="2:21" s="49" customFormat="1" ht="18.75" hidden="1" customHeight="1">
      <c r="B158" s="56">
        <v>46120</v>
      </c>
      <c r="C158" s="57" t="s">
        <v>325</v>
      </c>
      <c r="D158" s="48">
        <v>46152</v>
      </c>
      <c r="E158" s="50" t="s">
        <v>326</v>
      </c>
      <c r="F158" s="48"/>
      <c r="G158" s="48"/>
      <c r="H158" s="49" t="s">
        <v>23</v>
      </c>
      <c r="I158" s="51">
        <v>3611.68</v>
      </c>
      <c r="J158" s="51" t="s">
        <v>24</v>
      </c>
      <c r="K158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1083.5039999999999</v>
      </c>
      <c r="L158" s="52"/>
      <c r="M158" s="49" t="s">
        <v>25</v>
      </c>
      <c r="N158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2528.1759999999999</v>
      </c>
      <c r="O158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46212</v>
      </c>
      <c r="P158" s="49" t="s">
        <v>25</v>
      </c>
      <c r="Q158" s="49" t="s">
        <v>327</v>
      </c>
      <c r="R158" s="48">
        <v>46212</v>
      </c>
      <c r="S158" s="59" t="s">
        <v>27</v>
      </c>
      <c r="U158" s="49" t="s">
        <v>32</v>
      </c>
    </row>
    <row r="159" spans="2:21" s="49" customFormat="1" ht="18.75" hidden="1" customHeight="1">
      <c r="B159" s="56"/>
      <c r="C159" s="57"/>
      <c r="D159" s="48">
        <v>46190</v>
      </c>
      <c r="E159" s="50" t="s">
        <v>328</v>
      </c>
      <c r="F159" s="48"/>
      <c r="G159" s="48"/>
      <c r="H159" s="49" t="s">
        <v>329</v>
      </c>
      <c r="I159" s="51">
        <v>404.12</v>
      </c>
      <c r="J159" s="51" t="s">
        <v>330</v>
      </c>
      <c r="K159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59" s="52"/>
      <c r="M159" s="58"/>
      <c r="N159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404.12</v>
      </c>
      <c r="O159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46220</v>
      </c>
      <c r="Q159" s="49" t="s">
        <v>217</v>
      </c>
      <c r="R159" s="48">
        <v>46219</v>
      </c>
      <c r="S159" s="59" t="s">
        <v>27</v>
      </c>
    </row>
    <row r="160" spans="2:21" s="49" customFormat="1" ht="18.75" hidden="1" customHeight="1">
      <c r="B160" s="56"/>
      <c r="C160" s="57"/>
      <c r="D160" s="48">
        <v>46190</v>
      </c>
      <c r="E160" s="50" t="s">
        <v>331</v>
      </c>
      <c r="F160" s="48"/>
      <c r="G160" s="48"/>
      <c r="H160" s="49" t="s">
        <v>329</v>
      </c>
      <c r="I160" s="51">
        <v>490.22</v>
      </c>
      <c r="J160" s="51" t="s">
        <v>330</v>
      </c>
      <c r="K16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60" s="52"/>
      <c r="M160" s="58"/>
      <c r="N160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490.22</v>
      </c>
      <c r="O160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46220</v>
      </c>
      <c r="Q160" s="49" t="s">
        <v>332</v>
      </c>
      <c r="R160" s="48">
        <v>46219</v>
      </c>
      <c r="S160" s="59" t="s">
        <v>27</v>
      </c>
    </row>
    <row r="161" spans="2:21" s="49" customFormat="1" ht="18.75" hidden="1" customHeight="1">
      <c r="B161" s="56"/>
      <c r="C161" s="57"/>
      <c r="D161" s="48">
        <v>46190</v>
      </c>
      <c r="E161" s="50" t="s">
        <v>333</v>
      </c>
      <c r="F161" s="48"/>
      <c r="G161" s="48"/>
      <c r="H161" s="49" t="s">
        <v>329</v>
      </c>
      <c r="I161" s="51">
        <v>1890</v>
      </c>
      <c r="J161" s="51" t="s">
        <v>330</v>
      </c>
      <c r="K161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61" s="52"/>
      <c r="M161" s="58"/>
      <c r="N161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1890</v>
      </c>
      <c r="O161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46220</v>
      </c>
      <c r="Q161" s="49" t="s">
        <v>334</v>
      </c>
      <c r="R161" s="48">
        <v>46219</v>
      </c>
      <c r="S161" s="59" t="s">
        <v>27</v>
      </c>
      <c r="T161" s="49" t="s">
        <v>335</v>
      </c>
    </row>
    <row r="162" spans="2:21" s="49" customFormat="1" ht="18.75" hidden="1" customHeight="1">
      <c r="B162" s="56"/>
      <c r="C162" s="57"/>
      <c r="D162" s="48">
        <v>46181</v>
      </c>
      <c r="E162" s="50" t="s">
        <v>336</v>
      </c>
      <c r="F162" s="48"/>
      <c r="G162" s="48"/>
      <c r="H162" s="49" t="s">
        <v>29</v>
      </c>
      <c r="I162" s="58">
        <v>731.75</v>
      </c>
      <c r="J162" s="58" t="s">
        <v>30</v>
      </c>
      <c r="K162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62" s="90"/>
      <c r="M162" s="58"/>
      <c r="N162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731.75</v>
      </c>
      <c r="O162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46241</v>
      </c>
      <c r="Q162" s="49" t="s">
        <v>337</v>
      </c>
      <c r="R162" s="48">
        <v>46240</v>
      </c>
      <c r="S162" s="59" t="s">
        <v>27</v>
      </c>
    </row>
    <row r="163" spans="2:21" s="49" customFormat="1" ht="18.75" hidden="1" customHeight="1">
      <c r="B163" s="56"/>
      <c r="C163" s="57"/>
      <c r="D163" s="48">
        <v>46181</v>
      </c>
      <c r="E163" s="50" t="s">
        <v>338</v>
      </c>
      <c r="F163" s="48"/>
      <c r="G163" s="48"/>
      <c r="H163" s="49" t="s">
        <v>29</v>
      </c>
      <c r="I163" s="51">
        <v>36693.599999999999</v>
      </c>
      <c r="J163" s="51" t="s">
        <v>30</v>
      </c>
      <c r="K163" s="58"/>
      <c r="L163" s="52"/>
      <c r="M163" s="58"/>
      <c r="N163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36693.599999999999</v>
      </c>
      <c r="O163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46241</v>
      </c>
      <c r="Q163" s="49" t="s">
        <v>255</v>
      </c>
      <c r="R163" s="48">
        <v>46240</v>
      </c>
      <c r="S163" s="59" t="s">
        <v>27</v>
      </c>
    </row>
    <row r="164" spans="2:21" s="49" customFormat="1" ht="18.75" hidden="1" customHeight="1">
      <c r="B164" s="56"/>
      <c r="C164" s="57"/>
      <c r="D164" s="48">
        <v>46181</v>
      </c>
      <c r="E164" s="50" t="s">
        <v>339</v>
      </c>
      <c r="F164" s="48"/>
      <c r="G164" s="48"/>
      <c r="H164" s="49" t="s">
        <v>29</v>
      </c>
      <c r="I164" s="51">
        <v>39347.67</v>
      </c>
      <c r="J164" s="51" t="s">
        <v>30</v>
      </c>
      <c r="K164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64" s="52"/>
      <c r="M164" s="58"/>
      <c r="N164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39347.67</v>
      </c>
      <c r="O164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46241</v>
      </c>
      <c r="Q164" s="49" t="s">
        <v>340</v>
      </c>
      <c r="R164" s="48">
        <v>46240</v>
      </c>
      <c r="S164" s="59" t="s">
        <v>27</v>
      </c>
    </row>
    <row r="165" spans="2:21" s="49" customFormat="1" ht="18.75" hidden="1" customHeight="1">
      <c r="B165" s="56"/>
      <c r="C165" s="57"/>
      <c r="D165" s="48">
        <v>46182</v>
      </c>
      <c r="E165" s="50" t="s">
        <v>341</v>
      </c>
      <c r="F165" s="48"/>
      <c r="G165" s="48"/>
      <c r="H165" s="49" t="s">
        <v>29</v>
      </c>
      <c r="I165" s="51">
        <v>28489.7</v>
      </c>
      <c r="J165" s="51" t="s">
        <v>30</v>
      </c>
      <c r="K165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65" s="52"/>
      <c r="M165" s="58"/>
      <c r="N165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28489.7</v>
      </c>
      <c r="O165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46242</v>
      </c>
      <c r="Q165" s="49" t="s">
        <v>340</v>
      </c>
      <c r="R165" s="48">
        <v>46240</v>
      </c>
      <c r="S165" s="59" t="s">
        <v>27</v>
      </c>
    </row>
    <row r="166" spans="2:21" s="49" customFormat="1" ht="18.75" hidden="1" customHeight="1">
      <c r="B166" s="56"/>
      <c r="C166" s="57"/>
      <c r="D166" s="48">
        <v>46182</v>
      </c>
      <c r="E166" s="50" t="s">
        <v>342</v>
      </c>
      <c r="F166" s="48"/>
      <c r="G166" s="48"/>
      <c r="H166" s="49" t="s">
        <v>29</v>
      </c>
      <c r="I166" s="51">
        <v>9620.32</v>
      </c>
      <c r="J166" s="51" t="s">
        <v>30</v>
      </c>
      <c r="K166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66" s="52"/>
      <c r="M166" s="58"/>
      <c r="N166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9620.32</v>
      </c>
      <c r="O166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46242</v>
      </c>
      <c r="Q166" s="49" t="s">
        <v>115</v>
      </c>
      <c r="R166" s="48">
        <v>46240</v>
      </c>
      <c r="S166" s="59" t="s">
        <v>27</v>
      </c>
    </row>
    <row r="167" spans="2:21" s="49" customFormat="1" ht="18.75" hidden="1" customHeight="1">
      <c r="B167" s="56"/>
      <c r="C167" s="57"/>
      <c r="D167" s="48">
        <v>46182</v>
      </c>
      <c r="E167" s="50" t="s">
        <v>343</v>
      </c>
      <c r="F167" s="48"/>
      <c r="G167" s="48"/>
      <c r="H167" s="49" t="s">
        <v>29</v>
      </c>
      <c r="I167" s="51">
        <v>2695.8</v>
      </c>
      <c r="J167" s="51" t="s">
        <v>30</v>
      </c>
      <c r="K167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67" s="52"/>
      <c r="M167" s="58"/>
      <c r="N167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2695.8</v>
      </c>
      <c r="O167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46242</v>
      </c>
      <c r="Q167" s="49" t="s">
        <v>344</v>
      </c>
      <c r="R167" s="48">
        <v>46240</v>
      </c>
      <c r="S167" s="59" t="s">
        <v>27</v>
      </c>
    </row>
    <row r="168" spans="2:21" s="49" customFormat="1" ht="18.75" hidden="1" customHeight="1">
      <c r="B168" s="56"/>
      <c r="C168" s="57"/>
      <c r="D168" s="48">
        <v>46182</v>
      </c>
      <c r="E168" s="50" t="s">
        <v>345</v>
      </c>
      <c r="F168" s="48"/>
      <c r="G168" s="48"/>
      <c r="H168" s="49" t="s">
        <v>29</v>
      </c>
      <c r="I168" s="51">
        <v>35162.53</v>
      </c>
      <c r="J168" s="51" t="s">
        <v>30</v>
      </c>
      <c r="K168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68" s="52"/>
      <c r="M168" s="58"/>
      <c r="N168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35162.53</v>
      </c>
      <c r="O168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46242</v>
      </c>
      <c r="Q168" s="49" t="s">
        <v>135</v>
      </c>
      <c r="R168" s="48">
        <v>46240</v>
      </c>
      <c r="S168" s="59" t="s">
        <v>27</v>
      </c>
    </row>
    <row r="169" spans="2:21" s="49" customFormat="1" ht="18.75" hidden="1" customHeight="1">
      <c r="B169" s="56"/>
      <c r="C169" s="57"/>
      <c r="D169" s="48">
        <v>46183</v>
      </c>
      <c r="E169" s="50" t="s">
        <v>346</v>
      </c>
      <c r="F169" s="48"/>
      <c r="G169" s="48"/>
      <c r="H169" s="49" t="s">
        <v>29</v>
      </c>
      <c r="I169" s="51">
        <v>24149.919999999998</v>
      </c>
      <c r="J169" s="51" t="s">
        <v>30</v>
      </c>
      <c r="K169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69" s="52"/>
      <c r="M169" s="58"/>
      <c r="N169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24149.919999999998</v>
      </c>
      <c r="O169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46243</v>
      </c>
      <c r="Q169" s="49" t="s">
        <v>115</v>
      </c>
      <c r="R169" s="48">
        <v>46240</v>
      </c>
      <c r="S169" s="59" t="s">
        <v>27</v>
      </c>
    </row>
    <row r="170" spans="2:21" s="49" customFormat="1" ht="18.75" hidden="1" customHeight="1">
      <c r="B170" s="56"/>
      <c r="C170" s="57"/>
      <c r="D170" s="48">
        <v>46183</v>
      </c>
      <c r="E170" s="50" t="s">
        <v>347</v>
      </c>
      <c r="F170" s="48"/>
      <c r="G170" s="48"/>
      <c r="H170" s="49" t="s">
        <v>29</v>
      </c>
      <c r="I170" s="51">
        <v>37987.199999999997</v>
      </c>
      <c r="J170" s="51" t="s">
        <v>30</v>
      </c>
      <c r="K17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70" s="52"/>
      <c r="M170" s="58"/>
      <c r="N170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37987.199999999997</v>
      </c>
      <c r="O170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46243</v>
      </c>
      <c r="Q170" s="49" t="s">
        <v>255</v>
      </c>
      <c r="R170" s="48">
        <v>46240</v>
      </c>
      <c r="S170" s="59" t="s">
        <v>27</v>
      </c>
    </row>
    <row r="171" spans="2:21" s="49" customFormat="1" ht="18.75" hidden="1" customHeight="1">
      <c r="B171" s="56"/>
      <c r="C171" s="57"/>
      <c r="D171" s="48">
        <v>46183</v>
      </c>
      <c r="E171" s="50" t="s">
        <v>348</v>
      </c>
      <c r="F171" s="48"/>
      <c r="G171" s="48"/>
      <c r="H171" s="49" t="s">
        <v>29</v>
      </c>
      <c r="I171" s="51">
        <v>27615.360000000001</v>
      </c>
      <c r="J171" s="51" t="s">
        <v>30</v>
      </c>
      <c r="K171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71" s="52"/>
      <c r="M171" s="58"/>
      <c r="N171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27615.360000000001</v>
      </c>
      <c r="O171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46243</v>
      </c>
      <c r="Q171" s="49" t="s">
        <v>135</v>
      </c>
      <c r="R171" s="48">
        <v>46240</v>
      </c>
      <c r="S171" s="59" t="s">
        <v>27</v>
      </c>
    </row>
    <row r="172" spans="2:21" s="49" customFormat="1" ht="18.75" hidden="1" customHeight="1">
      <c r="B172" s="56"/>
      <c r="C172" s="57"/>
      <c r="D172" s="48">
        <v>46183</v>
      </c>
      <c r="E172" s="50" t="s">
        <v>349</v>
      </c>
      <c r="F172" s="48"/>
      <c r="G172" s="48"/>
      <c r="H172" s="49" t="s">
        <v>29</v>
      </c>
      <c r="I172" s="51">
        <v>33533.93</v>
      </c>
      <c r="J172" s="51" t="s">
        <v>30</v>
      </c>
      <c r="K17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72" s="52"/>
      <c r="M172" s="58"/>
      <c r="N172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33533.93</v>
      </c>
      <c r="O172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46243</v>
      </c>
      <c r="Q172" s="49" t="s">
        <v>350</v>
      </c>
      <c r="R172" s="48">
        <v>46240</v>
      </c>
      <c r="S172" s="59" t="s">
        <v>27</v>
      </c>
    </row>
    <row r="173" spans="2:21" s="49" customFormat="1" ht="18.75" hidden="1" customHeight="1">
      <c r="B173" s="56"/>
      <c r="C173" s="57"/>
      <c r="D173" s="48">
        <v>46184</v>
      </c>
      <c r="E173" s="50" t="s">
        <v>351</v>
      </c>
      <c r="F173" s="48"/>
      <c r="G173" s="48"/>
      <c r="H173" s="49" t="s">
        <v>29</v>
      </c>
      <c r="I173" s="51">
        <v>48814.32</v>
      </c>
      <c r="J173" s="51" t="s">
        <v>30</v>
      </c>
      <c r="K173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73" s="52"/>
      <c r="M173" s="58"/>
      <c r="N173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48814.32</v>
      </c>
      <c r="O173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46244</v>
      </c>
      <c r="Q173" s="49" t="s">
        <v>255</v>
      </c>
      <c r="R173" s="48">
        <v>46240</v>
      </c>
      <c r="S173" s="59" t="s">
        <v>27</v>
      </c>
    </row>
    <row r="174" spans="2:21" s="49" customFormat="1" ht="18.75" hidden="1" customHeight="1">
      <c r="B174" s="56"/>
      <c r="C174" s="57"/>
      <c r="D174" s="48">
        <v>46184</v>
      </c>
      <c r="E174" s="50" t="s">
        <v>352</v>
      </c>
      <c r="F174" s="48"/>
      <c r="G174" s="48"/>
      <c r="H174" s="49" t="s">
        <v>29</v>
      </c>
      <c r="I174" s="51">
        <v>33004.94</v>
      </c>
      <c r="J174" s="51" t="s">
        <v>30</v>
      </c>
      <c r="K174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74" s="52"/>
      <c r="M174" s="58"/>
      <c r="N174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33004.94</v>
      </c>
      <c r="O174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46244</v>
      </c>
      <c r="Q174" s="49" t="s">
        <v>350</v>
      </c>
      <c r="R174" s="48">
        <v>46240</v>
      </c>
      <c r="S174" s="59" t="s">
        <v>27</v>
      </c>
    </row>
    <row r="175" spans="2:21" s="49" customFormat="1" ht="18.75" hidden="1" customHeight="1">
      <c r="B175" s="56"/>
      <c r="C175" s="57"/>
      <c r="D175" s="48">
        <v>46184</v>
      </c>
      <c r="E175" s="50" t="s">
        <v>353</v>
      </c>
      <c r="F175" s="48"/>
      <c r="G175" s="48"/>
      <c r="H175" s="49" t="s">
        <v>29</v>
      </c>
      <c r="I175" s="51">
        <v>3874.72</v>
      </c>
      <c r="J175" s="51" t="s">
        <v>30</v>
      </c>
      <c r="K175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75" s="52"/>
      <c r="M175" s="58"/>
      <c r="N175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3874.72</v>
      </c>
      <c r="O175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46244</v>
      </c>
      <c r="Q175" s="49" t="s">
        <v>241</v>
      </c>
      <c r="R175" s="48">
        <v>46240</v>
      </c>
      <c r="S175" s="59" t="s">
        <v>27</v>
      </c>
    </row>
    <row r="176" spans="2:21" s="190" customFormat="1" ht="18.75" hidden="1" customHeight="1">
      <c r="B176" s="231"/>
      <c r="C176" s="232"/>
      <c r="D176" s="189">
        <v>46191</v>
      </c>
      <c r="E176" s="191" t="s">
        <v>354</v>
      </c>
      <c r="F176" s="189"/>
      <c r="G176" s="189"/>
      <c r="H176" s="190" t="s">
        <v>54</v>
      </c>
      <c r="I176" s="192">
        <v>-456.39</v>
      </c>
      <c r="J176" s="192" t="s">
        <v>55</v>
      </c>
      <c r="K176" s="192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76" s="193"/>
      <c r="M176" s="233"/>
      <c r="N176" s="19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-456.39</v>
      </c>
      <c r="O176" s="193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Q176" s="190" t="s">
        <v>355</v>
      </c>
      <c r="S176" s="194" t="s">
        <v>27</v>
      </c>
      <c r="T176" s="190" t="s">
        <v>356</v>
      </c>
      <c r="U176" s="190" t="s">
        <v>32</v>
      </c>
    </row>
    <row r="177" spans="2:21" s="49" customFormat="1" ht="18.75" hidden="1" customHeight="1">
      <c r="B177" s="56"/>
      <c r="C177" s="57"/>
      <c r="D177" s="48">
        <v>46184</v>
      </c>
      <c r="E177" s="50" t="s">
        <v>357</v>
      </c>
      <c r="F177" s="48"/>
      <c r="G177" s="48"/>
      <c r="H177" s="49" t="s">
        <v>29</v>
      </c>
      <c r="I177" s="51">
        <v>484.08</v>
      </c>
      <c r="J177" s="51" t="s">
        <v>30</v>
      </c>
      <c r="K177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77" s="52"/>
      <c r="M177" s="58"/>
      <c r="N177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484.08</v>
      </c>
      <c r="O177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46244</v>
      </c>
      <c r="Q177" s="49" t="s">
        <v>241</v>
      </c>
      <c r="R177" s="48">
        <v>46240</v>
      </c>
      <c r="S177" s="59" t="s">
        <v>27</v>
      </c>
    </row>
    <row r="178" spans="2:21" s="49" customFormat="1" ht="18.75" hidden="1" customHeight="1">
      <c r="B178" s="244"/>
      <c r="C178" s="245"/>
      <c r="D178" s="246">
        <v>46184</v>
      </c>
      <c r="E178" s="247" t="s">
        <v>358</v>
      </c>
      <c r="F178" s="246"/>
      <c r="G178" s="246"/>
      <c r="H178" s="248" t="s">
        <v>29</v>
      </c>
      <c r="I178" s="249">
        <v>2478.04</v>
      </c>
      <c r="J178" s="249" t="s">
        <v>30</v>
      </c>
      <c r="K178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78" s="250"/>
      <c r="M178" s="251"/>
      <c r="N178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2478.04</v>
      </c>
      <c r="O178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46244</v>
      </c>
      <c r="Q178" s="248" t="s">
        <v>241</v>
      </c>
      <c r="R178" s="48">
        <v>46240</v>
      </c>
      <c r="S178" s="253" t="s">
        <v>27</v>
      </c>
      <c r="T178" s="254"/>
    </row>
    <row r="179" spans="2:21" s="49" customFormat="1" ht="18.75" hidden="1" customHeight="1">
      <c r="B179" s="147"/>
      <c r="C179" s="68"/>
      <c r="D179" s="69">
        <v>46185</v>
      </c>
      <c r="E179" s="70" t="s">
        <v>359</v>
      </c>
      <c r="F179" s="69"/>
      <c r="G179" s="69"/>
      <c r="H179" s="71" t="s">
        <v>29</v>
      </c>
      <c r="I179" s="72">
        <v>31408.5</v>
      </c>
      <c r="J179" s="72" t="s">
        <v>30</v>
      </c>
      <c r="K179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79" s="73"/>
      <c r="M179" s="148"/>
      <c r="N179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31408.5</v>
      </c>
      <c r="O179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46245</v>
      </c>
      <c r="Q179" s="71" t="s">
        <v>255</v>
      </c>
      <c r="R179" s="48">
        <v>46240</v>
      </c>
      <c r="S179" s="74" t="s">
        <v>27</v>
      </c>
      <c r="T179" s="75"/>
    </row>
    <row r="180" spans="2:21" s="49" customFormat="1" ht="18.75" hidden="1" customHeight="1">
      <c r="B180" s="56"/>
      <c r="C180" s="57"/>
      <c r="D180" s="48">
        <v>46185</v>
      </c>
      <c r="E180" s="50" t="s">
        <v>360</v>
      </c>
      <c r="F180" s="48"/>
      <c r="G180" s="48"/>
      <c r="H180" s="49" t="s">
        <v>29</v>
      </c>
      <c r="I180" s="51">
        <v>32966</v>
      </c>
      <c r="J180" s="51" t="s">
        <v>30</v>
      </c>
      <c r="K18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80" s="52"/>
      <c r="M180" s="58"/>
      <c r="N180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32966</v>
      </c>
      <c r="O180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46245</v>
      </c>
      <c r="Q180" s="49" t="s">
        <v>361</v>
      </c>
      <c r="R180" s="48">
        <v>46240</v>
      </c>
      <c r="S180" s="59" t="s">
        <v>27</v>
      </c>
    </row>
    <row r="181" spans="2:21" s="49" customFormat="1" ht="18.75" hidden="1" customHeight="1">
      <c r="B181" s="56"/>
      <c r="C181" s="57"/>
      <c r="D181" s="48">
        <v>46185</v>
      </c>
      <c r="E181" s="50" t="s">
        <v>362</v>
      </c>
      <c r="F181" s="48"/>
      <c r="G181" s="48"/>
      <c r="H181" s="49" t="s">
        <v>29</v>
      </c>
      <c r="I181" s="51">
        <v>104.35</v>
      </c>
      <c r="J181" s="51" t="s">
        <v>30</v>
      </c>
      <c r="K181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81" s="52"/>
      <c r="M181" s="58"/>
      <c r="N181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104.35</v>
      </c>
      <c r="O181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46245</v>
      </c>
      <c r="Q181" s="49" t="s">
        <v>36</v>
      </c>
      <c r="R181" s="48">
        <v>46240</v>
      </c>
      <c r="S181" s="59" t="s">
        <v>27</v>
      </c>
    </row>
    <row r="182" spans="2:21" s="49" customFormat="1" ht="18.75" hidden="1" customHeight="1">
      <c r="B182" s="56"/>
      <c r="C182" s="57"/>
      <c r="D182" s="48">
        <v>46182</v>
      </c>
      <c r="E182" s="50" t="s">
        <v>363</v>
      </c>
      <c r="F182" s="48"/>
      <c r="G182" s="48"/>
      <c r="H182" s="49" t="s">
        <v>364</v>
      </c>
      <c r="I182" s="258">
        <v>4782.5</v>
      </c>
      <c r="J182" s="51" t="s">
        <v>43</v>
      </c>
      <c r="K182" s="62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82" s="52">
        <v>46191</v>
      </c>
      <c r="M182" s="58"/>
      <c r="N182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4782.5</v>
      </c>
      <c r="O182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46182</v>
      </c>
      <c r="P182" s="49" t="s">
        <v>25</v>
      </c>
      <c r="Q182" s="49" t="s">
        <v>365</v>
      </c>
      <c r="R182" s="48"/>
      <c r="S182" s="142" t="s">
        <v>27</v>
      </c>
    </row>
    <row r="183" spans="2:21" s="49" customFormat="1" ht="18.75" hidden="1" customHeight="1">
      <c r="B183" s="56"/>
      <c r="C183" s="57"/>
      <c r="D183" s="48">
        <v>46183</v>
      </c>
      <c r="E183" s="50" t="s">
        <v>366</v>
      </c>
      <c r="F183" s="48"/>
      <c r="G183" s="48"/>
      <c r="H183" s="49" t="s">
        <v>23</v>
      </c>
      <c r="I183" s="51">
        <v>410</v>
      </c>
      <c r="J183" s="51" t="s">
        <v>24</v>
      </c>
      <c r="K183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123</v>
      </c>
      <c r="L183" s="52"/>
      <c r="M183" s="58"/>
      <c r="N183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287</v>
      </c>
      <c r="O183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46243</v>
      </c>
      <c r="Q183" s="49" t="s">
        <v>26</v>
      </c>
      <c r="R183" s="48">
        <v>46240</v>
      </c>
      <c r="S183" s="59" t="s">
        <v>45</v>
      </c>
    </row>
    <row r="184" spans="2:21" s="49" customFormat="1" ht="18.75" hidden="1" customHeight="1">
      <c r="B184" s="56">
        <v>46121</v>
      </c>
      <c r="C184" s="57" t="s">
        <v>367</v>
      </c>
      <c r="D184" s="48">
        <v>46152</v>
      </c>
      <c r="E184" s="50" t="s">
        <v>368</v>
      </c>
      <c r="F184" s="48"/>
      <c r="G184" s="48"/>
      <c r="H184" s="49" t="s">
        <v>23</v>
      </c>
      <c r="I184" s="51">
        <v>4930.3999999999996</v>
      </c>
      <c r="J184" s="51" t="s">
        <v>24</v>
      </c>
      <c r="K184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1479.12</v>
      </c>
      <c r="L184" s="52"/>
      <c r="M184" s="49" t="s">
        <v>25</v>
      </c>
      <c r="N184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3451.2799999999997</v>
      </c>
      <c r="O184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46212</v>
      </c>
      <c r="P184" s="49" t="s">
        <v>25</v>
      </c>
      <c r="Q184" s="49" t="s">
        <v>109</v>
      </c>
      <c r="R184" s="48">
        <v>46212</v>
      </c>
      <c r="S184" s="59" t="s">
        <v>27</v>
      </c>
      <c r="U184" s="49" t="s">
        <v>32</v>
      </c>
    </row>
    <row r="185" spans="2:21" s="49" customFormat="1" ht="18.75" hidden="1" customHeight="1">
      <c r="B185" s="56">
        <v>46195</v>
      </c>
      <c r="C185" s="142" t="s">
        <v>369</v>
      </c>
      <c r="D185" s="76"/>
      <c r="E185" s="78"/>
      <c r="F185" s="76"/>
      <c r="G185" s="76"/>
      <c r="H185" s="63" t="s">
        <v>301</v>
      </c>
      <c r="I185" s="79">
        <v>41.57</v>
      </c>
      <c r="J185" s="51" t="s">
        <v>55</v>
      </c>
      <c r="K185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85" s="52"/>
      <c r="M185" s="58"/>
      <c r="N185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41.57</v>
      </c>
      <c r="O185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85" s="63"/>
      <c r="Q185" s="63" t="s">
        <v>370</v>
      </c>
      <c r="R185" s="76"/>
      <c r="S185" s="82" t="s">
        <v>45</v>
      </c>
      <c r="T185" s="63"/>
    </row>
    <row r="186" spans="2:21" s="49" customFormat="1" ht="18.75" hidden="1" customHeight="1">
      <c r="B186" s="56">
        <v>46195</v>
      </c>
      <c r="C186" s="142" t="s">
        <v>371</v>
      </c>
      <c r="D186" s="76"/>
      <c r="E186" s="78"/>
      <c r="F186" s="76"/>
      <c r="G186" s="76"/>
      <c r="H186" s="63" t="s">
        <v>301</v>
      </c>
      <c r="I186" s="79">
        <v>69.13</v>
      </c>
      <c r="J186" s="51" t="s">
        <v>55</v>
      </c>
      <c r="K186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86" s="52"/>
      <c r="M186" s="58"/>
      <c r="N186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69.13</v>
      </c>
      <c r="O186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86" s="63"/>
      <c r="Q186" s="63" t="s">
        <v>372</v>
      </c>
      <c r="R186" s="76"/>
      <c r="S186" s="82" t="s">
        <v>45</v>
      </c>
      <c r="T186" s="63"/>
    </row>
    <row r="187" spans="2:21" s="49" customFormat="1" ht="18.75" hidden="1" customHeight="1">
      <c r="B187" s="56">
        <v>46195</v>
      </c>
      <c r="C187" s="142" t="s">
        <v>373</v>
      </c>
      <c r="D187" s="76"/>
      <c r="E187" s="78"/>
      <c r="F187" s="76"/>
      <c r="G187" s="76"/>
      <c r="H187" s="63" t="s">
        <v>301</v>
      </c>
      <c r="I187" s="79">
        <v>60.19</v>
      </c>
      <c r="J187" s="51" t="s">
        <v>55</v>
      </c>
      <c r="K187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87" s="52"/>
      <c r="M187" s="58"/>
      <c r="N187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60.19</v>
      </c>
      <c r="O187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87" s="63"/>
      <c r="Q187" s="63" t="s">
        <v>374</v>
      </c>
      <c r="R187" s="76"/>
      <c r="S187" s="82" t="s">
        <v>45</v>
      </c>
      <c r="T187" s="63"/>
    </row>
    <row r="188" spans="2:21" s="49" customFormat="1" ht="18.75" hidden="1" customHeight="1">
      <c r="B188" s="56">
        <v>46195</v>
      </c>
      <c r="C188" s="142" t="s">
        <v>375</v>
      </c>
      <c r="D188" s="76"/>
      <c r="E188" s="78"/>
      <c r="F188" s="76"/>
      <c r="G188" s="76"/>
      <c r="H188" s="63" t="s">
        <v>301</v>
      </c>
      <c r="I188" s="79">
        <v>63.17</v>
      </c>
      <c r="J188" s="51" t="s">
        <v>55</v>
      </c>
      <c r="K188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88" s="52"/>
      <c r="M188" s="58"/>
      <c r="N188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63.17</v>
      </c>
      <c r="O188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88" s="63"/>
      <c r="Q188" s="171" t="s">
        <v>376</v>
      </c>
      <c r="R188" s="76"/>
      <c r="S188" s="82" t="s">
        <v>45</v>
      </c>
      <c r="T188" s="63"/>
    </row>
    <row r="189" spans="2:21" s="49" customFormat="1" ht="18.75" hidden="1" customHeight="1">
      <c r="B189" s="56">
        <v>46195</v>
      </c>
      <c r="C189" s="142" t="s">
        <v>377</v>
      </c>
      <c r="D189" s="76"/>
      <c r="E189" s="78"/>
      <c r="F189" s="76"/>
      <c r="G189" s="76"/>
      <c r="H189" s="63" t="s">
        <v>301</v>
      </c>
      <c r="I189" s="79">
        <v>63.17</v>
      </c>
      <c r="J189" s="51" t="s">
        <v>55</v>
      </c>
      <c r="K189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89" s="52"/>
      <c r="M189" s="58"/>
      <c r="N189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63.17</v>
      </c>
      <c r="O189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89" s="63"/>
      <c r="Q189" s="171" t="s">
        <v>378</v>
      </c>
      <c r="R189" s="76"/>
      <c r="S189" s="82" t="s">
        <v>45</v>
      </c>
      <c r="T189" s="63"/>
    </row>
    <row r="190" spans="2:21" s="63" customFormat="1" ht="18.75" hidden="1" customHeight="1">
      <c r="B190" s="56">
        <v>46080</v>
      </c>
      <c r="C190" s="57" t="s">
        <v>379</v>
      </c>
      <c r="D190" s="48">
        <v>46097</v>
      </c>
      <c r="E190" s="50" t="s">
        <v>380</v>
      </c>
      <c r="F190" s="48"/>
      <c r="G190" s="48"/>
      <c r="H190" s="49" t="s">
        <v>69</v>
      </c>
      <c r="I190" s="51">
        <v>17408.48</v>
      </c>
      <c r="J190" s="51" t="s">
        <v>55</v>
      </c>
      <c r="K19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90" s="52"/>
      <c r="M190" s="58"/>
      <c r="N19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17408.48</v>
      </c>
      <c r="O190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90" s="49" t="s">
        <v>25</v>
      </c>
      <c r="Q190" s="49" t="s">
        <v>381</v>
      </c>
      <c r="R190" s="48">
        <v>46086</v>
      </c>
      <c r="S190" s="59" t="s">
        <v>45</v>
      </c>
      <c r="T190" s="49"/>
      <c r="U190" s="49" t="s">
        <v>32</v>
      </c>
    </row>
    <row r="191" spans="2:21" s="63" customFormat="1" ht="18.75" hidden="1" customHeight="1">
      <c r="B191" s="56">
        <v>46080</v>
      </c>
      <c r="C191" s="57" t="s">
        <v>382</v>
      </c>
      <c r="D191" s="48">
        <v>46093</v>
      </c>
      <c r="E191" s="50" t="s">
        <v>383</v>
      </c>
      <c r="F191" s="48"/>
      <c r="G191" s="48"/>
      <c r="H191" s="49" t="s">
        <v>69</v>
      </c>
      <c r="I191" s="51">
        <v>23062.240000000002</v>
      </c>
      <c r="J191" s="51" t="s">
        <v>55</v>
      </c>
      <c r="K19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91" s="52"/>
      <c r="M191" s="58"/>
      <c r="N19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23062.240000000002</v>
      </c>
      <c r="O191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91" s="49" t="s">
        <v>25</v>
      </c>
      <c r="Q191" s="49" t="s">
        <v>384</v>
      </c>
      <c r="R191" s="48">
        <v>46086</v>
      </c>
      <c r="S191" s="59" t="s">
        <v>45</v>
      </c>
      <c r="T191" s="49"/>
      <c r="U191" s="49" t="s">
        <v>32</v>
      </c>
    </row>
    <row r="192" spans="2:21" s="63" customFormat="1" ht="18.75" hidden="1" customHeight="1">
      <c r="B192" s="56">
        <v>46080</v>
      </c>
      <c r="C192" s="57" t="s">
        <v>385</v>
      </c>
      <c r="D192" s="48">
        <v>46093</v>
      </c>
      <c r="E192" s="50" t="s">
        <v>386</v>
      </c>
      <c r="F192" s="48"/>
      <c r="G192" s="48"/>
      <c r="H192" s="49" t="s">
        <v>69</v>
      </c>
      <c r="I192" s="51">
        <v>17809.57</v>
      </c>
      <c r="J192" s="51" t="s">
        <v>55</v>
      </c>
      <c r="K19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92" s="52"/>
      <c r="M192" s="58"/>
      <c r="N19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17809.57</v>
      </c>
      <c r="O192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92" s="49" t="s">
        <v>25</v>
      </c>
      <c r="Q192" s="49" t="s">
        <v>387</v>
      </c>
      <c r="R192" s="48">
        <v>46086</v>
      </c>
      <c r="S192" s="59" t="s">
        <v>45</v>
      </c>
      <c r="T192" s="49"/>
      <c r="U192" s="49" t="s">
        <v>32</v>
      </c>
    </row>
    <row r="193" spans="2:21" s="63" customFormat="1" ht="18.75" hidden="1" customHeight="1">
      <c r="B193" s="56">
        <v>46034</v>
      </c>
      <c r="C193" s="57" t="s">
        <v>388</v>
      </c>
      <c r="D193" s="48">
        <v>46136</v>
      </c>
      <c r="E193" s="50" t="s">
        <v>389</v>
      </c>
      <c r="F193" s="48"/>
      <c r="G193" s="48"/>
      <c r="H193" s="49" t="s">
        <v>69</v>
      </c>
      <c r="I193" s="51">
        <v>38774.44</v>
      </c>
      <c r="J193" s="51" t="s">
        <v>55</v>
      </c>
      <c r="K19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93" s="52"/>
      <c r="M193" s="58"/>
      <c r="N19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38774.44</v>
      </c>
      <c r="O193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93" s="49" t="s">
        <v>25</v>
      </c>
      <c r="Q193" s="49" t="s">
        <v>390</v>
      </c>
      <c r="R193" s="48">
        <v>46134</v>
      </c>
      <c r="S193" s="59" t="s">
        <v>45</v>
      </c>
      <c r="T193" s="49"/>
      <c r="U193" s="49" t="s">
        <v>32</v>
      </c>
    </row>
    <row r="194" spans="2:21" s="63" customFormat="1" ht="18.75" hidden="1" customHeight="1">
      <c r="B194" s="56"/>
      <c r="C194" s="57"/>
      <c r="D194" s="48">
        <v>46188</v>
      </c>
      <c r="E194" s="50" t="s">
        <v>391</v>
      </c>
      <c r="F194" s="48"/>
      <c r="G194" s="48"/>
      <c r="H194" s="49" t="s">
        <v>29</v>
      </c>
      <c r="I194" s="51">
        <v>38852.1</v>
      </c>
      <c r="J194" s="51" t="s">
        <v>30</v>
      </c>
      <c r="K194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94" s="52"/>
      <c r="M194" s="58"/>
      <c r="N194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38852.1</v>
      </c>
      <c r="O194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46248</v>
      </c>
      <c r="P194" s="49"/>
      <c r="Q194" s="49" t="s">
        <v>52</v>
      </c>
      <c r="R194" s="48">
        <v>46247</v>
      </c>
      <c r="S194" s="59" t="s">
        <v>27</v>
      </c>
      <c r="T194" s="49"/>
      <c r="U194" s="49"/>
    </row>
    <row r="195" spans="2:21" s="63" customFormat="1" ht="18.75" hidden="1" customHeight="1">
      <c r="B195" s="56"/>
      <c r="C195" s="57"/>
      <c r="D195" s="48">
        <v>46188</v>
      </c>
      <c r="E195" s="50" t="s">
        <v>392</v>
      </c>
      <c r="F195" s="48"/>
      <c r="G195" s="48"/>
      <c r="H195" s="49" t="s">
        <v>29</v>
      </c>
      <c r="I195" s="51">
        <v>33272.239999999998</v>
      </c>
      <c r="J195" s="51" t="s">
        <v>30</v>
      </c>
      <c r="K195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95" s="52"/>
      <c r="M195" s="58"/>
      <c r="N195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33272.239999999998</v>
      </c>
      <c r="O195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46248</v>
      </c>
      <c r="P195" s="49"/>
      <c r="Q195" s="49" t="s">
        <v>350</v>
      </c>
      <c r="R195" s="48">
        <v>46247</v>
      </c>
      <c r="S195" s="59" t="s">
        <v>27</v>
      </c>
      <c r="T195" s="49"/>
      <c r="U195" s="49"/>
    </row>
    <row r="196" spans="2:21" s="63" customFormat="1" ht="18.75" hidden="1" customHeight="1">
      <c r="B196" s="56"/>
      <c r="C196" s="57"/>
      <c r="D196" s="48">
        <v>46189</v>
      </c>
      <c r="E196" s="50" t="s">
        <v>393</v>
      </c>
      <c r="F196" s="48"/>
      <c r="G196" s="48"/>
      <c r="H196" s="49" t="s">
        <v>29</v>
      </c>
      <c r="I196" s="51">
        <v>31098.46</v>
      </c>
      <c r="J196" s="51" t="s">
        <v>30</v>
      </c>
      <c r="K196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96" s="52"/>
      <c r="M196" s="58"/>
      <c r="N196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31098.46</v>
      </c>
      <c r="O196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46249</v>
      </c>
      <c r="P196" s="49"/>
      <c r="Q196" s="49" t="s">
        <v>52</v>
      </c>
      <c r="R196" s="48">
        <v>46247</v>
      </c>
      <c r="S196" s="59" t="s">
        <v>27</v>
      </c>
      <c r="T196" s="49"/>
      <c r="U196" s="49"/>
    </row>
    <row r="197" spans="2:21" s="63" customFormat="1" ht="18.75" hidden="1" customHeight="1">
      <c r="B197" s="56"/>
      <c r="C197" s="57"/>
      <c r="D197" s="48">
        <v>46189</v>
      </c>
      <c r="E197" s="50" t="s">
        <v>394</v>
      </c>
      <c r="F197" s="48"/>
      <c r="G197" s="48"/>
      <c r="H197" s="49" t="s">
        <v>29</v>
      </c>
      <c r="I197" s="51">
        <v>28935.32</v>
      </c>
      <c r="J197" s="51" t="s">
        <v>30</v>
      </c>
      <c r="K197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97" s="52"/>
      <c r="M197" s="58"/>
      <c r="N197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28935.32</v>
      </c>
      <c r="O197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46249</v>
      </c>
      <c r="P197" s="49"/>
      <c r="Q197" s="49" t="s">
        <v>361</v>
      </c>
      <c r="R197" s="48">
        <v>46247</v>
      </c>
      <c r="S197" s="59" t="s">
        <v>27</v>
      </c>
      <c r="T197" s="49"/>
      <c r="U197" s="49"/>
    </row>
    <row r="198" spans="2:21" s="63" customFormat="1" ht="18.75" hidden="1" customHeight="1">
      <c r="B198" s="56"/>
      <c r="C198" s="57"/>
      <c r="D198" s="48">
        <v>46189</v>
      </c>
      <c r="E198" s="50" t="s">
        <v>395</v>
      </c>
      <c r="F198" s="48"/>
      <c r="G198" s="48"/>
      <c r="H198" s="49" t="s">
        <v>29</v>
      </c>
      <c r="I198" s="51">
        <v>40412.639999999999</v>
      </c>
      <c r="J198" s="51" t="s">
        <v>30</v>
      </c>
      <c r="K198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98" s="52"/>
      <c r="M198" s="58"/>
      <c r="N198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40412.639999999999</v>
      </c>
      <c r="O198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46249</v>
      </c>
      <c r="P198" s="49"/>
      <c r="Q198" s="49" t="s">
        <v>144</v>
      </c>
      <c r="R198" s="48">
        <v>46247</v>
      </c>
      <c r="S198" s="59" t="s">
        <v>27</v>
      </c>
      <c r="T198" s="49"/>
      <c r="U198" s="49"/>
    </row>
    <row r="199" spans="2:21" ht="18.75" hidden="1" customHeight="1">
      <c r="B199" s="56"/>
      <c r="C199" s="57"/>
      <c r="D199" s="48">
        <v>46189</v>
      </c>
      <c r="E199" s="50" t="s">
        <v>396</v>
      </c>
      <c r="F199" s="48"/>
      <c r="G199" s="48"/>
      <c r="H199" s="49" t="s">
        <v>29</v>
      </c>
      <c r="I199" s="51">
        <v>34710</v>
      </c>
      <c r="J199" s="51" t="s">
        <v>30</v>
      </c>
      <c r="K199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99" s="52"/>
      <c r="M199" s="58"/>
      <c r="N199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34710</v>
      </c>
      <c r="O199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46249</v>
      </c>
      <c r="P199" s="49"/>
      <c r="Q199" s="49" t="s">
        <v>52</v>
      </c>
      <c r="R199" s="48">
        <v>46247</v>
      </c>
      <c r="S199" s="59" t="s">
        <v>27</v>
      </c>
      <c r="T199" s="49"/>
      <c r="U199" s="49"/>
    </row>
    <row r="200" spans="2:21" ht="18.75" hidden="1" customHeight="1">
      <c r="B200" s="56"/>
      <c r="C200" s="57"/>
      <c r="D200" s="48">
        <v>46190</v>
      </c>
      <c r="E200" s="50" t="s">
        <v>397</v>
      </c>
      <c r="F200" s="48"/>
      <c r="G200" s="48"/>
      <c r="H200" s="49" t="s">
        <v>29</v>
      </c>
      <c r="I200" s="51">
        <v>26709.37</v>
      </c>
      <c r="J200" s="51" t="s">
        <v>30</v>
      </c>
      <c r="K20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00" s="52"/>
      <c r="M200" s="58"/>
      <c r="N200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26709.37</v>
      </c>
      <c r="O200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46250</v>
      </c>
      <c r="P200" s="49"/>
      <c r="Q200" s="49" t="s">
        <v>135</v>
      </c>
      <c r="R200" s="48">
        <v>46247</v>
      </c>
      <c r="S200" s="59" t="s">
        <v>27</v>
      </c>
      <c r="T200" s="49"/>
      <c r="U200" s="49"/>
    </row>
    <row r="201" spans="2:21" ht="18.75" hidden="1" customHeight="1">
      <c r="B201" s="56"/>
      <c r="C201" s="57"/>
      <c r="D201" s="48">
        <v>46190</v>
      </c>
      <c r="E201" s="50" t="s">
        <v>398</v>
      </c>
      <c r="F201" s="48"/>
      <c r="G201" s="48"/>
      <c r="H201" s="49" t="s">
        <v>29</v>
      </c>
      <c r="I201" s="51">
        <v>23606.400000000001</v>
      </c>
      <c r="J201" s="51" t="s">
        <v>30</v>
      </c>
      <c r="K201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01" s="52"/>
      <c r="M201" s="58"/>
      <c r="N201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23606.400000000001</v>
      </c>
      <c r="O201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46250</v>
      </c>
      <c r="P201" s="49"/>
      <c r="Q201" s="49" t="s">
        <v>135</v>
      </c>
      <c r="R201" s="48">
        <v>46247</v>
      </c>
      <c r="S201" s="59" t="s">
        <v>27</v>
      </c>
      <c r="T201" s="49"/>
      <c r="U201" s="49"/>
    </row>
    <row r="202" spans="2:21" ht="18.75" hidden="1" customHeight="1">
      <c r="B202" s="56"/>
      <c r="C202" s="57"/>
      <c r="D202" s="48">
        <v>46190</v>
      </c>
      <c r="E202" s="50" t="s">
        <v>399</v>
      </c>
      <c r="F202" s="48"/>
      <c r="G202" s="48"/>
      <c r="H202" s="49" t="s">
        <v>29</v>
      </c>
      <c r="I202" s="51">
        <v>31028.59</v>
      </c>
      <c r="J202" s="51" t="s">
        <v>30</v>
      </c>
      <c r="K20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02" s="52"/>
      <c r="M202" s="58"/>
      <c r="N202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31028.59</v>
      </c>
      <c r="O202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46250</v>
      </c>
      <c r="P202" s="49"/>
      <c r="Q202" s="49" t="s">
        <v>229</v>
      </c>
      <c r="R202" s="48">
        <v>46247</v>
      </c>
      <c r="S202" s="59" t="s">
        <v>27</v>
      </c>
      <c r="T202" s="49"/>
      <c r="U202" s="49"/>
    </row>
    <row r="203" spans="2:21" ht="18.75" hidden="1" customHeight="1">
      <c r="B203" s="56"/>
      <c r="C203" s="57"/>
      <c r="D203" s="48">
        <v>46191</v>
      </c>
      <c r="E203" s="50" t="s">
        <v>400</v>
      </c>
      <c r="F203" s="48"/>
      <c r="G203" s="48"/>
      <c r="H203" s="49" t="s">
        <v>29</v>
      </c>
      <c r="I203" s="51">
        <v>21898.799999999999</v>
      </c>
      <c r="J203" s="51" t="s">
        <v>30</v>
      </c>
      <c r="K203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03" s="52"/>
      <c r="M203" s="58"/>
      <c r="N203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21898.799999999999</v>
      </c>
      <c r="O203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46251</v>
      </c>
      <c r="P203" s="49"/>
      <c r="Q203" s="49" t="s">
        <v>144</v>
      </c>
      <c r="R203" s="48">
        <v>46247</v>
      </c>
      <c r="S203" s="59" t="s">
        <v>27</v>
      </c>
      <c r="T203" s="49"/>
      <c r="U203" s="49"/>
    </row>
    <row r="204" spans="2:21" ht="18.75" hidden="1" customHeight="1">
      <c r="B204" s="56"/>
      <c r="C204" s="57"/>
      <c r="D204" s="48">
        <v>46192</v>
      </c>
      <c r="E204" s="50" t="s">
        <v>401</v>
      </c>
      <c r="F204" s="48"/>
      <c r="G204" s="48"/>
      <c r="H204" s="49" t="s">
        <v>29</v>
      </c>
      <c r="I204" s="51">
        <v>6459.06</v>
      </c>
      <c r="J204" s="51" t="s">
        <v>30</v>
      </c>
      <c r="K204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04" s="52"/>
      <c r="M204" s="58"/>
      <c r="N204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6459.06</v>
      </c>
      <c r="O204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46252</v>
      </c>
      <c r="P204" s="49"/>
      <c r="Q204" s="49" t="s">
        <v>135</v>
      </c>
      <c r="R204" s="48">
        <v>46247</v>
      </c>
      <c r="S204" s="59" t="s">
        <v>27</v>
      </c>
      <c r="T204" s="49"/>
      <c r="U204" s="49"/>
    </row>
    <row r="205" spans="2:21" ht="18.75" hidden="1" customHeight="1">
      <c r="B205" s="56"/>
      <c r="C205" s="57"/>
      <c r="D205" s="48">
        <v>46192</v>
      </c>
      <c r="E205" s="50" t="s">
        <v>402</v>
      </c>
      <c r="F205" s="48"/>
      <c r="G205" s="48"/>
      <c r="H205" s="49" t="s">
        <v>29</v>
      </c>
      <c r="I205" s="51">
        <v>22578.95</v>
      </c>
      <c r="J205" s="51" t="s">
        <v>30</v>
      </c>
      <c r="K205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05" s="52"/>
      <c r="M205" s="58"/>
      <c r="N205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22578.95</v>
      </c>
      <c r="O205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46252</v>
      </c>
      <c r="P205" s="49"/>
      <c r="Q205" s="49" t="s">
        <v>135</v>
      </c>
      <c r="R205" s="48">
        <v>46247</v>
      </c>
      <c r="S205" s="59" t="s">
        <v>27</v>
      </c>
      <c r="T205" s="49"/>
      <c r="U205" s="49"/>
    </row>
    <row r="206" spans="2:21" ht="18.75" hidden="1" customHeight="1">
      <c r="B206" s="56"/>
      <c r="C206" s="57"/>
      <c r="D206" s="48">
        <v>46192</v>
      </c>
      <c r="E206" s="50" t="s">
        <v>403</v>
      </c>
      <c r="F206" s="48"/>
      <c r="G206" s="48"/>
      <c r="H206" s="49" t="s">
        <v>29</v>
      </c>
      <c r="I206" s="51">
        <v>14045.3</v>
      </c>
      <c r="J206" s="51" t="s">
        <v>30</v>
      </c>
      <c r="K206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06" s="52"/>
      <c r="M206" s="58"/>
      <c r="N206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14045.3</v>
      </c>
      <c r="O206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46252</v>
      </c>
      <c r="P206" s="49"/>
      <c r="Q206" s="49" t="s">
        <v>144</v>
      </c>
      <c r="R206" s="48">
        <v>46247</v>
      </c>
      <c r="S206" s="59" t="s">
        <v>27</v>
      </c>
      <c r="T206" s="49"/>
      <c r="U206" s="49"/>
    </row>
    <row r="207" spans="2:21" ht="18.75" hidden="1" customHeight="1">
      <c r="B207" s="56"/>
      <c r="C207" s="57"/>
      <c r="D207" s="48">
        <v>46192</v>
      </c>
      <c r="E207" s="50" t="s">
        <v>404</v>
      </c>
      <c r="F207" s="48"/>
      <c r="G207" s="48"/>
      <c r="H207" s="49" t="s">
        <v>29</v>
      </c>
      <c r="I207" s="51">
        <v>39632.400000000001</v>
      </c>
      <c r="J207" s="51" t="s">
        <v>30</v>
      </c>
      <c r="K207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07" s="52"/>
      <c r="M207" s="58"/>
      <c r="N207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39632.400000000001</v>
      </c>
      <c r="O207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46252</v>
      </c>
      <c r="P207" s="49"/>
      <c r="Q207" s="49" t="s">
        <v>52</v>
      </c>
      <c r="R207" s="48">
        <v>46247</v>
      </c>
      <c r="S207" s="59" t="s">
        <v>27</v>
      </c>
      <c r="T207" s="49"/>
      <c r="U207" s="49"/>
    </row>
    <row r="208" spans="2:21" ht="18.75" hidden="1" customHeight="1">
      <c r="B208" s="56"/>
      <c r="C208" s="57"/>
      <c r="D208" s="48">
        <v>46192</v>
      </c>
      <c r="E208" s="50" t="s">
        <v>405</v>
      </c>
      <c r="F208" s="48"/>
      <c r="G208" s="48"/>
      <c r="H208" s="49" t="s">
        <v>29</v>
      </c>
      <c r="I208" s="51">
        <v>23765.200000000001</v>
      </c>
      <c r="J208" s="51" t="s">
        <v>30</v>
      </c>
      <c r="K208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08" s="52"/>
      <c r="M208" s="58"/>
      <c r="N208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23765.200000000001</v>
      </c>
      <c r="O208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46252</v>
      </c>
      <c r="P208" s="49"/>
      <c r="Q208" s="49" t="s">
        <v>406</v>
      </c>
      <c r="R208" s="48">
        <v>46247</v>
      </c>
      <c r="S208" s="59" t="s">
        <v>27</v>
      </c>
      <c r="T208" s="49"/>
      <c r="U208" s="49"/>
    </row>
    <row r="209" spans="2:21" ht="18.75" hidden="1" customHeight="1">
      <c r="B209" s="56"/>
      <c r="C209" s="57"/>
      <c r="D209" s="48">
        <v>46192</v>
      </c>
      <c r="E209" s="50" t="s">
        <v>407</v>
      </c>
      <c r="F209" s="48"/>
      <c r="G209" s="48"/>
      <c r="H209" s="49" t="s">
        <v>29</v>
      </c>
      <c r="I209" s="51">
        <v>29401.65</v>
      </c>
      <c r="J209" s="51" t="s">
        <v>30</v>
      </c>
      <c r="K209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09" s="52"/>
      <c r="M209" s="58"/>
      <c r="N209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29401.65</v>
      </c>
      <c r="O209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46252</v>
      </c>
      <c r="P209" s="49"/>
      <c r="Q209" s="49" t="s">
        <v>406</v>
      </c>
      <c r="R209" s="48">
        <v>46247</v>
      </c>
      <c r="S209" s="59" t="s">
        <v>27</v>
      </c>
      <c r="T209" s="49"/>
      <c r="U209" s="49"/>
    </row>
    <row r="210" spans="2:21" s="49" customFormat="1" ht="18.75" hidden="1" customHeight="1">
      <c r="B210" s="56">
        <v>46121</v>
      </c>
      <c r="C210" s="57" t="s">
        <v>408</v>
      </c>
      <c r="D210" s="48">
        <v>46152</v>
      </c>
      <c r="E210" s="50" t="s">
        <v>409</v>
      </c>
      <c r="F210" s="48"/>
      <c r="G210" s="48"/>
      <c r="H210" s="49" t="s">
        <v>23</v>
      </c>
      <c r="I210" s="51">
        <v>7562.09</v>
      </c>
      <c r="J210" s="51" t="s">
        <v>24</v>
      </c>
      <c r="K210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2268.627</v>
      </c>
      <c r="L210" s="52"/>
      <c r="M210" s="49" t="s">
        <v>25</v>
      </c>
      <c r="N210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5293.4629999999997</v>
      </c>
      <c r="O210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46212</v>
      </c>
      <c r="P210" s="49" t="s">
        <v>25</v>
      </c>
      <c r="Q210" s="49" t="s">
        <v>350</v>
      </c>
      <c r="R210" s="48">
        <v>46212</v>
      </c>
      <c r="S210" s="59" t="s">
        <v>27</v>
      </c>
      <c r="U210" s="49" t="s">
        <v>32</v>
      </c>
    </row>
    <row r="211" spans="2:21" s="174" customFormat="1" ht="18.75" hidden="1" customHeight="1">
      <c r="B211" s="56"/>
      <c r="C211" s="57"/>
      <c r="D211" s="48">
        <v>46196</v>
      </c>
      <c r="E211" s="50" t="s">
        <v>410</v>
      </c>
      <c r="F211" s="48"/>
      <c r="G211" s="48"/>
      <c r="H211" s="49" t="s">
        <v>364</v>
      </c>
      <c r="I211" s="58">
        <v>665</v>
      </c>
      <c r="J211" s="51" t="s">
        <v>55</v>
      </c>
      <c r="K211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11" s="52"/>
      <c r="M211" s="58"/>
      <c r="N211" s="135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665</v>
      </c>
      <c r="O211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211" s="49" t="s">
        <v>25</v>
      </c>
      <c r="Q211" s="49" t="s">
        <v>411</v>
      </c>
      <c r="R211" s="48">
        <v>46205</v>
      </c>
      <c r="S211" s="59" t="s">
        <v>45</v>
      </c>
      <c r="T211" s="49"/>
      <c r="U211" s="49"/>
    </row>
    <row r="212" spans="2:21" s="174" customFormat="1" ht="18.75" customHeight="1">
      <c r="B212" s="56"/>
      <c r="C212" s="57"/>
      <c r="D212" s="48">
        <v>46195</v>
      </c>
      <c r="E212" s="50" t="s">
        <v>412</v>
      </c>
      <c r="F212" s="48"/>
      <c r="G212" s="48"/>
      <c r="H212" s="49" t="s">
        <v>196</v>
      </c>
      <c r="I212" s="51">
        <v>434.9</v>
      </c>
      <c r="J212" s="51" t="s">
        <v>55</v>
      </c>
      <c r="K21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12" s="52"/>
      <c r="M212" s="58"/>
      <c r="N212" s="135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434.9</v>
      </c>
      <c r="O212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212" s="49" t="s">
        <v>25</v>
      </c>
      <c r="Q212" s="49" t="s">
        <v>232</v>
      </c>
      <c r="R212" s="48">
        <v>46205</v>
      </c>
      <c r="S212" s="59" t="s">
        <v>45</v>
      </c>
      <c r="T212" s="49"/>
      <c r="U212" s="49" t="s">
        <v>32</v>
      </c>
    </row>
    <row r="213" spans="2:21" s="174" customFormat="1" ht="18.75" hidden="1" customHeight="1">
      <c r="B213" s="56">
        <v>46198</v>
      </c>
      <c r="C213" s="57" t="s">
        <v>413</v>
      </c>
      <c r="D213" s="48">
        <v>46198</v>
      </c>
      <c r="E213" s="50" t="s">
        <v>414</v>
      </c>
      <c r="F213" s="48"/>
      <c r="G213" s="48"/>
      <c r="H213" s="49" t="s">
        <v>23</v>
      </c>
      <c r="I213" s="51">
        <v>26.2</v>
      </c>
      <c r="J213" s="51" t="s">
        <v>55</v>
      </c>
      <c r="K213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13" s="52"/>
      <c r="M213" s="58"/>
      <c r="N213" s="135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26.2</v>
      </c>
      <c r="O213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213" s="49" t="s">
        <v>25</v>
      </c>
      <c r="Q213" s="49" t="s">
        <v>415</v>
      </c>
      <c r="R213" s="48">
        <v>46205</v>
      </c>
      <c r="S213" s="59" t="s">
        <v>45</v>
      </c>
      <c r="T213" s="49"/>
      <c r="U213" s="49"/>
    </row>
    <row r="214" spans="2:21" ht="18.75" hidden="1" customHeight="1">
      <c r="B214" s="56"/>
      <c r="C214" s="57"/>
      <c r="D214" s="48">
        <v>46198</v>
      </c>
      <c r="E214" s="50">
        <v>687104635</v>
      </c>
      <c r="F214" s="48"/>
      <c r="G214" s="48"/>
      <c r="H214" s="49" t="s">
        <v>416</v>
      </c>
      <c r="I214" s="51">
        <v>3500</v>
      </c>
      <c r="J214" s="51" t="s">
        <v>330</v>
      </c>
      <c r="K214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14" s="52"/>
      <c r="M214" s="58"/>
      <c r="N214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3500</v>
      </c>
      <c r="O214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46228</v>
      </c>
      <c r="P214" s="49"/>
      <c r="Q214" s="49" t="s">
        <v>417</v>
      </c>
      <c r="R214" s="48">
        <v>46226</v>
      </c>
      <c r="S214" s="59" t="s">
        <v>45</v>
      </c>
      <c r="T214" s="49"/>
      <c r="U214" s="49"/>
    </row>
    <row r="215" spans="2:21" ht="18.75" hidden="1" customHeight="1">
      <c r="B215" s="56"/>
      <c r="C215" s="57"/>
      <c r="D215" s="48">
        <v>46187</v>
      </c>
      <c r="E215" s="50" t="s">
        <v>418</v>
      </c>
      <c r="F215" s="48"/>
      <c r="G215" s="48"/>
      <c r="H215" s="49" t="s">
        <v>419</v>
      </c>
      <c r="I215" s="51">
        <v>35.14</v>
      </c>
      <c r="J215" s="51" t="s">
        <v>98</v>
      </c>
      <c r="K215" s="51" t="str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/>
      </c>
      <c r="L215" s="52"/>
      <c r="M215" s="58"/>
      <c r="N215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35.14</v>
      </c>
      <c r="O215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215" s="49"/>
      <c r="Q215" s="49" t="s">
        <v>420</v>
      </c>
      <c r="R215" s="49"/>
      <c r="S215" s="59"/>
      <c r="T215" s="49"/>
      <c r="U215" s="49"/>
    </row>
    <row r="216" spans="2:21" ht="18.75" hidden="1" customHeight="1">
      <c r="B216" s="56"/>
      <c r="C216" s="57"/>
      <c r="D216" s="48">
        <v>46201</v>
      </c>
      <c r="E216" s="50" t="s">
        <v>421</v>
      </c>
      <c r="F216" s="48"/>
      <c r="G216" s="48"/>
      <c r="H216" s="49" t="s">
        <v>419</v>
      </c>
      <c r="I216" s="51">
        <v>377.08</v>
      </c>
      <c r="J216" s="51" t="s">
        <v>98</v>
      </c>
      <c r="K216" s="51" t="str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/>
      </c>
      <c r="L216" s="52"/>
      <c r="M216" s="58"/>
      <c r="N216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377.08</v>
      </c>
      <c r="O216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216" s="49"/>
      <c r="Q216" s="49" t="s">
        <v>422</v>
      </c>
      <c r="R216" s="49"/>
      <c r="S216" s="59"/>
      <c r="T216" s="49"/>
      <c r="U216" s="49"/>
    </row>
    <row r="217" spans="2:21" ht="18.75" customHeight="1">
      <c r="B217" s="56">
        <v>46141</v>
      </c>
      <c r="C217" s="57" t="s">
        <v>423</v>
      </c>
      <c r="D217" s="48">
        <v>46205</v>
      </c>
      <c r="E217" s="50" t="s">
        <v>424</v>
      </c>
      <c r="F217" s="48"/>
      <c r="G217" s="48"/>
      <c r="H217" s="49" t="s">
        <v>196</v>
      </c>
      <c r="I217" s="51">
        <v>124278</v>
      </c>
      <c r="J217" s="51" t="s">
        <v>78</v>
      </c>
      <c r="K217" s="135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62139</v>
      </c>
      <c r="L217" s="52"/>
      <c r="M217" s="49" t="s">
        <v>25</v>
      </c>
      <c r="N217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62139</v>
      </c>
      <c r="O217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46265</v>
      </c>
      <c r="P217" s="49"/>
      <c r="Q217" s="49" t="s">
        <v>255</v>
      </c>
      <c r="R217" s="48">
        <v>46205</v>
      </c>
      <c r="S217" s="59" t="s">
        <v>45</v>
      </c>
      <c r="T217" s="49"/>
      <c r="U217" s="49"/>
    </row>
    <row r="218" spans="2:21" ht="18.75" customHeight="1">
      <c r="B218" s="56">
        <v>46146</v>
      </c>
      <c r="C218" s="57" t="s">
        <v>425</v>
      </c>
      <c r="D218" s="48">
        <v>46205</v>
      </c>
      <c r="E218" s="50" t="s">
        <v>426</v>
      </c>
      <c r="F218" s="48"/>
      <c r="G218" s="48"/>
      <c r="H218" s="49" t="s">
        <v>196</v>
      </c>
      <c r="I218" s="51">
        <v>15417</v>
      </c>
      <c r="J218" s="51" t="s">
        <v>78</v>
      </c>
      <c r="K218" s="135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7708.5</v>
      </c>
      <c r="L218" s="52"/>
      <c r="M218" s="49" t="s">
        <v>25</v>
      </c>
      <c r="N218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7708.5</v>
      </c>
      <c r="O218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46265</v>
      </c>
      <c r="P218" s="49"/>
      <c r="Q218" s="49" t="s">
        <v>144</v>
      </c>
      <c r="R218" s="48">
        <v>46205</v>
      </c>
      <c r="S218" s="59" t="s">
        <v>45</v>
      </c>
      <c r="T218" s="49"/>
      <c r="U218" s="49"/>
    </row>
    <row r="219" spans="2:21" ht="18.75" hidden="1" customHeight="1">
      <c r="B219" s="56">
        <v>46199</v>
      </c>
      <c r="C219" s="57" t="s">
        <v>427</v>
      </c>
      <c r="D219" s="48"/>
      <c r="E219" s="50"/>
      <c r="F219" s="48"/>
      <c r="G219" s="48"/>
      <c r="H219" s="49" t="s">
        <v>301</v>
      </c>
      <c r="I219" s="51">
        <v>252.32</v>
      </c>
      <c r="J219" s="51" t="s">
        <v>55</v>
      </c>
      <c r="K219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19" s="52"/>
      <c r="M219" s="58"/>
      <c r="N219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252.32</v>
      </c>
      <c r="O219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219" s="49"/>
      <c r="Q219" s="49" t="s">
        <v>428</v>
      </c>
      <c r="R219" s="49"/>
      <c r="S219" s="59" t="s">
        <v>45</v>
      </c>
      <c r="T219" s="49"/>
      <c r="U219" s="49"/>
    </row>
    <row r="220" spans="2:21" ht="18.75" hidden="1" customHeight="1">
      <c r="B220" s="56">
        <v>46059</v>
      </c>
      <c r="C220" s="57" t="s">
        <v>429</v>
      </c>
      <c r="D220" s="48"/>
      <c r="E220" s="50"/>
      <c r="F220" s="48"/>
      <c r="G220" s="48"/>
      <c r="H220" s="49" t="s">
        <v>69</v>
      </c>
      <c r="I220" s="51">
        <v>17059.7</v>
      </c>
      <c r="J220" s="51" t="s">
        <v>55</v>
      </c>
      <c r="K22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20" s="52"/>
      <c r="M220" s="58"/>
      <c r="N22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17059.7</v>
      </c>
      <c r="O220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220" s="49" t="s">
        <v>25</v>
      </c>
      <c r="Q220" s="49" t="s">
        <v>430</v>
      </c>
      <c r="R220" s="48">
        <v>46121</v>
      </c>
      <c r="S220" s="59" t="s">
        <v>45</v>
      </c>
      <c r="T220" s="49"/>
      <c r="U220" s="49"/>
    </row>
    <row r="221" spans="2:21" ht="18.75" hidden="1" customHeight="1">
      <c r="B221" s="56"/>
      <c r="C221" s="57"/>
      <c r="D221" s="48">
        <v>46202</v>
      </c>
      <c r="E221" s="50" t="s">
        <v>431</v>
      </c>
      <c r="F221" s="48"/>
      <c r="G221" s="48"/>
      <c r="H221" s="49" t="s">
        <v>432</v>
      </c>
      <c r="I221" s="51">
        <v>2000</v>
      </c>
      <c r="J221" s="51" t="s">
        <v>43</v>
      </c>
      <c r="K221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21" s="52"/>
      <c r="M221" s="58"/>
      <c r="N221" s="135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2000</v>
      </c>
      <c r="O221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46202</v>
      </c>
      <c r="P221" s="49" t="s">
        <v>25</v>
      </c>
      <c r="Q221" s="49" t="s">
        <v>433</v>
      </c>
      <c r="R221" s="48">
        <v>46205</v>
      </c>
      <c r="S221" s="59" t="s">
        <v>45</v>
      </c>
      <c r="T221" s="49"/>
      <c r="U221" s="49"/>
    </row>
    <row r="222" spans="2:21" s="49" customFormat="1" ht="18.75" hidden="1" customHeight="1">
      <c r="B222" s="56"/>
      <c r="C222" s="57"/>
      <c r="D222" s="48">
        <v>46198</v>
      </c>
      <c r="E222" s="50" t="s">
        <v>434</v>
      </c>
      <c r="F222" s="48"/>
      <c r="G222" s="48"/>
      <c r="H222" s="49" t="s">
        <v>435</v>
      </c>
      <c r="I222" s="51">
        <v>16090.2</v>
      </c>
      <c r="J222" s="51" t="s">
        <v>55</v>
      </c>
      <c r="K22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22" s="52"/>
      <c r="M222" s="58"/>
      <c r="N222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16090.2</v>
      </c>
      <c r="O222" s="52">
        <v>46272</v>
      </c>
      <c r="Q222" s="49" t="s">
        <v>436</v>
      </c>
      <c r="R222" s="48">
        <v>46268</v>
      </c>
      <c r="S222" s="59" t="s">
        <v>27</v>
      </c>
    </row>
    <row r="223" spans="2:21" ht="18.75" hidden="1" customHeight="1">
      <c r="B223" s="56"/>
      <c r="C223" s="57"/>
      <c r="D223" s="48">
        <v>46202</v>
      </c>
      <c r="E223" s="50" t="s">
        <v>437</v>
      </c>
      <c r="F223" s="48"/>
      <c r="G223" s="48"/>
      <c r="H223" s="49" t="s">
        <v>438</v>
      </c>
      <c r="I223" s="51">
        <v>2940</v>
      </c>
      <c r="J223" s="51" t="s">
        <v>43</v>
      </c>
      <c r="K223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23" s="52"/>
      <c r="M223" s="58"/>
      <c r="N223" s="135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2940</v>
      </c>
      <c r="O223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46202</v>
      </c>
      <c r="P223" s="49" t="s">
        <v>25</v>
      </c>
      <c r="Q223" s="49" t="s">
        <v>439</v>
      </c>
      <c r="R223" s="48">
        <v>46205</v>
      </c>
      <c r="S223" s="59" t="s">
        <v>27</v>
      </c>
      <c r="T223" s="49"/>
      <c r="U223" s="49"/>
    </row>
    <row r="224" spans="2:21" ht="18.75" hidden="1" customHeight="1">
      <c r="B224" s="56"/>
      <c r="C224" s="57"/>
      <c r="D224" s="48">
        <v>46203</v>
      </c>
      <c r="E224" s="50" t="s">
        <v>363</v>
      </c>
      <c r="F224" s="48"/>
      <c r="G224" s="48"/>
      <c r="H224" s="49" t="s">
        <v>364</v>
      </c>
      <c r="I224" s="81">
        <v>4782.5</v>
      </c>
      <c r="J224" s="51" t="s">
        <v>55</v>
      </c>
      <c r="K224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24" s="52"/>
      <c r="M224" s="58"/>
      <c r="N224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4782.5</v>
      </c>
      <c r="O224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224" s="49"/>
      <c r="Q224" s="49" t="s">
        <v>440</v>
      </c>
      <c r="R224" s="48"/>
      <c r="S224" s="142" t="s">
        <v>45</v>
      </c>
      <c r="T224" s="49"/>
      <c r="U224" s="49"/>
    </row>
    <row r="225" spans="2:21" s="49" customFormat="1" ht="18.75" hidden="1" customHeight="1">
      <c r="B225" s="56">
        <v>46127</v>
      </c>
      <c r="C225" s="57" t="s">
        <v>441</v>
      </c>
      <c r="D225" s="48">
        <v>46152</v>
      </c>
      <c r="E225" s="50" t="s">
        <v>442</v>
      </c>
      <c r="F225" s="48"/>
      <c r="G225" s="48"/>
      <c r="H225" s="49" t="s">
        <v>23</v>
      </c>
      <c r="I225" s="51">
        <v>1411.32</v>
      </c>
      <c r="J225" s="51" t="s">
        <v>24</v>
      </c>
      <c r="K225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423.39599999999996</v>
      </c>
      <c r="L225" s="52"/>
      <c r="M225" s="49" t="s">
        <v>25</v>
      </c>
      <c r="N225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987.92399999999986</v>
      </c>
      <c r="O225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46212</v>
      </c>
      <c r="P225" s="49" t="s">
        <v>25</v>
      </c>
      <c r="Q225" s="49" t="s">
        <v>217</v>
      </c>
      <c r="R225" s="48">
        <v>46212</v>
      </c>
      <c r="S225" s="59" t="s">
        <v>27</v>
      </c>
      <c r="U225" s="49" t="s">
        <v>32</v>
      </c>
    </row>
    <row r="226" spans="2:21" ht="18.75" hidden="1" customHeight="1">
      <c r="B226" s="56">
        <v>46183</v>
      </c>
      <c r="C226" s="57" t="s">
        <v>443</v>
      </c>
      <c r="D226" s="48">
        <v>46211</v>
      </c>
      <c r="E226" s="50" t="s">
        <v>444</v>
      </c>
      <c r="F226" s="48"/>
      <c r="G226" s="48"/>
      <c r="H226" s="49" t="s">
        <v>23</v>
      </c>
      <c r="I226" s="51">
        <v>566.42999999999995</v>
      </c>
      <c r="J226" s="51" t="s">
        <v>24</v>
      </c>
      <c r="K226" s="135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169.92899999999997</v>
      </c>
      <c r="L226" s="52"/>
      <c r="M226" s="49" t="s">
        <v>25</v>
      </c>
      <c r="N226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396.50099999999992</v>
      </c>
      <c r="O226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46271</v>
      </c>
      <c r="P226" s="49"/>
      <c r="Q226" s="49" t="s">
        <v>302</v>
      </c>
      <c r="R226" s="48">
        <v>46268</v>
      </c>
      <c r="S226" s="59" t="s">
        <v>45</v>
      </c>
      <c r="T226" s="49"/>
      <c r="U226" s="49"/>
    </row>
    <row r="227" spans="2:21" ht="18.75" hidden="1" customHeight="1">
      <c r="B227" s="56">
        <v>46183</v>
      </c>
      <c r="C227" s="57" t="s">
        <v>445</v>
      </c>
      <c r="D227" s="48">
        <v>46211</v>
      </c>
      <c r="E227" s="50" t="s">
        <v>446</v>
      </c>
      <c r="F227" s="48"/>
      <c r="G227" s="48"/>
      <c r="H227" s="49" t="s">
        <v>23</v>
      </c>
      <c r="I227" s="51">
        <v>1704.79</v>
      </c>
      <c r="J227" s="51" t="s">
        <v>24</v>
      </c>
      <c r="K227" s="135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511.43699999999995</v>
      </c>
      <c r="L227" s="52"/>
      <c r="M227" s="49" t="s">
        <v>25</v>
      </c>
      <c r="N227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1193.3529999999998</v>
      </c>
      <c r="O227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46271</v>
      </c>
      <c r="P227" s="49"/>
      <c r="Q227" s="49" t="s">
        <v>304</v>
      </c>
      <c r="R227" s="48">
        <v>46268</v>
      </c>
      <c r="S227" s="59" t="s">
        <v>45</v>
      </c>
      <c r="T227" s="49"/>
      <c r="U227" s="49"/>
    </row>
    <row r="228" spans="2:21" ht="18.75" hidden="1" customHeight="1">
      <c r="B228" s="56">
        <v>46185</v>
      </c>
      <c r="C228" s="57" t="s">
        <v>447</v>
      </c>
      <c r="D228" s="48">
        <v>46211</v>
      </c>
      <c r="E228" s="50" t="s">
        <v>448</v>
      </c>
      <c r="F228" s="48"/>
      <c r="G228" s="48"/>
      <c r="H228" s="49" t="s">
        <v>23</v>
      </c>
      <c r="I228" s="51">
        <v>6131.61</v>
      </c>
      <c r="J228" s="51" t="s">
        <v>24</v>
      </c>
      <c r="K228" s="135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1839.4829999999999</v>
      </c>
      <c r="L228" s="52"/>
      <c r="M228" s="49" t="s">
        <v>25</v>
      </c>
      <c r="N228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4292.1269999999995</v>
      </c>
      <c r="O228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46271</v>
      </c>
      <c r="P228" s="49"/>
      <c r="Q228" s="49" t="s">
        <v>306</v>
      </c>
      <c r="R228" s="48">
        <v>46268</v>
      </c>
      <c r="S228" s="59" t="s">
        <v>45</v>
      </c>
      <c r="T228" s="49"/>
      <c r="U228" s="49"/>
    </row>
    <row r="229" spans="2:21" ht="18.75" hidden="1" customHeight="1">
      <c r="B229" s="56">
        <v>46191</v>
      </c>
      <c r="C229" s="57" t="s">
        <v>449</v>
      </c>
      <c r="D229" s="48">
        <v>46211</v>
      </c>
      <c r="E229" s="50" t="s">
        <v>450</v>
      </c>
      <c r="F229" s="48"/>
      <c r="G229" s="48"/>
      <c r="H229" s="49" t="s">
        <v>23</v>
      </c>
      <c r="I229" s="51">
        <v>342.85</v>
      </c>
      <c r="J229" s="51" t="s">
        <v>55</v>
      </c>
      <c r="K229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29" s="52"/>
      <c r="M229" s="58"/>
      <c r="N229" s="135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342.85</v>
      </c>
      <c r="O229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229" s="49" t="s">
        <v>25</v>
      </c>
      <c r="Q229" s="49" t="s">
        <v>34</v>
      </c>
      <c r="R229" s="48" t="s">
        <v>451</v>
      </c>
      <c r="S229" s="59" t="s">
        <v>45</v>
      </c>
      <c r="T229" s="49"/>
      <c r="U229" s="49"/>
    </row>
    <row r="230" spans="2:21" ht="18.75" hidden="1" customHeight="1">
      <c r="B230" s="56">
        <v>46191</v>
      </c>
      <c r="C230" s="57" t="s">
        <v>452</v>
      </c>
      <c r="D230" s="48"/>
      <c r="E230" s="50"/>
      <c r="F230" s="48"/>
      <c r="G230" s="48"/>
      <c r="H230" s="49" t="s">
        <v>23</v>
      </c>
      <c r="I230" s="51">
        <v>30981.77</v>
      </c>
      <c r="J230" s="51" t="s">
        <v>24</v>
      </c>
      <c r="K23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9294.530999999999</v>
      </c>
      <c r="L230" s="52"/>
      <c r="M230" s="58"/>
      <c r="N230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21687.238999999998</v>
      </c>
      <c r="O230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230" s="49"/>
      <c r="Q230" s="49" t="s">
        <v>318</v>
      </c>
      <c r="R230" s="49" t="s">
        <v>453</v>
      </c>
      <c r="S230" s="59" t="s">
        <v>45</v>
      </c>
      <c r="T230" s="49"/>
      <c r="U230" s="49"/>
    </row>
    <row r="231" spans="2:21" ht="18.75" hidden="1" customHeight="1">
      <c r="B231" s="56">
        <v>46142</v>
      </c>
      <c r="C231" s="57" t="s">
        <v>454</v>
      </c>
      <c r="D231" s="48">
        <v>46157</v>
      </c>
      <c r="E231" s="50" t="s">
        <v>455</v>
      </c>
      <c r="F231" s="48"/>
      <c r="G231" s="48"/>
      <c r="H231" s="49" t="s">
        <v>23</v>
      </c>
      <c r="I231" s="51">
        <v>3099.29</v>
      </c>
      <c r="J231" s="51" t="s">
        <v>24</v>
      </c>
      <c r="K231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929.78699999999992</v>
      </c>
      <c r="L231" s="48">
        <v>46156</v>
      </c>
      <c r="M231" s="49" t="s">
        <v>25</v>
      </c>
      <c r="N231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2169.5029999999997</v>
      </c>
      <c r="O231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46217</v>
      </c>
      <c r="P231" s="49" t="s">
        <v>25</v>
      </c>
      <c r="Q231" s="49" t="s">
        <v>232</v>
      </c>
      <c r="R231" s="48">
        <v>46212</v>
      </c>
      <c r="S231" s="59" t="s">
        <v>45</v>
      </c>
      <c r="T231" s="49"/>
      <c r="U231" s="49" t="s">
        <v>32</v>
      </c>
    </row>
    <row r="232" spans="2:21" ht="18.75" hidden="1" customHeight="1">
      <c r="B232" s="56">
        <v>46168</v>
      </c>
      <c r="C232" s="57" t="s">
        <v>456</v>
      </c>
      <c r="D232" s="48"/>
      <c r="E232" s="50"/>
      <c r="F232" s="48"/>
      <c r="G232" s="48"/>
      <c r="H232" s="49" t="s">
        <v>23</v>
      </c>
      <c r="I232" s="51">
        <v>38419.71</v>
      </c>
      <c r="J232" s="51" t="s">
        <v>24</v>
      </c>
      <c r="K232" s="99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11525.912999999999</v>
      </c>
      <c r="L232" s="52">
        <v>46212</v>
      </c>
      <c r="M232" s="49" t="s">
        <v>25</v>
      </c>
      <c r="N232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26893.796999999999</v>
      </c>
      <c r="O232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232" s="49"/>
      <c r="Q232" s="49" t="s">
        <v>322</v>
      </c>
      <c r="R232" s="48">
        <v>46212</v>
      </c>
      <c r="S232" s="59" t="s">
        <v>45</v>
      </c>
      <c r="T232" s="49"/>
      <c r="U232" s="49"/>
    </row>
    <row r="233" spans="2:21" ht="18.75" hidden="1" customHeight="1">
      <c r="B233" s="56">
        <v>46192</v>
      </c>
      <c r="C233" s="57" t="s">
        <v>457</v>
      </c>
      <c r="D233" s="48"/>
      <c r="E233" s="50"/>
      <c r="F233" s="48"/>
      <c r="G233" s="48"/>
      <c r="H233" s="49" t="s">
        <v>23</v>
      </c>
      <c r="I233" s="51">
        <v>4395.43</v>
      </c>
      <c r="J233" s="51" t="s">
        <v>24</v>
      </c>
      <c r="K233" s="62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1318.6290000000001</v>
      </c>
      <c r="L233" s="52">
        <v>46212</v>
      </c>
      <c r="M233" s="49" t="s">
        <v>25</v>
      </c>
      <c r="N233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3076.8009999999999</v>
      </c>
      <c r="O233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233" s="49"/>
      <c r="Q233" s="49" t="s">
        <v>372</v>
      </c>
      <c r="R233" s="48">
        <v>46212</v>
      </c>
      <c r="S233" s="59" t="s">
        <v>45</v>
      </c>
      <c r="T233" s="49"/>
      <c r="U233" s="49"/>
    </row>
    <row r="234" spans="2:21" s="49" customFormat="1" ht="18.75" hidden="1" customHeight="1">
      <c r="B234" s="56">
        <v>46192</v>
      </c>
      <c r="C234" s="57" t="s">
        <v>458</v>
      </c>
      <c r="D234" s="48"/>
      <c r="E234" s="50"/>
      <c r="F234" s="48"/>
      <c r="G234" s="48"/>
      <c r="H234" s="49" t="s">
        <v>23</v>
      </c>
      <c r="I234" s="51">
        <v>3544.46</v>
      </c>
      <c r="J234" s="51" t="s">
        <v>24</v>
      </c>
      <c r="K234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1063.338</v>
      </c>
      <c r="L234" s="52"/>
      <c r="M234" s="58"/>
      <c r="N234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2481.1219999999998</v>
      </c>
      <c r="O234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Q234" s="49" t="s">
        <v>374</v>
      </c>
      <c r="S234" s="59" t="s">
        <v>45</v>
      </c>
    </row>
    <row r="235" spans="2:21" ht="18.75" hidden="1" customHeight="1">
      <c r="B235" s="56">
        <v>46192</v>
      </c>
      <c r="C235" s="57" t="s">
        <v>459</v>
      </c>
      <c r="D235" s="48"/>
      <c r="E235" s="50"/>
      <c r="F235" s="48"/>
      <c r="G235" s="48"/>
      <c r="H235" s="49" t="s">
        <v>23</v>
      </c>
      <c r="I235" s="51">
        <v>3561.6</v>
      </c>
      <c r="J235" s="51" t="s">
        <v>24</v>
      </c>
      <c r="K235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1068.48</v>
      </c>
      <c r="L235" s="52"/>
      <c r="M235" s="58"/>
      <c r="N235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2493.12</v>
      </c>
      <c r="O235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235" s="49"/>
      <c r="Q235" s="49" t="s">
        <v>460</v>
      </c>
      <c r="R235" s="49"/>
      <c r="S235" s="59" t="s">
        <v>45</v>
      </c>
      <c r="T235" s="49"/>
      <c r="U235" s="49"/>
    </row>
    <row r="236" spans="2:21" ht="18.75" hidden="1" customHeight="1">
      <c r="B236" s="56">
        <v>46192</v>
      </c>
      <c r="C236" s="57" t="s">
        <v>461</v>
      </c>
      <c r="D236" s="48"/>
      <c r="E236" s="50"/>
      <c r="F236" s="48"/>
      <c r="G236" s="48"/>
      <c r="H236" s="49" t="s">
        <v>23</v>
      </c>
      <c r="I236" s="51">
        <v>3589.92</v>
      </c>
      <c r="J236" s="51" t="s">
        <v>24</v>
      </c>
      <c r="K236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1076.9759999999999</v>
      </c>
      <c r="L236" s="52"/>
      <c r="M236" s="58"/>
      <c r="N236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2512.944</v>
      </c>
      <c r="O236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236" s="49"/>
      <c r="Q236" s="49" t="s">
        <v>462</v>
      </c>
      <c r="R236" s="49"/>
      <c r="S236" s="59" t="s">
        <v>45</v>
      </c>
      <c r="T236" s="49"/>
      <c r="U236" s="49"/>
    </row>
    <row r="237" spans="2:21" ht="18.75" hidden="1" customHeight="1">
      <c r="B237" s="56">
        <v>46199</v>
      </c>
      <c r="C237" s="57" t="s">
        <v>463</v>
      </c>
      <c r="D237" s="48"/>
      <c r="E237" s="50"/>
      <c r="F237" s="48"/>
      <c r="G237" s="48"/>
      <c r="H237" s="49" t="s">
        <v>23</v>
      </c>
      <c r="I237" s="51">
        <v>6022.9</v>
      </c>
      <c r="J237" s="51" t="s">
        <v>24</v>
      </c>
      <c r="K237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1806.87</v>
      </c>
      <c r="L237" s="52"/>
      <c r="M237" s="58"/>
      <c r="N237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4216.03</v>
      </c>
      <c r="O237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237" s="49"/>
      <c r="Q237" s="49" t="s">
        <v>428</v>
      </c>
      <c r="R237" s="49"/>
      <c r="S237" s="59" t="s">
        <v>45</v>
      </c>
      <c r="T237" s="49"/>
      <c r="U237" s="49"/>
    </row>
    <row r="238" spans="2:21" ht="18.75" hidden="1" customHeight="1">
      <c r="B238" s="56">
        <v>46199</v>
      </c>
      <c r="C238" s="57" t="s">
        <v>464</v>
      </c>
      <c r="D238" s="48"/>
      <c r="E238" s="50"/>
      <c r="F238" s="48"/>
      <c r="G238" s="48"/>
      <c r="H238" s="49" t="s">
        <v>23</v>
      </c>
      <c r="I238" s="51">
        <v>4030.75</v>
      </c>
      <c r="J238" s="51" t="s">
        <v>24</v>
      </c>
      <c r="K238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1209.2249999999999</v>
      </c>
      <c r="L238" s="52"/>
      <c r="M238" s="58"/>
      <c r="N238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2821.5249999999996</v>
      </c>
      <c r="O238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238" s="49"/>
      <c r="Q238" s="49" t="s">
        <v>465</v>
      </c>
      <c r="R238" s="49"/>
      <c r="S238" s="59" t="s">
        <v>45</v>
      </c>
      <c r="T238" s="49"/>
      <c r="U238" s="49"/>
    </row>
    <row r="239" spans="2:21" s="49" customFormat="1" ht="18.75" hidden="1" customHeight="1">
      <c r="B239" s="56"/>
      <c r="C239" s="57"/>
      <c r="D239" s="48">
        <v>46203</v>
      </c>
      <c r="E239" s="50" t="s">
        <v>466</v>
      </c>
      <c r="F239" s="48"/>
      <c r="G239" s="48"/>
      <c r="H239" s="49" t="s">
        <v>108</v>
      </c>
      <c r="I239" s="51">
        <v>2758.68</v>
      </c>
      <c r="J239" s="51" t="s">
        <v>30</v>
      </c>
      <c r="K239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39" s="52"/>
      <c r="M239" s="58"/>
      <c r="N239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2758.68</v>
      </c>
      <c r="O239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46263</v>
      </c>
      <c r="Q239" s="49" t="s">
        <v>144</v>
      </c>
      <c r="R239" s="48">
        <v>46258</v>
      </c>
      <c r="S239" s="59" t="s">
        <v>27</v>
      </c>
      <c r="U239" s="49" t="s">
        <v>32</v>
      </c>
    </row>
    <row r="240" spans="2:21" ht="18.75" hidden="1" customHeight="1">
      <c r="B240" s="56"/>
      <c r="C240" s="57"/>
      <c r="D240" s="48">
        <v>46203</v>
      </c>
      <c r="E240" s="50" t="s">
        <v>467</v>
      </c>
      <c r="F240" s="48"/>
      <c r="G240" s="48"/>
      <c r="H240" s="49" t="s">
        <v>108</v>
      </c>
      <c r="I240" s="66">
        <v>46092.84</v>
      </c>
      <c r="J240" s="66" t="s">
        <v>30</v>
      </c>
      <c r="K24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40" s="67"/>
      <c r="M240" s="95"/>
      <c r="N240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46092.84</v>
      </c>
      <c r="O240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46263</v>
      </c>
      <c r="P240" s="49"/>
      <c r="Q240" s="49" t="s">
        <v>52</v>
      </c>
      <c r="R240" s="48">
        <v>46258</v>
      </c>
      <c r="S240" s="59" t="s">
        <v>27</v>
      </c>
      <c r="T240" s="49"/>
      <c r="U240" s="49" t="s">
        <v>32</v>
      </c>
    </row>
    <row r="241" spans="2:21" ht="18.75" hidden="1" customHeight="1">
      <c r="B241" s="56"/>
      <c r="C241" s="57"/>
      <c r="D241" s="48">
        <v>46203</v>
      </c>
      <c r="E241" s="50" t="s">
        <v>468</v>
      </c>
      <c r="F241" s="48"/>
      <c r="G241" s="48"/>
      <c r="H241" s="49" t="s">
        <v>108</v>
      </c>
      <c r="I241" s="66">
        <v>3605.82</v>
      </c>
      <c r="J241" s="66" t="s">
        <v>30</v>
      </c>
      <c r="K241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41" s="67"/>
      <c r="M241" s="95"/>
      <c r="N241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3605.82</v>
      </c>
      <c r="O241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46263</v>
      </c>
      <c r="P241" s="49"/>
      <c r="Q241" s="49" t="s">
        <v>229</v>
      </c>
      <c r="R241" s="48">
        <v>46258</v>
      </c>
      <c r="S241" s="59" t="s">
        <v>27</v>
      </c>
      <c r="T241" s="49"/>
      <c r="U241" s="49" t="s">
        <v>32</v>
      </c>
    </row>
    <row r="242" spans="2:21" ht="18.75" hidden="1" customHeight="1">
      <c r="B242" s="56"/>
      <c r="C242" s="57"/>
      <c r="D242" s="48">
        <v>46195</v>
      </c>
      <c r="E242" s="50" t="s">
        <v>469</v>
      </c>
      <c r="F242" s="48"/>
      <c r="G242" s="48"/>
      <c r="H242" s="49" t="s">
        <v>29</v>
      </c>
      <c r="I242" s="51">
        <v>44575.8</v>
      </c>
      <c r="J242" s="51" t="s">
        <v>30</v>
      </c>
      <c r="K24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42" s="52"/>
      <c r="M242" s="58"/>
      <c r="N242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44575.8</v>
      </c>
      <c r="O242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46255</v>
      </c>
      <c r="P242" s="49"/>
      <c r="Q242" s="49" t="s">
        <v>52</v>
      </c>
      <c r="R242" s="48">
        <v>46254</v>
      </c>
      <c r="S242" s="59" t="s">
        <v>27</v>
      </c>
      <c r="T242" s="49"/>
      <c r="U242" s="49"/>
    </row>
    <row r="243" spans="2:21" ht="18.75" hidden="1" customHeight="1">
      <c r="B243" s="56"/>
      <c r="C243" s="57"/>
      <c r="D243" s="48">
        <v>46195</v>
      </c>
      <c r="E243" s="50" t="s">
        <v>470</v>
      </c>
      <c r="F243" s="48"/>
      <c r="G243" s="48"/>
      <c r="H243" s="49" t="s">
        <v>29</v>
      </c>
      <c r="I243" s="51">
        <v>7465.6</v>
      </c>
      <c r="J243" s="51" t="s">
        <v>30</v>
      </c>
      <c r="K243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43" s="52"/>
      <c r="M243" s="58"/>
      <c r="N243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7465.6</v>
      </c>
      <c r="O243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46255</v>
      </c>
      <c r="P243" s="49"/>
      <c r="Q243" s="49" t="s">
        <v>232</v>
      </c>
      <c r="R243" s="48">
        <v>46254</v>
      </c>
      <c r="S243" s="59" t="s">
        <v>27</v>
      </c>
      <c r="T243" s="49"/>
      <c r="U243" s="49"/>
    </row>
    <row r="244" spans="2:21" s="49" customFormat="1" ht="18.75" hidden="1" customHeight="1">
      <c r="B244" s="56"/>
      <c r="C244" s="57"/>
      <c r="D244" s="48">
        <v>46196</v>
      </c>
      <c r="E244" s="50" t="s">
        <v>471</v>
      </c>
      <c r="F244" s="48"/>
      <c r="G244" s="48"/>
      <c r="H244" s="49" t="s">
        <v>29</v>
      </c>
      <c r="I244" s="51">
        <v>32832.480000000003</v>
      </c>
      <c r="J244" s="51" t="s">
        <v>30</v>
      </c>
      <c r="K244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44" s="52"/>
      <c r="M244" s="58"/>
      <c r="N244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32832.480000000003</v>
      </c>
      <c r="O244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46256</v>
      </c>
      <c r="Q244" s="49" t="s">
        <v>52</v>
      </c>
      <c r="R244" s="48">
        <v>46254</v>
      </c>
      <c r="S244" s="59" t="s">
        <v>27</v>
      </c>
    </row>
    <row r="245" spans="2:21" s="49" customFormat="1" ht="18.75" hidden="1" customHeight="1">
      <c r="B245" s="56"/>
      <c r="C245" s="57"/>
      <c r="D245" s="48">
        <v>46197</v>
      </c>
      <c r="E245" s="50" t="s">
        <v>472</v>
      </c>
      <c r="F245" s="48"/>
      <c r="G245" s="48"/>
      <c r="H245" s="49" t="s">
        <v>29</v>
      </c>
      <c r="I245" s="51">
        <v>45344.4</v>
      </c>
      <c r="J245" s="51" t="s">
        <v>30</v>
      </c>
      <c r="K245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45" s="52"/>
      <c r="M245" s="58"/>
      <c r="N245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45344.4</v>
      </c>
      <c r="O245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46257</v>
      </c>
      <c r="Q245" s="49" t="s">
        <v>52</v>
      </c>
      <c r="R245" s="48">
        <v>46254</v>
      </c>
      <c r="S245" s="59" t="s">
        <v>27</v>
      </c>
    </row>
    <row r="246" spans="2:21" s="49" customFormat="1" ht="18.75" hidden="1" customHeight="1">
      <c r="B246" s="56"/>
      <c r="C246" s="57"/>
      <c r="D246" s="48">
        <v>46197</v>
      </c>
      <c r="E246" s="50" t="s">
        <v>473</v>
      </c>
      <c r="F246" s="48"/>
      <c r="G246" s="48"/>
      <c r="H246" s="49" t="s">
        <v>29</v>
      </c>
      <c r="I246" s="51">
        <v>26384.26</v>
      </c>
      <c r="J246" s="51" t="s">
        <v>30</v>
      </c>
      <c r="K246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46" s="52"/>
      <c r="M246" s="58"/>
      <c r="N246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26384.26</v>
      </c>
      <c r="O246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46257</v>
      </c>
      <c r="Q246" s="49" t="s">
        <v>206</v>
      </c>
      <c r="R246" s="48">
        <v>46254</v>
      </c>
      <c r="S246" s="59" t="s">
        <v>27</v>
      </c>
    </row>
    <row r="247" spans="2:21" s="49" customFormat="1" ht="18.75" hidden="1" customHeight="1">
      <c r="B247" s="56"/>
      <c r="C247" s="57"/>
      <c r="D247" s="48">
        <v>46198</v>
      </c>
      <c r="E247" s="50" t="s">
        <v>474</v>
      </c>
      <c r="F247" s="48"/>
      <c r="G247" s="48"/>
      <c r="H247" s="49" t="s">
        <v>29</v>
      </c>
      <c r="I247" s="51">
        <v>32832.480000000003</v>
      </c>
      <c r="J247" s="51" t="s">
        <v>30</v>
      </c>
      <c r="K247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47" s="52"/>
      <c r="M247" s="58"/>
      <c r="N247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32832.480000000003</v>
      </c>
      <c r="O247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46258</v>
      </c>
      <c r="Q247" s="49" t="s">
        <v>52</v>
      </c>
      <c r="R247" s="48">
        <v>46254</v>
      </c>
      <c r="S247" s="59" t="s">
        <v>27</v>
      </c>
    </row>
    <row r="248" spans="2:21" s="49" customFormat="1" ht="18.75" hidden="1" customHeight="1">
      <c r="B248" s="56"/>
      <c r="C248" s="57"/>
      <c r="D248" s="48">
        <v>46198</v>
      </c>
      <c r="E248" s="50" t="s">
        <v>475</v>
      </c>
      <c r="F248" s="48"/>
      <c r="G248" s="48"/>
      <c r="H248" s="49" t="s">
        <v>29</v>
      </c>
      <c r="I248" s="51">
        <v>200</v>
      </c>
      <c r="J248" s="51" t="s">
        <v>30</v>
      </c>
      <c r="K248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48" s="52"/>
      <c r="M248" s="58"/>
      <c r="N248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200</v>
      </c>
      <c r="O248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46258</v>
      </c>
      <c r="Q248" s="49" t="s">
        <v>217</v>
      </c>
      <c r="R248" s="48">
        <v>46254</v>
      </c>
      <c r="S248" s="59" t="s">
        <v>27</v>
      </c>
    </row>
    <row r="249" spans="2:21" ht="18.75" hidden="1" customHeight="1">
      <c r="B249" s="56"/>
      <c r="C249" s="57"/>
      <c r="D249" s="48">
        <v>46198</v>
      </c>
      <c r="E249" s="50" t="s">
        <v>476</v>
      </c>
      <c r="F249" s="48"/>
      <c r="G249" s="48"/>
      <c r="H249" s="49" t="s">
        <v>29</v>
      </c>
      <c r="I249" s="51">
        <v>3965.7</v>
      </c>
      <c r="J249" s="51" t="s">
        <v>30</v>
      </c>
      <c r="K249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49" s="52"/>
      <c r="M249" s="58"/>
      <c r="N249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3965.7</v>
      </c>
      <c r="O249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46258</v>
      </c>
      <c r="P249" s="49"/>
      <c r="Q249" s="49" t="s">
        <v>477</v>
      </c>
      <c r="R249" s="48">
        <v>46254</v>
      </c>
      <c r="S249" s="59" t="s">
        <v>27</v>
      </c>
      <c r="T249" s="49"/>
      <c r="U249" s="49"/>
    </row>
    <row r="250" spans="2:21" ht="18.75" hidden="1" customHeight="1">
      <c r="B250" s="56"/>
      <c r="C250" s="57"/>
      <c r="D250" s="48">
        <v>46199</v>
      </c>
      <c r="E250" s="50" t="s">
        <v>478</v>
      </c>
      <c r="F250" s="48"/>
      <c r="G250" s="48"/>
      <c r="H250" s="49" t="s">
        <v>29</v>
      </c>
      <c r="I250" s="51">
        <v>37974</v>
      </c>
      <c r="J250" s="51" t="s">
        <v>30</v>
      </c>
      <c r="K25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50" s="52"/>
      <c r="M250" s="58"/>
      <c r="N250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37974</v>
      </c>
      <c r="O250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46259</v>
      </c>
      <c r="P250" s="49"/>
      <c r="Q250" s="49" t="s">
        <v>52</v>
      </c>
      <c r="R250" s="48">
        <v>46254</v>
      </c>
      <c r="S250" s="59" t="s">
        <v>27</v>
      </c>
      <c r="T250" s="49"/>
      <c r="U250" s="49"/>
    </row>
    <row r="251" spans="2:21" s="49" customFormat="1" ht="18.75" customHeight="1">
      <c r="B251" s="56">
        <v>46146</v>
      </c>
      <c r="C251" s="57" t="s">
        <v>479</v>
      </c>
      <c r="D251" s="48">
        <v>46205</v>
      </c>
      <c r="E251" s="50" t="s">
        <v>480</v>
      </c>
      <c r="F251" s="48"/>
      <c r="G251" s="48"/>
      <c r="H251" s="49" t="s">
        <v>196</v>
      </c>
      <c r="I251" s="51">
        <v>27506</v>
      </c>
      <c r="J251" s="51" t="s">
        <v>78</v>
      </c>
      <c r="K251" s="135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13753</v>
      </c>
      <c r="L251" s="52"/>
      <c r="M251" s="49" t="s">
        <v>25</v>
      </c>
      <c r="N251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13753</v>
      </c>
      <c r="O251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46265</v>
      </c>
      <c r="Q251" s="49" t="s">
        <v>135</v>
      </c>
      <c r="R251" s="48">
        <v>46205</v>
      </c>
      <c r="S251" s="59" t="s">
        <v>45</v>
      </c>
    </row>
    <row r="252" spans="2:21" ht="18.75" hidden="1" customHeight="1">
      <c r="B252" s="56">
        <v>46063</v>
      </c>
      <c r="C252" s="57" t="s">
        <v>481</v>
      </c>
      <c r="D252" s="48">
        <v>46132</v>
      </c>
      <c r="E252" s="50" t="s">
        <v>482</v>
      </c>
      <c r="F252" s="48"/>
      <c r="G252" s="48"/>
      <c r="H252" s="49" t="s">
        <v>69</v>
      </c>
      <c r="I252" s="51">
        <v>15600.99</v>
      </c>
      <c r="J252" s="51" t="s">
        <v>55</v>
      </c>
      <c r="K25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52" s="52"/>
      <c r="M252" s="58"/>
      <c r="N25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15600.99</v>
      </c>
      <c r="O252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252" t="s">
        <v>25</v>
      </c>
      <c r="Q252" s="49" t="s">
        <v>344</v>
      </c>
      <c r="R252" s="48">
        <v>46142</v>
      </c>
      <c r="S252" s="59" t="s">
        <v>45</v>
      </c>
      <c r="T252" s="49"/>
      <c r="U252" s="49" t="s">
        <v>32</v>
      </c>
    </row>
    <row r="253" spans="2:21" ht="18.75" hidden="1" customHeight="1">
      <c r="B253" s="1"/>
      <c r="C253"/>
      <c r="D253" s="1">
        <v>45975</v>
      </c>
      <c r="E253" s="29" t="s">
        <v>483</v>
      </c>
      <c r="F253" s="1"/>
      <c r="G253" s="1"/>
      <c r="H253" t="s">
        <v>29</v>
      </c>
      <c r="I253" s="2">
        <v>32187.61</v>
      </c>
      <c r="J253" s="2" t="s">
        <v>30</v>
      </c>
      <c r="K25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53" s="3"/>
      <c r="M253" s="11"/>
      <c r="N25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32187.61</v>
      </c>
      <c r="O25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46035</v>
      </c>
      <c r="P253" t="s">
        <v>25</v>
      </c>
      <c r="Q253" t="s">
        <v>484</v>
      </c>
      <c r="R253" s="1">
        <v>46030</v>
      </c>
      <c r="S253"/>
    </row>
    <row r="254" spans="2:21" ht="18.75" hidden="1" customHeight="1">
      <c r="B254" s="1"/>
      <c r="C254"/>
      <c r="D254" s="1">
        <v>45979</v>
      </c>
      <c r="E254" s="29" t="s">
        <v>485</v>
      </c>
      <c r="F254" s="1"/>
      <c r="G254" s="1"/>
      <c r="H254" t="s">
        <v>29</v>
      </c>
      <c r="I254" s="2">
        <v>39210.15</v>
      </c>
      <c r="J254" s="2" t="s">
        <v>30</v>
      </c>
      <c r="K25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54" s="3"/>
      <c r="M254" s="11"/>
      <c r="N25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39210.15</v>
      </c>
      <c r="O25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46039</v>
      </c>
      <c r="P254" t="s">
        <v>25</v>
      </c>
      <c r="Q254" t="s">
        <v>486</v>
      </c>
      <c r="R254" s="1">
        <v>46037</v>
      </c>
      <c r="S254" t="s">
        <v>27</v>
      </c>
    </row>
    <row r="255" spans="2:21" ht="18.75" hidden="1" customHeight="1">
      <c r="B255" s="1"/>
      <c r="C255"/>
      <c r="D255" s="1">
        <v>45980</v>
      </c>
      <c r="E255" s="29" t="s">
        <v>487</v>
      </c>
      <c r="F255" s="1"/>
      <c r="G255" s="1"/>
      <c r="H255" t="s">
        <v>29</v>
      </c>
      <c r="I255" s="2">
        <v>146</v>
      </c>
      <c r="J255" s="2" t="s">
        <v>30</v>
      </c>
      <c r="K25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55" s="3"/>
      <c r="M255" s="11"/>
      <c r="N25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146</v>
      </c>
      <c r="O25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46040</v>
      </c>
      <c r="P255" t="s">
        <v>25</v>
      </c>
      <c r="Q255" t="s">
        <v>488</v>
      </c>
      <c r="R255" s="1">
        <v>46037</v>
      </c>
      <c r="S255" t="s">
        <v>27</v>
      </c>
    </row>
    <row r="256" spans="2:21" ht="18.75" hidden="1" customHeight="1">
      <c r="B256" s="1"/>
      <c r="C256"/>
      <c r="D256" s="1">
        <v>45981</v>
      </c>
      <c r="E256" s="29" t="s">
        <v>489</v>
      </c>
      <c r="F256" s="1"/>
      <c r="G256" s="1"/>
      <c r="H256" t="s">
        <v>29</v>
      </c>
      <c r="I256" s="2">
        <v>2817.22</v>
      </c>
      <c r="J256" s="2" t="s">
        <v>30</v>
      </c>
      <c r="K25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56" s="3"/>
      <c r="M256" s="11"/>
      <c r="N25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2817.22</v>
      </c>
      <c r="O25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46041</v>
      </c>
      <c r="P256" t="s">
        <v>25</v>
      </c>
      <c r="Q256" t="s">
        <v>490</v>
      </c>
      <c r="R256" s="1">
        <v>46037</v>
      </c>
      <c r="S256" t="s">
        <v>27</v>
      </c>
    </row>
    <row r="257" spans="2:19" ht="18.75" hidden="1" customHeight="1">
      <c r="B257" s="1"/>
      <c r="C257"/>
      <c r="D257" s="1">
        <v>45981</v>
      </c>
      <c r="E257" s="29" t="s">
        <v>491</v>
      </c>
      <c r="F257" s="1"/>
      <c r="G257" s="1"/>
      <c r="H257" t="s">
        <v>29</v>
      </c>
      <c r="I257" s="2">
        <v>23727.4</v>
      </c>
      <c r="J257" s="2" t="s">
        <v>30</v>
      </c>
      <c r="K25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57" s="3"/>
      <c r="M257" s="11"/>
      <c r="N25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23727.4</v>
      </c>
      <c r="O25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46041</v>
      </c>
      <c r="P257" t="s">
        <v>25</v>
      </c>
      <c r="Q257" t="s">
        <v>492</v>
      </c>
      <c r="R257" s="1">
        <v>46037</v>
      </c>
      <c r="S257" t="s">
        <v>27</v>
      </c>
    </row>
    <row r="258" spans="2:19" ht="18.75" hidden="1" customHeight="1">
      <c r="B258" s="1"/>
      <c r="C258"/>
      <c r="D258" s="1">
        <v>45982</v>
      </c>
      <c r="E258" s="29" t="s">
        <v>493</v>
      </c>
      <c r="F258" s="1"/>
      <c r="G258" s="1"/>
      <c r="H258" t="s">
        <v>29</v>
      </c>
      <c r="I258" s="41">
        <v>31248.799999999999</v>
      </c>
      <c r="J258" s="41" t="s">
        <v>30</v>
      </c>
      <c r="K25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58" s="43"/>
      <c r="M258" s="42"/>
      <c r="N25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31248.799999999999</v>
      </c>
      <c r="O25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46042</v>
      </c>
      <c r="P258" t="s">
        <v>25</v>
      </c>
      <c r="Q258" t="s">
        <v>494</v>
      </c>
      <c r="R258" s="1">
        <v>46037</v>
      </c>
      <c r="S258" t="s">
        <v>27</v>
      </c>
    </row>
    <row r="259" spans="2:19" ht="18.75" hidden="1" customHeight="1">
      <c r="B259" s="1"/>
      <c r="C259"/>
      <c r="D259" s="1">
        <v>45982</v>
      </c>
      <c r="E259" s="29" t="s">
        <v>495</v>
      </c>
      <c r="F259" s="1"/>
      <c r="G259" s="1"/>
      <c r="H259" t="s">
        <v>29</v>
      </c>
      <c r="I259" s="2">
        <v>24627.4</v>
      </c>
      <c r="J259" s="2" t="s">
        <v>30</v>
      </c>
      <c r="K25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59" s="3"/>
      <c r="M259" s="11"/>
      <c r="N25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24627.4</v>
      </c>
      <c r="O25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46042</v>
      </c>
      <c r="P259" t="s">
        <v>25</v>
      </c>
      <c r="Q259" t="s">
        <v>486</v>
      </c>
      <c r="R259" s="1">
        <v>46037</v>
      </c>
      <c r="S259" t="s">
        <v>27</v>
      </c>
    </row>
    <row r="260" spans="2:19" ht="18.75" hidden="1" customHeight="1">
      <c r="B260" s="1"/>
      <c r="C260"/>
      <c r="D260" s="1">
        <v>45982</v>
      </c>
      <c r="E260" s="29" t="s">
        <v>496</v>
      </c>
      <c r="F260" s="1"/>
      <c r="G260" s="1"/>
      <c r="H260" t="s">
        <v>29</v>
      </c>
      <c r="I260" s="2">
        <v>24753.599999999999</v>
      </c>
      <c r="J260" s="2" t="s">
        <v>30</v>
      </c>
      <c r="K26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60" s="3"/>
      <c r="M260" s="11"/>
      <c r="N26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24753.599999999999</v>
      </c>
      <c r="O26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46042</v>
      </c>
      <c r="P260" t="s">
        <v>25</v>
      </c>
      <c r="Q260" t="s">
        <v>486</v>
      </c>
      <c r="R260" s="1">
        <v>46037</v>
      </c>
      <c r="S260" t="s">
        <v>27</v>
      </c>
    </row>
    <row r="261" spans="2:19" ht="18.75" hidden="1" customHeight="1">
      <c r="B261" s="1"/>
      <c r="C261"/>
      <c r="D261" s="1">
        <v>45982</v>
      </c>
      <c r="E261" s="29" t="s">
        <v>497</v>
      </c>
      <c r="F261" s="1"/>
      <c r="G261" s="1"/>
      <c r="H261" t="s">
        <v>29</v>
      </c>
      <c r="I261" s="2">
        <v>19312.96</v>
      </c>
      <c r="J261" s="2" t="s">
        <v>30</v>
      </c>
      <c r="K26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61" s="3"/>
      <c r="M261" s="11"/>
      <c r="N26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19312.96</v>
      </c>
      <c r="O26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46042</v>
      </c>
      <c r="P261" t="s">
        <v>25</v>
      </c>
      <c r="Q261" t="s">
        <v>498</v>
      </c>
      <c r="R261" s="1">
        <v>46037</v>
      </c>
      <c r="S261" t="s">
        <v>27</v>
      </c>
    </row>
    <row r="262" spans="2:19" ht="18.75" hidden="1" customHeight="1">
      <c r="B262" s="1"/>
      <c r="C262"/>
      <c r="D262" s="1">
        <v>45982</v>
      </c>
      <c r="E262" s="29" t="s">
        <v>499</v>
      </c>
      <c r="F262" s="1"/>
      <c r="G262" s="1"/>
      <c r="H262" t="s">
        <v>29</v>
      </c>
      <c r="I262" s="2">
        <v>37616.03</v>
      </c>
      <c r="J262" s="2" t="s">
        <v>30</v>
      </c>
      <c r="K26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62" s="3"/>
      <c r="M262" s="11"/>
      <c r="N26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37616.03</v>
      </c>
      <c r="O26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46042</v>
      </c>
      <c r="P262" t="s">
        <v>25</v>
      </c>
      <c r="Q262" t="s">
        <v>486</v>
      </c>
      <c r="R262" s="1">
        <v>46037</v>
      </c>
      <c r="S262" t="s">
        <v>27</v>
      </c>
    </row>
    <row r="263" spans="2:19" ht="18.75" hidden="1" customHeight="1">
      <c r="B263" s="1"/>
      <c r="C263"/>
      <c r="D263" s="1">
        <v>45986</v>
      </c>
      <c r="E263" s="29" t="s">
        <v>500</v>
      </c>
      <c r="F263" s="1"/>
      <c r="G263" s="1"/>
      <c r="H263" t="s">
        <v>29</v>
      </c>
      <c r="I263" s="2">
        <v>31603.9</v>
      </c>
      <c r="J263" s="2" t="s">
        <v>30</v>
      </c>
      <c r="K26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63" s="3"/>
      <c r="M263" s="11"/>
      <c r="N26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31603.9</v>
      </c>
      <c r="O26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46046</v>
      </c>
      <c r="P263" t="s">
        <v>25</v>
      </c>
      <c r="Q263" t="s">
        <v>494</v>
      </c>
      <c r="R263" s="13">
        <v>46044</v>
      </c>
      <c r="S263" s="9" t="s">
        <v>27</v>
      </c>
    </row>
    <row r="264" spans="2:19" ht="18.75" hidden="1" customHeight="1">
      <c r="B264" s="1"/>
      <c r="C264"/>
      <c r="D264" s="1">
        <v>45988</v>
      </c>
      <c r="E264" s="29" t="s">
        <v>501</v>
      </c>
      <c r="F264" s="1"/>
      <c r="G264" s="1"/>
      <c r="H264" t="s">
        <v>29</v>
      </c>
      <c r="I264" s="2">
        <v>26826</v>
      </c>
      <c r="J264" s="2" t="s">
        <v>30</v>
      </c>
      <c r="K26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64" s="3"/>
      <c r="M264" s="11"/>
      <c r="N26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26826</v>
      </c>
      <c r="O26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46048</v>
      </c>
      <c r="P264" t="s">
        <v>25</v>
      </c>
      <c r="Q264" t="s">
        <v>486</v>
      </c>
      <c r="R264" s="13">
        <v>46044</v>
      </c>
      <c r="S264" s="9" t="s">
        <v>27</v>
      </c>
    </row>
    <row r="265" spans="2:19" ht="18.75" hidden="1" customHeight="1">
      <c r="B265" s="1"/>
      <c r="C265"/>
      <c r="D265" s="1">
        <v>45988</v>
      </c>
      <c r="E265" s="29" t="s">
        <v>502</v>
      </c>
      <c r="F265" s="1"/>
      <c r="G265" s="1"/>
      <c r="H265" t="s">
        <v>29</v>
      </c>
      <c r="I265" s="2">
        <v>28620.799999999999</v>
      </c>
      <c r="J265" s="2" t="s">
        <v>30</v>
      </c>
      <c r="K26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65" s="3"/>
      <c r="M265" s="11"/>
      <c r="N26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28620.799999999999</v>
      </c>
      <c r="O26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46048</v>
      </c>
      <c r="P265" t="s">
        <v>25</v>
      </c>
      <c r="Q265" t="s">
        <v>494</v>
      </c>
      <c r="R265" s="13">
        <v>46044</v>
      </c>
      <c r="S265" s="9" t="s">
        <v>27</v>
      </c>
    </row>
    <row r="266" spans="2:19" ht="18.75" hidden="1" customHeight="1">
      <c r="B266" s="1"/>
      <c r="C266"/>
      <c r="D266" s="1">
        <v>45988</v>
      </c>
      <c r="E266" s="29" t="s">
        <v>503</v>
      </c>
      <c r="F266" s="1"/>
      <c r="G266" s="1"/>
      <c r="H266" t="s">
        <v>29</v>
      </c>
      <c r="I266" s="2">
        <v>30942.54</v>
      </c>
      <c r="J266" s="2" t="s">
        <v>30</v>
      </c>
      <c r="K26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66" s="3"/>
      <c r="M266" s="11"/>
      <c r="N26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30942.54</v>
      </c>
      <c r="O26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46048</v>
      </c>
      <c r="P266" t="s">
        <v>25</v>
      </c>
      <c r="Q266" t="s">
        <v>494</v>
      </c>
      <c r="R266" s="13">
        <v>46044</v>
      </c>
      <c r="S266" s="9" t="s">
        <v>27</v>
      </c>
    </row>
    <row r="267" spans="2:19" ht="18.75" hidden="1" customHeight="1">
      <c r="B267" s="1"/>
      <c r="C267"/>
      <c r="D267" s="1">
        <v>45989</v>
      </c>
      <c r="E267" s="29" t="s">
        <v>504</v>
      </c>
      <c r="F267" s="1"/>
      <c r="G267" s="1"/>
      <c r="H267" t="s">
        <v>29</v>
      </c>
      <c r="I267" s="2">
        <v>1223.6500000000001</v>
      </c>
      <c r="J267" s="2" t="s">
        <v>30</v>
      </c>
      <c r="K26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67" s="3"/>
      <c r="M267" s="11"/>
      <c r="N26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1223.6500000000001</v>
      </c>
      <c r="O26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46049</v>
      </c>
      <c r="P267" t="s">
        <v>25</v>
      </c>
      <c r="Q267" t="s">
        <v>505</v>
      </c>
      <c r="R267" s="1">
        <v>46044</v>
      </c>
      <c r="S267" s="9" t="s">
        <v>27</v>
      </c>
    </row>
    <row r="268" spans="2:19" ht="18.75" hidden="1" customHeight="1">
      <c r="B268" s="1"/>
      <c r="C268"/>
      <c r="D268" s="1">
        <v>45992</v>
      </c>
      <c r="E268" s="29" t="s">
        <v>506</v>
      </c>
      <c r="F268" s="1"/>
      <c r="G268" s="1"/>
      <c r="H268" t="s">
        <v>29</v>
      </c>
      <c r="I268" s="2">
        <v>38217.64</v>
      </c>
      <c r="J268" s="2" t="s">
        <v>30</v>
      </c>
      <c r="K26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68" s="3"/>
      <c r="M268" s="11"/>
      <c r="N26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38217.64</v>
      </c>
      <c r="O26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46052</v>
      </c>
      <c r="P268" t="s">
        <v>25</v>
      </c>
      <c r="Q268" t="s">
        <v>494</v>
      </c>
      <c r="R268" s="1">
        <v>46051</v>
      </c>
      <c r="S268" t="s">
        <v>27</v>
      </c>
    </row>
    <row r="269" spans="2:19" ht="18.75" hidden="1" customHeight="1">
      <c r="B269" s="1"/>
      <c r="C269"/>
      <c r="D269" s="1">
        <v>45993</v>
      </c>
      <c r="E269" s="29" t="s">
        <v>507</v>
      </c>
      <c r="F269" s="1"/>
      <c r="G269" s="1"/>
      <c r="H269" t="s">
        <v>29</v>
      </c>
      <c r="I269" s="2">
        <v>23600.48</v>
      </c>
      <c r="J269" s="2" t="s">
        <v>30</v>
      </c>
      <c r="K26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69" s="3"/>
      <c r="M269" s="11"/>
      <c r="N26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23600.48</v>
      </c>
      <c r="O26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46053</v>
      </c>
      <c r="P269" t="s">
        <v>25</v>
      </c>
      <c r="Q269" t="s">
        <v>484</v>
      </c>
      <c r="R269" s="1">
        <v>46051</v>
      </c>
      <c r="S269" t="s">
        <v>27</v>
      </c>
    </row>
    <row r="270" spans="2:19" ht="18.75" hidden="1" customHeight="1">
      <c r="B270" s="1"/>
      <c r="C270"/>
      <c r="D270" s="1">
        <v>45993</v>
      </c>
      <c r="E270" s="29" t="s">
        <v>508</v>
      </c>
      <c r="F270" s="1"/>
      <c r="G270" s="1"/>
      <c r="H270" t="s">
        <v>29</v>
      </c>
      <c r="I270" s="2">
        <v>14107.5</v>
      </c>
      <c r="J270" s="2" t="s">
        <v>30</v>
      </c>
      <c r="K27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70" s="3"/>
      <c r="M270" s="11"/>
      <c r="N27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14107.5</v>
      </c>
      <c r="O27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46053</v>
      </c>
      <c r="P270" t="s">
        <v>25</v>
      </c>
      <c r="Q270" t="s">
        <v>494</v>
      </c>
      <c r="R270" s="1">
        <v>46051</v>
      </c>
      <c r="S270" t="s">
        <v>27</v>
      </c>
    </row>
    <row r="271" spans="2:19" ht="18.75" hidden="1" customHeight="1">
      <c r="B271" s="1"/>
      <c r="C271"/>
      <c r="D271" s="1">
        <v>45994</v>
      </c>
      <c r="E271" s="29" t="s">
        <v>509</v>
      </c>
      <c r="F271" s="1"/>
      <c r="G271" s="1"/>
      <c r="H271" t="s">
        <v>29</v>
      </c>
      <c r="I271" s="2">
        <v>14249.3</v>
      </c>
      <c r="J271" s="2" t="s">
        <v>30</v>
      </c>
      <c r="K27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71" s="3"/>
      <c r="M271" s="11"/>
      <c r="N27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14249.3</v>
      </c>
      <c r="O27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46054</v>
      </c>
      <c r="P271" t="s">
        <v>25</v>
      </c>
      <c r="Q271" t="s">
        <v>494</v>
      </c>
      <c r="R271" s="1">
        <v>46051</v>
      </c>
      <c r="S271" t="s">
        <v>27</v>
      </c>
    </row>
    <row r="272" spans="2:19" ht="18.75" hidden="1" customHeight="1">
      <c r="B272" s="1"/>
      <c r="C272"/>
      <c r="D272" s="1">
        <v>45994</v>
      </c>
      <c r="E272" s="29" t="s">
        <v>510</v>
      </c>
      <c r="F272" s="1"/>
      <c r="G272" s="1"/>
      <c r="H272" t="s">
        <v>29</v>
      </c>
      <c r="I272" s="2">
        <v>32990.480000000003</v>
      </c>
      <c r="J272" s="2" t="s">
        <v>30</v>
      </c>
      <c r="K27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72" s="3"/>
      <c r="M272" s="11"/>
      <c r="N27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32990.480000000003</v>
      </c>
      <c r="O27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46054</v>
      </c>
      <c r="P272" t="s">
        <v>25</v>
      </c>
      <c r="Q272" t="s">
        <v>486</v>
      </c>
      <c r="R272" s="1">
        <v>46051</v>
      </c>
      <c r="S272" t="s">
        <v>27</v>
      </c>
    </row>
    <row r="273" spans="2:21" ht="18.75" hidden="1" customHeight="1">
      <c r="B273" s="1"/>
      <c r="C273"/>
      <c r="D273" s="1">
        <v>45995</v>
      </c>
      <c r="E273" s="29" t="s">
        <v>511</v>
      </c>
      <c r="F273" s="1"/>
      <c r="G273" s="1"/>
      <c r="H273" t="s">
        <v>29</v>
      </c>
      <c r="I273" s="2">
        <v>33274.94</v>
      </c>
      <c r="J273" s="2" t="s">
        <v>30</v>
      </c>
      <c r="K27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73" s="3"/>
      <c r="M273" s="11"/>
      <c r="N27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33274.94</v>
      </c>
      <c r="O27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46055</v>
      </c>
      <c r="P273" t="s">
        <v>25</v>
      </c>
      <c r="Q273" t="s">
        <v>494</v>
      </c>
      <c r="R273" s="1">
        <v>46051</v>
      </c>
      <c r="S273" t="s">
        <v>27</v>
      </c>
    </row>
    <row r="274" spans="2:21" ht="18.75" hidden="1" customHeight="1">
      <c r="B274" s="1"/>
      <c r="C274"/>
      <c r="D274" s="1">
        <v>46000</v>
      </c>
      <c r="E274" s="29" t="s">
        <v>512</v>
      </c>
      <c r="F274" s="1"/>
      <c r="G274" s="1"/>
      <c r="H274" t="s">
        <v>29</v>
      </c>
      <c r="I274" s="2">
        <v>25327.5</v>
      </c>
      <c r="J274" s="2" t="s">
        <v>30</v>
      </c>
      <c r="K27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74" s="3"/>
      <c r="M274" s="11"/>
      <c r="N27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25327.5</v>
      </c>
      <c r="O27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46060</v>
      </c>
      <c r="P274" t="s">
        <v>25</v>
      </c>
      <c r="Q274" t="s">
        <v>494</v>
      </c>
      <c r="R274" s="1">
        <v>46059</v>
      </c>
      <c r="S274" t="s">
        <v>27</v>
      </c>
      <c r="T274" s="24"/>
    </row>
    <row r="275" spans="2:21" ht="18.75" hidden="1" customHeight="1">
      <c r="B275" s="1"/>
      <c r="C275"/>
      <c r="D275" s="1">
        <v>46000</v>
      </c>
      <c r="E275" s="29" t="s">
        <v>513</v>
      </c>
      <c r="F275" s="1"/>
      <c r="G275" s="1"/>
      <c r="H275" t="s">
        <v>29</v>
      </c>
      <c r="I275" s="2">
        <v>40883.519999999997</v>
      </c>
      <c r="J275" s="2" t="s">
        <v>30</v>
      </c>
      <c r="K27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75" s="3"/>
      <c r="M275" s="11"/>
      <c r="N27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40883.519999999997</v>
      </c>
      <c r="O27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46060</v>
      </c>
      <c r="P275" t="s">
        <v>25</v>
      </c>
      <c r="Q275" t="s">
        <v>514</v>
      </c>
      <c r="R275" s="1">
        <v>46059</v>
      </c>
      <c r="S275" t="s">
        <v>27</v>
      </c>
      <c r="T275" s="24"/>
    </row>
    <row r="276" spans="2:21" ht="18.75" hidden="1" customHeight="1">
      <c r="B276" s="1"/>
      <c r="C276"/>
      <c r="D276" s="1">
        <v>46000</v>
      </c>
      <c r="E276" s="29" t="s">
        <v>515</v>
      </c>
      <c r="F276" s="1"/>
      <c r="G276" s="1"/>
      <c r="H276" t="s">
        <v>29</v>
      </c>
      <c r="I276" s="2">
        <v>7319.2</v>
      </c>
      <c r="J276" s="2" t="s">
        <v>30</v>
      </c>
      <c r="K27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76" s="3"/>
      <c r="M276" s="11"/>
      <c r="N27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7319.2</v>
      </c>
      <c r="O27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46060</v>
      </c>
      <c r="P276" t="s">
        <v>25</v>
      </c>
      <c r="Q276" t="s">
        <v>514</v>
      </c>
      <c r="R276" s="1">
        <v>46059</v>
      </c>
      <c r="S276" t="s">
        <v>27</v>
      </c>
      <c r="T276" s="24"/>
    </row>
    <row r="277" spans="2:21" ht="18.75" hidden="1" customHeight="1">
      <c r="B277" s="1"/>
      <c r="C277"/>
      <c r="D277" s="1">
        <v>46001</v>
      </c>
      <c r="E277" s="29" t="s">
        <v>516</v>
      </c>
      <c r="F277" s="1"/>
      <c r="G277" s="1"/>
      <c r="H277" t="s">
        <v>29</v>
      </c>
      <c r="I277" s="2">
        <v>37672.25</v>
      </c>
      <c r="J277" s="2" t="s">
        <v>30</v>
      </c>
      <c r="K27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77" s="3"/>
      <c r="M277" s="11"/>
      <c r="N27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37672.25</v>
      </c>
      <c r="O27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46061</v>
      </c>
      <c r="P277" t="s">
        <v>25</v>
      </c>
      <c r="Q277" t="s">
        <v>514</v>
      </c>
      <c r="R277" s="1">
        <v>46059</v>
      </c>
      <c r="S277" t="s">
        <v>27</v>
      </c>
      <c r="T277" s="24"/>
    </row>
    <row r="278" spans="2:21" ht="18.75" hidden="1" customHeight="1">
      <c r="B278" s="1"/>
      <c r="C278"/>
      <c r="D278" s="1">
        <v>46002</v>
      </c>
      <c r="E278" s="29" t="s">
        <v>517</v>
      </c>
      <c r="F278" s="1"/>
      <c r="G278" s="1"/>
      <c r="H278" t="s">
        <v>29</v>
      </c>
      <c r="I278" s="2">
        <v>31816.240000000002</v>
      </c>
      <c r="J278" s="2" t="s">
        <v>30</v>
      </c>
      <c r="K27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78" s="3"/>
      <c r="M278" s="11"/>
      <c r="N27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31816.240000000002</v>
      </c>
      <c r="O27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46062</v>
      </c>
      <c r="P278" t="s">
        <v>25</v>
      </c>
      <c r="Q278" t="s">
        <v>514</v>
      </c>
      <c r="R278" s="1">
        <v>46059</v>
      </c>
      <c r="S278" t="s">
        <v>27</v>
      </c>
      <c r="T278" s="24"/>
    </row>
    <row r="279" spans="2:21" ht="18.75" hidden="1" customHeight="1">
      <c r="B279" s="56"/>
      <c r="C279" s="57"/>
      <c r="D279" s="48">
        <v>46125</v>
      </c>
      <c r="E279" s="50" t="s">
        <v>518</v>
      </c>
      <c r="F279" s="48"/>
      <c r="G279" s="48"/>
      <c r="H279" s="49" t="s">
        <v>29</v>
      </c>
      <c r="I279" s="51">
        <v>29822.2</v>
      </c>
      <c r="J279" s="51" t="s">
        <v>30</v>
      </c>
      <c r="K279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79" s="52"/>
      <c r="M279" s="58"/>
      <c r="N279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29822.2</v>
      </c>
      <c r="O279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46185</v>
      </c>
      <c r="P279" s="49" t="s">
        <v>25</v>
      </c>
      <c r="Q279" s="49" t="s">
        <v>477</v>
      </c>
      <c r="R279" s="48">
        <v>46184</v>
      </c>
      <c r="S279" s="59" t="s">
        <v>27</v>
      </c>
      <c r="T279" s="49"/>
      <c r="U279" s="49" t="s">
        <v>32</v>
      </c>
    </row>
    <row r="280" spans="2:21" ht="18.75" hidden="1" customHeight="1">
      <c r="B280" s="56"/>
      <c r="C280" s="57"/>
      <c r="D280" s="48">
        <v>46125</v>
      </c>
      <c r="E280" s="50" t="s">
        <v>519</v>
      </c>
      <c r="F280" s="48"/>
      <c r="G280" s="48"/>
      <c r="H280" s="49" t="s">
        <v>29</v>
      </c>
      <c r="I280" s="66">
        <v>43537.22</v>
      </c>
      <c r="J280" s="66" t="s">
        <v>30</v>
      </c>
      <c r="K280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80" s="67"/>
      <c r="M280" s="95"/>
      <c r="N280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43537.22</v>
      </c>
      <c r="O280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46185</v>
      </c>
      <c r="P280" s="49" t="s">
        <v>25</v>
      </c>
      <c r="Q280" s="49" t="s">
        <v>235</v>
      </c>
      <c r="R280" s="48">
        <v>46184</v>
      </c>
      <c r="S280" s="59" t="s">
        <v>27</v>
      </c>
      <c r="T280" s="49"/>
      <c r="U280" s="49" t="s">
        <v>32</v>
      </c>
    </row>
    <row r="281" spans="2:21" ht="18.75" hidden="1" customHeight="1">
      <c r="B281" s="56"/>
      <c r="C281" s="57"/>
      <c r="D281" s="48">
        <v>46134</v>
      </c>
      <c r="E281" s="50">
        <v>687104572</v>
      </c>
      <c r="F281" s="48"/>
      <c r="G281" s="48"/>
      <c r="H281" s="49" t="s">
        <v>416</v>
      </c>
      <c r="I281" s="51">
        <v>3500</v>
      </c>
      <c r="J281" s="51" t="s">
        <v>330</v>
      </c>
      <c r="K28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81" s="52"/>
      <c r="M281" s="58"/>
      <c r="N28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3500</v>
      </c>
      <c r="O28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46164</v>
      </c>
      <c r="P281" s="49" t="s">
        <v>25</v>
      </c>
      <c r="Q281" s="49" t="s">
        <v>520</v>
      </c>
      <c r="R281" s="48">
        <v>46163</v>
      </c>
      <c r="S281" s="59" t="s">
        <v>45</v>
      </c>
      <c r="T281" s="49"/>
      <c r="U281" s="49"/>
    </row>
    <row r="282" spans="2:21" ht="18.75" hidden="1" customHeight="1">
      <c r="B282" s="56"/>
      <c r="C282" s="57"/>
      <c r="D282" s="48">
        <v>46097</v>
      </c>
      <c r="E282" s="50" t="s">
        <v>521</v>
      </c>
      <c r="F282" s="48"/>
      <c r="G282" s="48"/>
      <c r="H282" s="49" t="s">
        <v>108</v>
      </c>
      <c r="I282" s="51">
        <v>8029.38</v>
      </c>
      <c r="J282" s="51" t="s">
        <v>30</v>
      </c>
      <c r="K28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82" s="52"/>
      <c r="M282" s="58"/>
      <c r="N28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8029.38</v>
      </c>
      <c r="O28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46157</v>
      </c>
      <c r="P282" s="49" t="s">
        <v>25</v>
      </c>
      <c r="Q282" s="49" t="s">
        <v>522</v>
      </c>
      <c r="R282" s="48">
        <v>46156</v>
      </c>
      <c r="S282" s="59" t="s">
        <v>27</v>
      </c>
      <c r="T282" s="49"/>
      <c r="U282" s="49" t="s">
        <v>32</v>
      </c>
    </row>
    <row r="283" spans="2:21" ht="18.75" hidden="1" customHeight="1">
      <c r="B283" s="56"/>
      <c r="C283" s="57"/>
      <c r="D283" s="48">
        <v>46097</v>
      </c>
      <c r="E283" s="50" t="s">
        <v>523</v>
      </c>
      <c r="F283" s="48"/>
      <c r="G283" s="48"/>
      <c r="H283" s="49" t="s">
        <v>108</v>
      </c>
      <c r="I283" s="51">
        <v>3849</v>
      </c>
      <c r="J283" s="51" t="s">
        <v>30</v>
      </c>
      <c r="K28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83" s="52"/>
      <c r="M283" s="58"/>
      <c r="N28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3849</v>
      </c>
      <c r="O28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46157</v>
      </c>
      <c r="P283" s="49" t="s">
        <v>25</v>
      </c>
      <c r="Q283" s="49" t="s">
        <v>524</v>
      </c>
      <c r="R283" s="48">
        <v>46156</v>
      </c>
      <c r="S283" s="59" t="s">
        <v>27</v>
      </c>
      <c r="T283" s="49"/>
      <c r="U283" s="49" t="s">
        <v>32</v>
      </c>
    </row>
    <row r="284" spans="2:21" ht="18.75" hidden="1" customHeight="1">
      <c r="B284" s="56"/>
      <c r="C284" s="57"/>
      <c r="D284" s="48">
        <v>46097</v>
      </c>
      <c r="E284" s="50" t="s">
        <v>525</v>
      </c>
      <c r="F284" s="48"/>
      <c r="G284" s="48"/>
      <c r="H284" s="49" t="s">
        <v>108</v>
      </c>
      <c r="I284" s="51">
        <v>2702.58</v>
      </c>
      <c r="J284" s="51" t="s">
        <v>30</v>
      </c>
      <c r="K28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84" s="52"/>
      <c r="M284" s="58"/>
      <c r="N28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2702.58</v>
      </c>
      <c r="O28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46157</v>
      </c>
      <c r="P284" s="49" t="s">
        <v>25</v>
      </c>
      <c r="Q284" s="49" t="s">
        <v>526</v>
      </c>
      <c r="R284" s="48">
        <v>46156</v>
      </c>
      <c r="S284" s="59" t="s">
        <v>27</v>
      </c>
      <c r="T284" s="49"/>
      <c r="U284" s="49" t="s">
        <v>32</v>
      </c>
    </row>
    <row r="285" spans="2:21" ht="18.75" hidden="1" customHeight="1">
      <c r="B285" s="56">
        <v>46118</v>
      </c>
      <c r="C285" s="57" t="s">
        <v>527</v>
      </c>
      <c r="D285" s="48">
        <v>46156</v>
      </c>
      <c r="E285" s="50">
        <v>544</v>
      </c>
      <c r="F285" s="48"/>
      <c r="G285" s="48"/>
      <c r="H285" s="49" t="s">
        <v>301</v>
      </c>
      <c r="I285" s="51">
        <v>19.760000000000002</v>
      </c>
      <c r="J285" s="51" t="s">
        <v>55</v>
      </c>
      <c r="K28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85" s="52"/>
      <c r="M285" s="58"/>
      <c r="N28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19.760000000000002</v>
      </c>
      <c r="O285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285" s="49" t="s">
        <v>25</v>
      </c>
      <c r="Q285" s="49" t="s">
        <v>241</v>
      </c>
      <c r="R285" s="48">
        <v>46156</v>
      </c>
      <c r="S285" s="59" t="s">
        <v>45</v>
      </c>
      <c r="T285" s="49"/>
      <c r="U285" s="49" t="s">
        <v>32</v>
      </c>
    </row>
    <row r="286" spans="2:21" ht="18.75" hidden="1" customHeight="1">
      <c r="B286" s="44">
        <v>45949</v>
      </c>
      <c r="C286" t="s">
        <v>528</v>
      </c>
      <c r="D286" s="1">
        <v>45976</v>
      </c>
      <c r="E286" s="29" t="s">
        <v>529</v>
      </c>
      <c r="F286" s="1"/>
      <c r="G286" s="1"/>
      <c r="H286" t="s">
        <v>23</v>
      </c>
      <c r="I286" s="2">
        <v>34726.269999999997</v>
      </c>
      <c r="J286" s="2" t="s">
        <v>24</v>
      </c>
      <c r="K28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10417.880999999999</v>
      </c>
      <c r="L286" s="3">
        <v>45974</v>
      </c>
      <c r="M286" s="11" t="s">
        <v>25</v>
      </c>
      <c r="N28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24308.388999999996</v>
      </c>
      <c r="O28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46036</v>
      </c>
      <c r="P286" t="s">
        <v>25</v>
      </c>
      <c r="Q286" t="s">
        <v>31</v>
      </c>
      <c r="R286" s="1">
        <v>46030</v>
      </c>
      <c r="S286"/>
    </row>
    <row r="287" spans="2:21" ht="18.75" customHeight="1">
      <c r="B287" s="1">
        <v>45853</v>
      </c>
      <c r="C287" s="7" t="s">
        <v>530</v>
      </c>
      <c r="D287" s="1">
        <v>45964</v>
      </c>
      <c r="E287" s="29" t="s">
        <v>531</v>
      </c>
      <c r="F287" s="1"/>
      <c r="G287" s="1"/>
      <c r="H287" t="s">
        <v>196</v>
      </c>
      <c r="I287" s="2">
        <v>26536</v>
      </c>
      <c r="J287" s="2" t="s">
        <v>78</v>
      </c>
      <c r="K28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13268</v>
      </c>
      <c r="L287" s="3">
        <v>45961</v>
      </c>
      <c r="M287" s="11" t="s">
        <v>25</v>
      </c>
      <c r="N28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13268</v>
      </c>
      <c r="O28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46024</v>
      </c>
      <c r="P287" t="s">
        <v>25</v>
      </c>
      <c r="Q287" t="s">
        <v>532</v>
      </c>
      <c r="S287"/>
    </row>
    <row r="288" spans="2:21" ht="18.75" customHeight="1">
      <c r="B288" s="1">
        <v>45917</v>
      </c>
      <c r="C288" s="7" t="s">
        <v>533</v>
      </c>
      <c r="D288" s="1">
        <v>45964</v>
      </c>
      <c r="E288" s="29" t="s">
        <v>534</v>
      </c>
      <c r="F288" s="1"/>
      <c r="G288" s="1"/>
      <c r="H288" t="s">
        <v>196</v>
      </c>
      <c r="I288" s="2">
        <v>12889</v>
      </c>
      <c r="J288" s="2" t="s">
        <v>78</v>
      </c>
      <c r="K28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6444.5</v>
      </c>
      <c r="L288" s="3">
        <v>45961</v>
      </c>
      <c r="M288" s="11" t="s">
        <v>25</v>
      </c>
      <c r="N28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6444.5</v>
      </c>
      <c r="O28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46024</v>
      </c>
      <c r="P288" t="s">
        <v>25</v>
      </c>
      <c r="Q288" t="s">
        <v>535</v>
      </c>
      <c r="S288"/>
    </row>
    <row r="289" spans="2:21" ht="18.75" hidden="1" customHeight="1">
      <c r="B289" s="56">
        <v>46072</v>
      </c>
      <c r="C289" s="57" t="s">
        <v>536</v>
      </c>
      <c r="D289" s="48">
        <v>46108</v>
      </c>
      <c r="E289" s="50">
        <v>358</v>
      </c>
      <c r="F289" s="48"/>
      <c r="G289" s="48"/>
      <c r="H289" s="49" t="s">
        <v>301</v>
      </c>
      <c r="I289" s="58">
        <v>31.28</v>
      </c>
      <c r="J289" s="51" t="s">
        <v>55</v>
      </c>
      <c r="K28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89" s="52"/>
      <c r="M289" s="58"/>
      <c r="N28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31.28</v>
      </c>
      <c r="O289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289" s="49" t="s">
        <v>25</v>
      </c>
      <c r="Q289" s="49" t="s">
        <v>537</v>
      </c>
      <c r="R289" s="48">
        <v>46107</v>
      </c>
      <c r="S289" s="59" t="s">
        <v>45</v>
      </c>
      <c r="T289" s="49"/>
      <c r="U289" s="49" t="s">
        <v>32</v>
      </c>
    </row>
    <row r="290" spans="2:21" ht="18.75" hidden="1" customHeight="1">
      <c r="B290" s="44">
        <v>45949</v>
      </c>
      <c r="C290" t="s">
        <v>538</v>
      </c>
      <c r="D290" s="1">
        <v>45976</v>
      </c>
      <c r="E290" s="29" t="s">
        <v>539</v>
      </c>
      <c r="F290" s="1"/>
      <c r="G290" s="1"/>
      <c r="H290" t="s">
        <v>23</v>
      </c>
      <c r="I290" s="2">
        <v>18418.79</v>
      </c>
      <c r="J290" s="2" t="s">
        <v>24</v>
      </c>
      <c r="K29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5525.6369999999997</v>
      </c>
      <c r="L290" s="3">
        <v>45974</v>
      </c>
      <c r="M290" s="11" t="s">
        <v>25</v>
      </c>
      <c r="N29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12893.153</v>
      </c>
      <c r="O29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46036</v>
      </c>
      <c r="P290" t="s">
        <v>25</v>
      </c>
      <c r="Q290" t="s">
        <v>492</v>
      </c>
      <c r="R290" s="1">
        <v>46030</v>
      </c>
      <c r="S290"/>
    </row>
    <row r="291" spans="2:21" ht="18.75" hidden="1" customHeight="1">
      <c r="B291" s="56"/>
      <c r="C291" s="57"/>
      <c r="D291" s="48">
        <v>46141</v>
      </c>
      <c r="E291" s="50" t="s">
        <v>540</v>
      </c>
      <c r="F291" s="48"/>
      <c r="G291" s="48"/>
      <c r="H291" s="49" t="s">
        <v>432</v>
      </c>
      <c r="I291" s="51">
        <v>2000</v>
      </c>
      <c r="J291" s="51" t="s">
        <v>43</v>
      </c>
      <c r="K29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91" s="52"/>
      <c r="M291" s="58"/>
      <c r="N29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2000</v>
      </c>
      <c r="O29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46141</v>
      </c>
      <c r="P291" s="49" t="s">
        <v>25</v>
      </c>
      <c r="Q291" s="49" t="s">
        <v>541</v>
      </c>
      <c r="R291" s="48">
        <v>46156</v>
      </c>
      <c r="S291" s="59" t="s">
        <v>45</v>
      </c>
      <c r="T291" s="49"/>
      <c r="U291" s="49"/>
    </row>
    <row r="292" spans="2:21" ht="18.75" hidden="1" customHeight="1">
      <c r="B292" s="1">
        <v>45982</v>
      </c>
      <c r="C292" t="s">
        <v>542</v>
      </c>
      <c r="D292" s="1">
        <v>46031</v>
      </c>
      <c r="E292" s="1" t="s">
        <v>543</v>
      </c>
      <c r="F292" s="1">
        <v>46024</v>
      </c>
      <c r="G292" s="1"/>
      <c r="H292" t="s">
        <v>301</v>
      </c>
      <c r="I292" s="2">
        <v>44.96</v>
      </c>
      <c r="J292" s="2" t="s">
        <v>55</v>
      </c>
      <c r="K29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92" s="3"/>
      <c r="M292" s="11"/>
      <c r="N29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44.96</v>
      </c>
      <c r="O29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46024</v>
      </c>
      <c r="P292" t="s">
        <v>25</v>
      </c>
      <c r="Q292" t="s">
        <v>91</v>
      </c>
      <c r="R292" s="1"/>
      <c r="S292" t="s">
        <v>45</v>
      </c>
      <c r="T292" s="24"/>
    </row>
    <row r="293" spans="2:21" ht="18.75" hidden="1" customHeight="1">
      <c r="B293" s="44">
        <v>45951</v>
      </c>
      <c r="C293" t="s">
        <v>544</v>
      </c>
      <c r="D293" s="1">
        <v>45991</v>
      </c>
      <c r="E293" s="29" t="s">
        <v>545</v>
      </c>
      <c r="F293" s="1"/>
      <c r="G293" s="1"/>
      <c r="H293" t="s">
        <v>23</v>
      </c>
      <c r="I293" s="2">
        <v>4460.76</v>
      </c>
      <c r="J293" s="2" t="s">
        <v>24</v>
      </c>
      <c r="K29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1338.2280000000001</v>
      </c>
      <c r="L293" s="3">
        <v>45988</v>
      </c>
      <c r="M293" s="11" t="s">
        <v>25</v>
      </c>
      <c r="N29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3122.5320000000002</v>
      </c>
      <c r="O29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46051</v>
      </c>
      <c r="P293" t="s">
        <v>25</v>
      </c>
      <c r="Q293" t="s">
        <v>381</v>
      </c>
      <c r="R293" s="1">
        <v>46051</v>
      </c>
      <c r="S293" t="s">
        <v>27</v>
      </c>
    </row>
    <row r="294" spans="2:21" ht="18.75" hidden="1" customHeight="1">
      <c r="B294" s="44">
        <v>45954</v>
      </c>
      <c r="C294" t="s">
        <v>546</v>
      </c>
      <c r="D294" s="1">
        <v>45991</v>
      </c>
      <c r="E294" s="29" t="s">
        <v>547</v>
      </c>
      <c r="F294" s="1"/>
      <c r="G294" s="1"/>
      <c r="H294" t="s">
        <v>23</v>
      </c>
      <c r="I294" s="2">
        <v>9333.92</v>
      </c>
      <c r="J294" s="2" t="s">
        <v>24</v>
      </c>
      <c r="K29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2800.1759999999999</v>
      </c>
      <c r="L294" s="3">
        <v>45988</v>
      </c>
      <c r="M294" s="11" t="s">
        <v>25</v>
      </c>
      <c r="N29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6533.7439999999997</v>
      </c>
      <c r="O29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46051</v>
      </c>
      <c r="P294" t="s">
        <v>25</v>
      </c>
      <c r="Q294" t="s">
        <v>120</v>
      </c>
      <c r="R294" s="1">
        <v>46051</v>
      </c>
      <c r="S294" t="s">
        <v>27</v>
      </c>
    </row>
    <row r="295" spans="2:21" ht="18.75" hidden="1" customHeight="1">
      <c r="B295" s="44">
        <v>45954</v>
      </c>
      <c r="C295" t="s">
        <v>548</v>
      </c>
      <c r="D295" s="1">
        <v>45991</v>
      </c>
      <c r="E295" s="29" t="s">
        <v>549</v>
      </c>
      <c r="F295" s="1"/>
      <c r="G295" s="1"/>
      <c r="H295" t="s">
        <v>23</v>
      </c>
      <c r="I295" s="2">
        <v>12575.56</v>
      </c>
      <c r="J295" s="2" t="s">
        <v>24</v>
      </c>
      <c r="K29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3772.6679999999997</v>
      </c>
      <c r="L295" s="3">
        <v>45988</v>
      </c>
      <c r="M295" s="11" t="s">
        <v>25</v>
      </c>
      <c r="N29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8802.8919999999998</v>
      </c>
      <c r="O29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46051</v>
      </c>
      <c r="P295" t="s">
        <v>25</v>
      </c>
      <c r="Q295" t="s">
        <v>550</v>
      </c>
      <c r="R295" s="1">
        <v>46051</v>
      </c>
      <c r="S295" t="s">
        <v>27</v>
      </c>
    </row>
    <row r="296" spans="2:21" ht="18.75" hidden="1" customHeight="1">
      <c r="B296" s="56"/>
      <c r="C296" s="57"/>
      <c r="D296" s="48">
        <v>46154</v>
      </c>
      <c r="E296" s="50">
        <v>348</v>
      </c>
      <c r="F296" s="48">
        <v>46156</v>
      </c>
      <c r="G296" s="48">
        <v>46177</v>
      </c>
      <c r="H296" s="49" t="s">
        <v>551</v>
      </c>
      <c r="I296" s="51">
        <v>2490</v>
      </c>
      <c r="J296" s="51" t="s">
        <v>552</v>
      </c>
      <c r="K296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1245</v>
      </c>
      <c r="L296" s="48">
        <v>46156</v>
      </c>
      <c r="M296" s="49" t="s">
        <v>25</v>
      </c>
      <c r="N296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1245</v>
      </c>
      <c r="O296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46177</v>
      </c>
      <c r="P296" s="49" t="s">
        <v>25</v>
      </c>
      <c r="Q296" s="49" t="s">
        <v>553</v>
      </c>
      <c r="R296" s="48">
        <v>46178</v>
      </c>
      <c r="S296" s="59" t="s">
        <v>27</v>
      </c>
      <c r="T296" s="49"/>
      <c r="U296" s="49"/>
    </row>
    <row r="297" spans="2:21" ht="18.75" hidden="1" customHeight="1">
      <c r="B297" s="56">
        <v>46133</v>
      </c>
      <c r="C297" s="57" t="s">
        <v>554</v>
      </c>
      <c r="D297" s="48">
        <v>46135</v>
      </c>
      <c r="E297" s="50" t="s">
        <v>555</v>
      </c>
      <c r="F297" s="48"/>
      <c r="G297" s="48"/>
      <c r="H297" s="49" t="s">
        <v>69</v>
      </c>
      <c r="I297" s="51">
        <v>21185.38</v>
      </c>
      <c r="J297" s="51" t="s">
        <v>55</v>
      </c>
      <c r="K29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97" s="52"/>
      <c r="M297" s="58"/>
      <c r="N29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21185.38</v>
      </c>
      <c r="O297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297" s="49" t="s">
        <v>25</v>
      </c>
      <c r="Q297" s="49" t="s">
        <v>556</v>
      </c>
      <c r="R297" s="48">
        <v>46134</v>
      </c>
      <c r="S297" s="59" t="s">
        <v>45</v>
      </c>
      <c r="T297" s="49"/>
      <c r="U297" s="49" t="s">
        <v>32</v>
      </c>
    </row>
    <row r="298" spans="2:21" ht="18.75" hidden="1" customHeight="1">
      <c r="B298" s="56"/>
      <c r="C298" s="57"/>
      <c r="D298" s="48">
        <v>46153</v>
      </c>
      <c r="E298" s="50">
        <v>6022000153</v>
      </c>
      <c r="F298" s="48"/>
      <c r="G298" s="48"/>
      <c r="H298" s="49" t="s">
        <v>557</v>
      </c>
      <c r="I298" s="51">
        <v>6002</v>
      </c>
      <c r="J298" s="51" t="s">
        <v>43</v>
      </c>
      <c r="K29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98" s="52"/>
      <c r="M298" s="58"/>
      <c r="N29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6002</v>
      </c>
      <c r="O29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46153</v>
      </c>
      <c r="P298" s="49" t="s">
        <v>25</v>
      </c>
      <c r="Q298" s="49" t="s">
        <v>558</v>
      </c>
      <c r="R298" s="48">
        <v>46156</v>
      </c>
      <c r="S298" s="59" t="s">
        <v>27</v>
      </c>
      <c r="T298" s="49"/>
      <c r="U298" s="49"/>
    </row>
    <row r="299" spans="2:21" ht="18.75" hidden="1" customHeight="1">
      <c r="B299" s="56">
        <v>46134</v>
      </c>
      <c r="C299" s="57" t="s">
        <v>559</v>
      </c>
      <c r="D299" s="48">
        <v>46142</v>
      </c>
      <c r="E299" s="50" t="s">
        <v>560</v>
      </c>
      <c r="F299" s="48"/>
      <c r="G299" s="48"/>
      <c r="H299" s="49" t="s">
        <v>69</v>
      </c>
      <c r="I299" s="51">
        <v>20714.23</v>
      </c>
      <c r="J299" s="51" t="s">
        <v>55</v>
      </c>
      <c r="K29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299" s="52"/>
      <c r="M299" s="58"/>
      <c r="N29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20714.23</v>
      </c>
      <c r="O299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299" s="49" t="s">
        <v>25</v>
      </c>
      <c r="Q299" s="49" t="s">
        <v>561</v>
      </c>
      <c r="R299" s="48">
        <v>46142</v>
      </c>
      <c r="S299" s="59" t="s">
        <v>45</v>
      </c>
      <c r="T299" s="49"/>
      <c r="U299" s="49" t="s">
        <v>32</v>
      </c>
    </row>
    <row r="300" spans="2:21" ht="18.75" customHeight="1">
      <c r="B300" s="1">
        <v>45894</v>
      </c>
      <c r="C300" s="7" t="s">
        <v>562</v>
      </c>
      <c r="D300" s="1">
        <v>45967</v>
      </c>
      <c r="E300" s="29" t="s">
        <v>563</v>
      </c>
      <c r="F300" s="1"/>
      <c r="G300" s="1"/>
      <c r="H300" t="s">
        <v>196</v>
      </c>
      <c r="I300" s="2">
        <v>20105</v>
      </c>
      <c r="J300" s="2" t="s">
        <v>78</v>
      </c>
      <c r="K30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10052.5</v>
      </c>
      <c r="L300" s="3">
        <v>45967</v>
      </c>
      <c r="M300" s="11" t="s">
        <v>25</v>
      </c>
      <c r="N30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10052.5</v>
      </c>
      <c r="O30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46027</v>
      </c>
      <c r="P300" t="s">
        <v>25</v>
      </c>
      <c r="Q300" t="s">
        <v>564</v>
      </c>
      <c r="S300"/>
    </row>
    <row r="301" spans="2:21" s="49" customFormat="1" ht="18.75" hidden="1" customHeight="1">
      <c r="B301" s="56"/>
      <c r="C301" s="57"/>
      <c r="D301" s="48">
        <v>46155</v>
      </c>
      <c r="E301" s="50" t="s">
        <v>565</v>
      </c>
      <c r="F301" s="48">
        <v>46156</v>
      </c>
      <c r="G301" s="48">
        <v>46184</v>
      </c>
      <c r="H301" s="49" t="s">
        <v>566</v>
      </c>
      <c r="I301" s="51">
        <v>440</v>
      </c>
      <c r="J301" s="51" t="s">
        <v>552</v>
      </c>
      <c r="K30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220</v>
      </c>
      <c r="L301" s="48">
        <v>46156</v>
      </c>
      <c r="M301" s="49" t="s">
        <v>25</v>
      </c>
      <c r="N30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220</v>
      </c>
      <c r="O30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46184</v>
      </c>
      <c r="P301" s="49" t="s">
        <v>25</v>
      </c>
      <c r="Q301" s="49" t="s">
        <v>567</v>
      </c>
      <c r="R301" s="48">
        <v>46148</v>
      </c>
      <c r="S301" s="59"/>
    </row>
    <row r="302" spans="2:21" s="49" customFormat="1" ht="18.75" hidden="1" customHeight="1">
      <c r="B302" s="56"/>
      <c r="C302" s="57"/>
      <c r="D302" s="48">
        <v>46155</v>
      </c>
      <c r="E302" s="50" t="s">
        <v>568</v>
      </c>
      <c r="F302" s="48"/>
      <c r="G302" s="48"/>
      <c r="H302" s="49" t="s">
        <v>569</v>
      </c>
      <c r="I302" s="51">
        <v>18.3</v>
      </c>
      <c r="J302" s="51" t="s">
        <v>43</v>
      </c>
      <c r="K30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02" s="52"/>
      <c r="M302" s="58"/>
      <c r="N30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18.3</v>
      </c>
      <c r="O30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46155</v>
      </c>
      <c r="P302" s="49" t="s">
        <v>25</v>
      </c>
      <c r="Q302" s="49" t="s">
        <v>570</v>
      </c>
      <c r="R302" s="48">
        <v>46156</v>
      </c>
      <c r="S302" s="59" t="s">
        <v>27</v>
      </c>
    </row>
    <row r="303" spans="2:21" s="49" customFormat="1" ht="18.75" hidden="1" customHeight="1">
      <c r="B303" s="56"/>
      <c r="C303" s="57"/>
      <c r="D303" s="48">
        <v>46154</v>
      </c>
      <c r="E303" s="50">
        <v>557643</v>
      </c>
      <c r="F303" s="48"/>
      <c r="G303" s="48"/>
      <c r="H303" s="49" t="s">
        <v>571</v>
      </c>
      <c r="I303" s="51">
        <v>2780</v>
      </c>
      <c r="J303" s="51" t="s">
        <v>43</v>
      </c>
      <c r="K30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03" s="52"/>
      <c r="M303" s="58"/>
      <c r="N30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2780</v>
      </c>
      <c r="O30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46154</v>
      </c>
      <c r="P303" s="49" t="s">
        <v>25</v>
      </c>
      <c r="Q303" s="49" t="s">
        <v>572</v>
      </c>
      <c r="R303" s="48">
        <v>46156</v>
      </c>
      <c r="S303" s="59" t="s">
        <v>45</v>
      </c>
    </row>
    <row r="304" spans="2:21" s="49" customFormat="1" ht="18.75" hidden="1" customHeight="1">
      <c r="B304" s="56"/>
      <c r="C304" s="57"/>
      <c r="D304" s="48">
        <v>46148</v>
      </c>
      <c r="E304" s="50" t="s">
        <v>573</v>
      </c>
      <c r="F304" s="48"/>
      <c r="G304" s="48"/>
      <c r="H304" s="49" t="s">
        <v>574</v>
      </c>
      <c r="I304" s="51">
        <v>13402.5</v>
      </c>
      <c r="J304" s="51" t="s">
        <v>43</v>
      </c>
      <c r="K30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04" s="52"/>
      <c r="M304" s="58"/>
      <c r="N30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13402.5</v>
      </c>
      <c r="O30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46148</v>
      </c>
      <c r="P304" s="49" t="s">
        <v>25</v>
      </c>
      <c r="Q304" s="49" t="s">
        <v>575</v>
      </c>
      <c r="R304" s="48">
        <v>46156</v>
      </c>
      <c r="S304" s="59" t="s">
        <v>45</v>
      </c>
    </row>
    <row r="305" spans="2:21" s="49" customFormat="1" ht="18.75" hidden="1" customHeight="1">
      <c r="B305" s="56">
        <v>46140</v>
      </c>
      <c r="C305" s="57" t="s">
        <v>576</v>
      </c>
      <c r="D305" s="48">
        <v>46211</v>
      </c>
      <c r="E305" s="50" t="s">
        <v>577</v>
      </c>
      <c r="F305" s="48"/>
      <c r="G305" s="48"/>
      <c r="H305" s="49" t="s">
        <v>69</v>
      </c>
      <c r="I305" s="51">
        <v>12392.67</v>
      </c>
      <c r="J305" s="51" t="s">
        <v>55</v>
      </c>
      <c r="K305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05" s="52"/>
      <c r="M305" s="58"/>
      <c r="N305" s="135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12392.67</v>
      </c>
      <c r="O305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305" s="49" t="s">
        <v>25</v>
      </c>
      <c r="Q305" s="49" t="s">
        <v>79</v>
      </c>
      <c r="R305" s="48">
        <v>46205</v>
      </c>
      <c r="S305" s="59" t="s">
        <v>45</v>
      </c>
    </row>
    <row r="306" spans="2:21" s="49" customFormat="1" ht="18.75" hidden="1" customHeight="1">
      <c r="B306" s="56"/>
      <c r="C306" s="57"/>
      <c r="D306" s="48">
        <v>46160</v>
      </c>
      <c r="E306" s="50" t="s">
        <v>578</v>
      </c>
      <c r="F306" s="48"/>
      <c r="G306" s="48"/>
      <c r="H306" s="49" t="s">
        <v>579</v>
      </c>
      <c r="I306" s="51">
        <v>6982.88</v>
      </c>
      <c r="J306" s="51" t="s">
        <v>55</v>
      </c>
      <c r="K30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06" s="52"/>
      <c r="M306" s="58"/>
      <c r="N30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6982.88</v>
      </c>
      <c r="O306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306" s="49" t="s">
        <v>25</v>
      </c>
      <c r="Q306" s="49" t="s">
        <v>580</v>
      </c>
      <c r="R306" s="48">
        <v>46163</v>
      </c>
      <c r="S306" s="59" t="s">
        <v>45</v>
      </c>
    </row>
    <row r="307" spans="2:21" s="49" customFormat="1" ht="18.75" hidden="1" customHeight="1">
      <c r="B307" s="56"/>
      <c r="C307" s="57"/>
      <c r="D307" s="48">
        <v>46111</v>
      </c>
      <c r="E307" s="50" t="s">
        <v>581</v>
      </c>
      <c r="F307" s="48"/>
      <c r="G307" s="48"/>
      <c r="H307" s="49" t="s">
        <v>92</v>
      </c>
      <c r="I307" s="51">
        <v>1168.5</v>
      </c>
      <c r="J307" s="51" t="s">
        <v>43</v>
      </c>
      <c r="K30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07" s="52"/>
      <c r="M307" s="58"/>
      <c r="N30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1168.5</v>
      </c>
      <c r="O30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46111</v>
      </c>
      <c r="P307" s="49" t="s">
        <v>25</v>
      </c>
      <c r="Q307" s="49" t="s">
        <v>582</v>
      </c>
      <c r="R307" s="48">
        <v>46156</v>
      </c>
      <c r="S307" s="59" t="s">
        <v>94</v>
      </c>
    </row>
    <row r="308" spans="2:21" s="49" customFormat="1" ht="18.75" hidden="1" customHeight="1">
      <c r="B308" s="1"/>
      <c r="C308"/>
      <c r="D308" s="1">
        <v>46002</v>
      </c>
      <c r="E308" s="29" t="s">
        <v>583</v>
      </c>
      <c r="F308" s="1"/>
      <c r="G308" s="1"/>
      <c r="H308" t="s">
        <v>29</v>
      </c>
      <c r="I308" s="41">
        <v>36063.730000000003</v>
      </c>
      <c r="J308" s="41" t="s">
        <v>30</v>
      </c>
      <c r="K30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08" s="43"/>
      <c r="M308" s="42"/>
      <c r="N30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36063.730000000003</v>
      </c>
      <c r="O30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46062</v>
      </c>
      <c r="P308" t="s">
        <v>25</v>
      </c>
      <c r="Q308" t="s">
        <v>381</v>
      </c>
      <c r="R308" s="1">
        <v>46059</v>
      </c>
      <c r="S308" t="s">
        <v>27</v>
      </c>
      <c r="T308" s="24"/>
      <c r="U308"/>
    </row>
    <row r="309" spans="2:21" s="49" customFormat="1" ht="18.75" hidden="1" customHeight="1">
      <c r="B309" s="1"/>
      <c r="C309"/>
      <c r="D309" s="1">
        <v>46002</v>
      </c>
      <c r="E309" s="29" t="s">
        <v>584</v>
      </c>
      <c r="F309" s="1"/>
      <c r="G309" s="1"/>
      <c r="H309" t="s">
        <v>29</v>
      </c>
      <c r="I309" s="41">
        <v>25438.639999999999</v>
      </c>
      <c r="J309" s="41" t="s">
        <v>30</v>
      </c>
      <c r="K30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09" s="43"/>
      <c r="M309" s="42"/>
      <c r="N30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25438.639999999999</v>
      </c>
      <c r="O30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46062</v>
      </c>
      <c r="P309" t="s">
        <v>25</v>
      </c>
      <c r="Q309" t="s">
        <v>514</v>
      </c>
      <c r="R309" s="1">
        <v>46059</v>
      </c>
      <c r="S309" t="s">
        <v>27</v>
      </c>
      <c r="T309" s="24"/>
      <c r="U309"/>
    </row>
    <row r="310" spans="2:21" s="49" customFormat="1" ht="18.75" hidden="1" customHeight="1">
      <c r="B310" s="1"/>
      <c r="C310"/>
      <c r="D310" s="1">
        <v>46006</v>
      </c>
      <c r="E310" s="29" t="s">
        <v>585</v>
      </c>
      <c r="F310" s="1"/>
      <c r="G310" s="1"/>
      <c r="H310" t="s">
        <v>29</v>
      </c>
      <c r="I310" s="41">
        <v>2509.1999999999998</v>
      </c>
      <c r="J310" s="41" t="s">
        <v>30</v>
      </c>
      <c r="K31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10" s="43"/>
      <c r="M310" s="42"/>
      <c r="N31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2509.1999999999998</v>
      </c>
      <c r="O31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46066</v>
      </c>
      <c r="P310" t="s">
        <v>25</v>
      </c>
      <c r="Q310" t="s">
        <v>586</v>
      </c>
      <c r="R310" s="1">
        <v>46063</v>
      </c>
      <c r="S310" t="s">
        <v>183</v>
      </c>
      <c r="T310" s="24"/>
      <c r="U310"/>
    </row>
    <row r="311" spans="2:21" s="49" customFormat="1" ht="18.75" hidden="1" customHeight="1">
      <c r="B311" s="1"/>
      <c r="C311"/>
      <c r="D311" s="1">
        <v>46006</v>
      </c>
      <c r="E311" s="29" t="s">
        <v>587</v>
      </c>
      <c r="F311" s="1"/>
      <c r="G311" s="1"/>
      <c r="H311" t="s">
        <v>29</v>
      </c>
      <c r="I311" s="41">
        <v>42672.79</v>
      </c>
      <c r="J311" s="41" t="s">
        <v>30</v>
      </c>
      <c r="K31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11" s="43"/>
      <c r="M311" s="42"/>
      <c r="N31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42672.79</v>
      </c>
      <c r="O31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46066</v>
      </c>
      <c r="P311" t="s">
        <v>25</v>
      </c>
      <c r="Q311" t="s">
        <v>101</v>
      </c>
      <c r="R311" s="1">
        <v>46063</v>
      </c>
      <c r="S311" t="s">
        <v>183</v>
      </c>
      <c r="T311" s="24"/>
      <c r="U311"/>
    </row>
    <row r="312" spans="2:21" s="49" customFormat="1" ht="18.75" hidden="1" customHeight="1">
      <c r="B312" s="1"/>
      <c r="C312"/>
      <c r="D312" s="1">
        <v>46007</v>
      </c>
      <c r="E312" s="29" t="s">
        <v>588</v>
      </c>
      <c r="F312" s="1"/>
      <c r="G312" s="1"/>
      <c r="H312" t="s">
        <v>29</v>
      </c>
      <c r="I312" s="2">
        <v>27306.6</v>
      </c>
      <c r="J312" s="2" t="s">
        <v>30</v>
      </c>
      <c r="K31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12" s="3"/>
      <c r="M312" s="11"/>
      <c r="N31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27306.6</v>
      </c>
      <c r="O31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46067</v>
      </c>
      <c r="P312" t="s">
        <v>25</v>
      </c>
      <c r="Q312" t="s">
        <v>494</v>
      </c>
      <c r="R312" s="1">
        <v>46063</v>
      </c>
      <c r="S312" t="s">
        <v>183</v>
      </c>
      <c r="T312" s="24"/>
      <c r="U312"/>
    </row>
    <row r="313" spans="2:21" ht="18.75" hidden="1" customHeight="1">
      <c r="B313" s="1"/>
      <c r="C313"/>
      <c r="D313" s="1">
        <v>46007</v>
      </c>
      <c r="E313" s="29" t="s">
        <v>589</v>
      </c>
      <c r="F313" s="1"/>
      <c r="G313" s="1"/>
      <c r="H313" t="s">
        <v>29</v>
      </c>
      <c r="I313" s="2">
        <v>42672.79</v>
      </c>
      <c r="J313" s="2" t="s">
        <v>30</v>
      </c>
      <c r="K31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13" s="3"/>
      <c r="M313" s="11"/>
      <c r="N31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42672.79</v>
      </c>
      <c r="O31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46067</v>
      </c>
      <c r="P313" t="s">
        <v>25</v>
      </c>
      <c r="Q313" t="s">
        <v>126</v>
      </c>
      <c r="R313" s="1">
        <v>46063</v>
      </c>
      <c r="S313" t="s">
        <v>183</v>
      </c>
      <c r="T313" s="24"/>
    </row>
    <row r="314" spans="2:21" ht="18.75" hidden="1" customHeight="1">
      <c r="B314" s="1"/>
      <c r="C314"/>
      <c r="D314" s="1">
        <v>46008</v>
      </c>
      <c r="E314" s="29" t="s">
        <v>590</v>
      </c>
      <c r="F314" s="1"/>
      <c r="G314" s="1"/>
      <c r="H314" t="s">
        <v>29</v>
      </c>
      <c r="I314" s="41">
        <v>27918.04</v>
      </c>
      <c r="J314" s="41" t="s">
        <v>30</v>
      </c>
      <c r="K31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14" s="43"/>
      <c r="M314" s="42"/>
      <c r="N31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27918.04</v>
      </c>
      <c r="O31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46068</v>
      </c>
      <c r="P314" t="s">
        <v>25</v>
      </c>
      <c r="Q314" t="s">
        <v>494</v>
      </c>
      <c r="R314" s="1">
        <v>46063</v>
      </c>
      <c r="S314" t="s">
        <v>183</v>
      </c>
      <c r="T314" s="24"/>
    </row>
    <row r="315" spans="2:21" ht="18.75" hidden="1" customHeight="1">
      <c r="B315" s="1"/>
      <c r="C315"/>
      <c r="D315" s="1">
        <v>46009</v>
      </c>
      <c r="E315" s="29" t="s">
        <v>591</v>
      </c>
      <c r="F315" s="1"/>
      <c r="G315" s="1"/>
      <c r="H315" t="s">
        <v>29</v>
      </c>
      <c r="I315" s="41">
        <v>31248.799999999999</v>
      </c>
      <c r="J315" s="41" t="s">
        <v>30</v>
      </c>
      <c r="K31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15" s="43"/>
      <c r="M315" s="42"/>
      <c r="N31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31248.799999999999</v>
      </c>
      <c r="O31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46069</v>
      </c>
      <c r="P315" t="s">
        <v>25</v>
      </c>
      <c r="Q315" t="s">
        <v>31</v>
      </c>
      <c r="R315" s="1">
        <v>46063</v>
      </c>
      <c r="S315" t="s">
        <v>183</v>
      </c>
      <c r="T315" s="24"/>
    </row>
    <row r="316" spans="2:21" ht="18.75" hidden="1" customHeight="1">
      <c r="B316" s="1"/>
      <c r="C316"/>
      <c r="D316" s="1">
        <v>46009</v>
      </c>
      <c r="E316" s="29" t="s">
        <v>592</v>
      </c>
      <c r="F316" s="1"/>
      <c r="G316" s="1"/>
      <c r="H316" t="s">
        <v>29</v>
      </c>
      <c r="I316" s="2">
        <v>31248.799999999999</v>
      </c>
      <c r="J316" s="2" t="s">
        <v>30</v>
      </c>
      <c r="K31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16" s="3"/>
      <c r="M316" s="11"/>
      <c r="N31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31248.799999999999</v>
      </c>
      <c r="O31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46069</v>
      </c>
      <c r="P316" t="s">
        <v>25</v>
      </c>
      <c r="Q316" t="s">
        <v>31</v>
      </c>
      <c r="R316" s="1">
        <v>46063</v>
      </c>
      <c r="S316" t="s">
        <v>183</v>
      </c>
      <c r="T316" s="24"/>
    </row>
    <row r="317" spans="2:21" ht="18.75" hidden="1" customHeight="1">
      <c r="B317" s="1"/>
      <c r="C317"/>
      <c r="D317" s="1">
        <v>46020</v>
      </c>
      <c r="E317" s="29" t="s">
        <v>593</v>
      </c>
      <c r="F317" s="1"/>
      <c r="G317" s="1"/>
      <c r="H317" t="s">
        <v>29</v>
      </c>
      <c r="I317" s="41">
        <v>15675.2</v>
      </c>
      <c r="J317" s="41" t="s">
        <v>30</v>
      </c>
      <c r="K31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17" s="43"/>
      <c r="M317" s="42"/>
      <c r="N31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15675.2</v>
      </c>
      <c r="O31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46080</v>
      </c>
      <c r="P317" t="s">
        <v>25</v>
      </c>
      <c r="Q317" t="s">
        <v>594</v>
      </c>
      <c r="R317" s="1">
        <v>46063</v>
      </c>
      <c r="S317" t="s">
        <v>183</v>
      </c>
      <c r="T317" s="24"/>
    </row>
    <row r="318" spans="2:21" ht="18.75" hidden="1" customHeight="1">
      <c r="B318" s="1"/>
      <c r="C318"/>
      <c r="D318" s="1">
        <v>46020</v>
      </c>
      <c r="E318" s="29" t="s">
        <v>595</v>
      </c>
      <c r="F318" s="1"/>
      <c r="G318" s="1"/>
      <c r="H318" t="s">
        <v>29</v>
      </c>
      <c r="I318" s="41">
        <v>17923.97</v>
      </c>
      <c r="J318" s="41" t="s">
        <v>30</v>
      </c>
      <c r="K31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18" s="43"/>
      <c r="M318" s="42"/>
      <c r="N31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17923.97</v>
      </c>
      <c r="O31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46080</v>
      </c>
      <c r="P318" t="s">
        <v>25</v>
      </c>
      <c r="Q318" t="s">
        <v>596</v>
      </c>
      <c r="R318" s="1">
        <v>46063</v>
      </c>
      <c r="S318" t="s">
        <v>183</v>
      </c>
      <c r="T318" s="24"/>
    </row>
    <row r="319" spans="2:21" ht="18.75" hidden="1" customHeight="1">
      <c r="B319" s="1"/>
      <c r="C319"/>
      <c r="D319" s="1">
        <v>46021</v>
      </c>
      <c r="E319" s="29" t="s">
        <v>597</v>
      </c>
      <c r="F319" s="1"/>
      <c r="G319" s="1"/>
      <c r="H319" t="s">
        <v>29</v>
      </c>
      <c r="I319" s="41">
        <v>16331.23</v>
      </c>
      <c r="J319" s="41" t="s">
        <v>30</v>
      </c>
      <c r="K31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19" s="43"/>
      <c r="M319" s="42"/>
      <c r="N31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16331.23</v>
      </c>
      <c r="O31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46081</v>
      </c>
      <c r="P319" t="s">
        <v>25</v>
      </c>
      <c r="Q319" t="s">
        <v>70</v>
      </c>
      <c r="R319" s="1">
        <v>46063</v>
      </c>
      <c r="S319" t="s">
        <v>183</v>
      </c>
      <c r="T319" s="24"/>
    </row>
    <row r="320" spans="2:21" ht="18.75" hidden="1" customHeight="1">
      <c r="B320" s="1"/>
      <c r="C320"/>
      <c r="D320" s="1">
        <v>46021</v>
      </c>
      <c r="E320" s="29" t="s">
        <v>598</v>
      </c>
      <c r="F320" s="1"/>
      <c r="G320" s="1"/>
      <c r="H320" t="s">
        <v>29</v>
      </c>
      <c r="I320" s="41">
        <v>13258.65</v>
      </c>
      <c r="J320" s="41" t="s">
        <v>30</v>
      </c>
      <c r="K32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20" s="43"/>
      <c r="M320" s="42"/>
      <c r="N32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13258.65</v>
      </c>
      <c r="O32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46081</v>
      </c>
      <c r="P320" t="s">
        <v>25</v>
      </c>
      <c r="Q320" t="s">
        <v>91</v>
      </c>
      <c r="R320" s="1">
        <v>46063</v>
      </c>
      <c r="S320" t="s">
        <v>183</v>
      </c>
      <c r="T320" s="24"/>
    </row>
    <row r="321" spans="2:21" ht="18.75" hidden="1" customHeight="1">
      <c r="B321" s="1"/>
      <c r="C321"/>
      <c r="D321" s="1">
        <v>46034</v>
      </c>
      <c r="E321" s="29" t="s">
        <v>599</v>
      </c>
      <c r="F321" s="1"/>
      <c r="G321" s="1"/>
      <c r="H321" t="s">
        <v>29</v>
      </c>
      <c r="I321" s="2">
        <v>30361.05</v>
      </c>
      <c r="J321" s="2" t="s">
        <v>30</v>
      </c>
      <c r="K32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21" s="3"/>
      <c r="M321" s="11"/>
      <c r="N32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30361.05</v>
      </c>
      <c r="O32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46094</v>
      </c>
      <c r="P321" t="s">
        <v>25</v>
      </c>
      <c r="Q321" t="s">
        <v>31</v>
      </c>
      <c r="R321" s="1">
        <v>46063</v>
      </c>
      <c r="S321" t="s">
        <v>183</v>
      </c>
      <c r="T321" s="24"/>
      <c r="U321" t="s">
        <v>32</v>
      </c>
    </row>
    <row r="322" spans="2:21" ht="18.75" hidden="1" customHeight="1">
      <c r="B322" s="1"/>
      <c r="C322"/>
      <c r="D322" s="1">
        <v>46034</v>
      </c>
      <c r="E322" s="29" t="s">
        <v>600</v>
      </c>
      <c r="F322" s="1"/>
      <c r="G322" s="1"/>
      <c r="H322" t="s">
        <v>29</v>
      </c>
      <c r="I322" s="41">
        <v>10897.67</v>
      </c>
      <c r="J322" s="41" t="s">
        <v>30</v>
      </c>
      <c r="K32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22" s="43"/>
      <c r="M322" s="42"/>
      <c r="N32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10897.67</v>
      </c>
      <c r="O32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46094</v>
      </c>
      <c r="P322" t="s">
        <v>25</v>
      </c>
      <c r="Q322" t="s">
        <v>594</v>
      </c>
      <c r="R322" s="1">
        <v>46063</v>
      </c>
      <c r="S322" t="s">
        <v>183</v>
      </c>
      <c r="T322" s="24"/>
      <c r="U322" t="s">
        <v>32</v>
      </c>
    </row>
    <row r="323" spans="2:21" ht="18.75" hidden="1" customHeight="1">
      <c r="B323" s="1"/>
      <c r="C323"/>
      <c r="D323" s="1">
        <v>46034</v>
      </c>
      <c r="E323" s="29" t="s">
        <v>601</v>
      </c>
      <c r="F323" s="1"/>
      <c r="G323" s="1"/>
      <c r="H323" t="s">
        <v>29</v>
      </c>
      <c r="I323" s="41">
        <v>14067.86</v>
      </c>
      <c r="J323" s="41" t="s">
        <v>30</v>
      </c>
      <c r="K32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23" s="43"/>
      <c r="M323" s="42"/>
      <c r="N32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14067.86</v>
      </c>
      <c r="O32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46094</v>
      </c>
      <c r="P323" t="s">
        <v>25</v>
      </c>
      <c r="Q323" t="s">
        <v>602</v>
      </c>
      <c r="R323" s="1">
        <v>46063</v>
      </c>
      <c r="S323" t="s">
        <v>183</v>
      </c>
      <c r="T323" s="24"/>
      <c r="U323" t="s">
        <v>32</v>
      </c>
    </row>
    <row r="324" spans="2:21" ht="18.75" hidden="1" customHeight="1">
      <c r="B324" s="1"/>
      <c r="C324"/>
      <c r="D324" s="1">
        <v>46034</v>
      </c>
      <c r="E324" s="29" t="s">
        <v>603</v>
      </c>
      <c r="F324" s="1"/>
      <c r="G324" s="1"/>
      <c r="H324" t="s">
        <v>29</v>
      </c>
      <c r="I324" s="2">
        <v>11270.23</v>
      </c>
      <c r="J324" s="2" t="s">
        <v>30</v>
      </c>
      <c r="K32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24" s="3"/>
      <c r="M324" s="11"/>
      <c r="N32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11270.23</v>
      </c>
      <c r="O32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46094</v>
      </c>
      <c r="P324" t="s">
        <v>25</v>
      </c>
      <c r="Q324" t="s">
        <v>70</v>
      </c>
      <c r="R324" s="1">
        <v>46063</v>
      </c>
      <c r="S324" t="s">
        <v>183</v>
      </c>
      <c r="T324" s="24"/>
      <c r="U324" t="s">
        <v>32</v>
      </c>
    </row>
    <row r="325" spans="2:21" ht="18.75" hidden="1" customHeight="1">
      <c r="B325" s="1"/>
      <c r="C325"/>
      <c r="D325" s="1">
        <v>46034</v>
      </c>
      <c r="E325" s="29" t="s">
        <v>604</v>
      </c>
      <c r="F325" s="1"/>
      <c r="G325" s="1"/>
      <c r="H325" t="s">
        <v>29</v>
      </c>
      <c r="I325" s="2">
        <v>14669.53</v>
      </c>
      <c r="J325" s="2" t="s">
        <v>30</v>
      </c>
      <c r="K32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25" s="3"/>
      <c r="M325" s="11"/>
      <c r="N32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14669.53</v>
      </c>
      <c r="O32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46094</v>
      </c>
      <c r="P325" t="s">
        <v>25</v>
      </c>
      <c r="Q325" t="s">
        <v>91</v>
      </c>
      <c r="R325" s="1">
        <v>46063</v>
      </c>
      <c r="S325" t="s">
        <v>183</v>
      </c>
      <c r="T325" s="24"/>
      <c r="U325" t="s">
        <v>32</v>
      </c>
    </row>
    <row r="326" spans="2:21" ht="18.75" hidden="1" customHeight="1">
      <c r="B326" s="1"/>
      <c r="C326"/>
      <c r="D326" s="1">
        <v>46035</v>
      </c>
      <c r="E326" s="29" t="s">
        <v>605</v>
      </c>
      <c r="F326" s="1"/>
      <c r="G326" s="1"/>
      <c r="H326" t="s">
        <v>29</v>
      </c>
      <c r="I326" s="2">
        <v>23205.599999999999</v>
      </c>
      <c r="J326" s="2" t="s">
        <v>30</v>
      </c>
      <c r="K32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26" s="3"/>
      <c r="M326" s="11"/>
      <c r="N32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23205.599999999999</v>
      </c>
      <c r="O32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46095</v>
      </c>
      <c r="P326" t="s">
        <v>25</v>
      </c>
      <c r="Q326" t="s">
        <v>31</v>
      </c>
      <c r="R326" s="1">
        <v>46063</v>
      </c>
      <c r="S326" t="s">
        <v>183</v>
      </c>
      <c r="T326" s="24"/>
      <c r="U326" t="s">
        <v>32</v>
      </c>
    </row>
    <row r="327" spans="2:21" ht="18.75" hidden="1" customHeight="1">
      <c r="B327" s="1"/>
      <c r="C327"/>
      <c r="D327" s="1">
        <v>46035</v>
      </c>
      <c r="E327" s="29" t="s">
        <v>606</v>
      </c>
      <c r="F327" s="1"/>
      <c r="G327" s="1"/>
      <c r="H327" t="s">
        <v>29</v>
      </c>
      <c r="I327" s="2">
        <v>16116.6</v>
      </c>
      <c r="J327" s="2" t="s">
        <v>30</v>
      </c>
      <c r="K32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27" s="3"/>
      <c r="M327" s="11"/>
      <c r="N32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16116.6</v>
      </c>
      <c r="O32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46095</v>
      </c>
      <c r="P327" t="s">
        <v>25</v>
      </c>
      <c r="Q327" t="s">
        <v>31</v>
      </c>
      <c r="R327" s="1">
        <v>46063</v>
      </c>
      <c r="S327" t="s">
        <v>183</v>
      </c>
      <c r="T327" s="24"/>
      <c r="U327" t="s">
        <v>32</v>
      </c>
    </row>
    <row r="328" spans="2:21" s="49" customFormat="1" ht="18.75" hidden="1" customHeight="1">
      <c r="B328" s="1"/>
      <c r="C328"/>
      <c r="D328" s="1">
        <v>46038</v>
      </c>
      <c r="E328" s="29" t="s">
        <v>607</v>
      </c>
      <c r="F328" s="1"/>
      <c r="G328" s="1"/>
      <c r="H328" t="s">
        <v>29</v>
      </c>
      <c r="I328" s="41">
        <v>26595.91</v>
      </c>
      <c r="J328" s="41" t="s">
        <v>30</v>
      </c>
      <c r="K32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28" s="43"/>
      <c r="M328" s="42"/>
      <c r="N32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26595.91</v>
      </c>
      <c r="O32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46098</v>
      </c>
      <c r="P328" t="s">
        <v>25</v>
      </c>
      <c r="Q328" t="s">
        <v>594</v>
      </c>
      <c r="R328" s="1">
        <v>46063</v>
      </c>
      <c r="S328" t="s">
        <v>183</v>
      </c>
      <c r="T328" s="24"/>
      <c r="U328" t="s">
        <v>32</v>
      </c>
    </row>
    <row r="329" spans="2:21" ht="18.75" hidden="1" customHeight="1">
      <c r="B329" s="1"/>
      <c r="C329"/>
      <c r="D329" s="1">
        <v>46038</v>
      </c>
      <c r="E329" s="29" t="s">
        <v>608</v>
      </c>
      <c r="F329" s="1"/>
      <c r="G329" s="1"/>
      <c r="H329" t="s">
        <v>29</v>
      </c>
      <c r="I329" s="41">
        <v>29697.599999999999</v>
      </c>
      <c r="J329" s="41" t="s">
        <v>30</v>
      </c>
      <c r="K32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29" s="43"/>
      <c r="M329" s="42"/>
      <c r="N32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29697.599999999999</v>
      </c>
      <c r="O32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46098</v>
      </c>
      <c r="P329" t="s">
        <v>25</v>
      </c>
      <c r="Q329" t="s">
        <v>31</v>
      </c>
      <c r="R329" s="1">
        <v>46063</v>
      </c>
      <c r="S329" t="s">
        <v>183</v>
      </c>
      <c r="T329" s="24"/>
      <c r="U329" t="s">
        <v>32</v>
      </c>
    </row>
    <row r="330" spans="2:21" ht="18.75" hidden="1" customHeight="1">
      <c r="B330" s="1"/>
      <c r="D330" s="1">
        <v>46041</v>
      </c>
      <c r="E330" s="29" t="s">
        <v>609</v>
      </c>
      <c r="F330" s="1"/>
      <c r="G330" s="1"/>
      <c r="H330" t="s">
        <v>29</v>
      </c>
      <c r="I330" s="41">
        <v>26081.5</v>
      </c>
      <c r="J330" s="41" t="s">
        <v>30</v>
      </c>
      <c r="K33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30" s="43"/>
      <c r="N33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26081.5</v>
      </c>
      <c r="O33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46101</v>
      </c>
      <c r="P330" t="s">
        <v>25</v>
      </c>
      <c r="Q330" t="s">
        <v>610</v>
      </c>
      <c r="R330" s="1">
        <v>46063</v>
      </c>
      <c r="S330" s="24" t="s">
        <v>183</v>
      </c>
      <c r="U330" t="s">
        <v>32</v>
      </c>
    </row>
    <row r="331" spans="2:21" ht="18.75" hidden="1" customHeight="1">
      <c r="B331" s="1"/>
      <c r="D331" s="1">
        <v>46041</v>
      </c>
      <c r="E331" s="29" t="s">
        <v>611</v>
      </c>
      <c r="F331" s="1"/>
      <c r="G331" s="1"/>
      <c r="H331" t="s">
        <v>29</v>
      </c>
      <c r="I331" s="2">
        <v>26791.83</v>
      </c>
      <c r="J331" s="2" t="s">
        <v>30</v>
      </c>
      <c r="K33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31" s="3"/>
      <c r="N33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26791.83</v>
      </c>
      <c r="O33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46101</v>
      </c>
      <c r="P331" t="s">
        <v>25</v>
      </c>
      <c r="Q331" t="s">
        <v>70</v>
      </c>
      <c r="R331" s="1">
        <v>46063</v>
      </c>
      <c r="S331" s="24" t="s">
        <v>183</v>
      </c>
      <c r="U331" t="s">
        <v>32</v>
      </c>
    </row>
    <row r="332" spans="2:21" s="49" customFormat="1" ht="18.75" hidden="1" customHeight="1">
      <c r="B332" s="1"/>
      <c r="C332" s="7"/>
      <c r="D332" s="1">
        <v>46041</v>
      </c>
      <c r="E332" s="29" t="s">
        <v>612</v>
      </c>
      <c r="F332" s="1"/>
      <c r="G332" s="1"/>
      <c r="H332" t="s">
        <v>29</v>
      </c>
      <c r="I332" s="41">
        <v>43629.7</v>
      </c>
      <c r="J332" s="41" t="s">
        <v>30</v>
      </c>
      <c r="K33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32" s="43"/>
      <c r="M332"/>
      <c r="N33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43629.7</v>
      </c>
      <c r="O33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46101</v>
      </c>
      <c r="P332" t="s">
        <v>25</v>
      </c>
      <c r="Q332" t="s">
        <v>126</v>
      </c>
      <c r="R332" s="1">
        <v>46063</v>
      </c>
      <c r="S332" s="24" t="s">
        <v>183</v>
      </c>
      <c r="T332"/>
      <c r="U332" t="s">
        <v>32</v>
      </c>
    </row>
    <row r="333" spans="2:21" ht="18.75" hidden="1" customHeight="1">
      <c r="B333" s="1"/>
      <c r="D333" s="1">
        <v>46042</v>
      </c>
      <c r="E333" s="29" t="s">
        <v>613</v>
      </c>
      <c r="F333" s="1"/>
      <c r="G333" s="1"/>
      <c r="H333" t="s">
        <v>29</v>
      </c>
      <c r="I333" s="2">
        <v>27283.85</v>
      </c>
      <c r="J333" s="2" t="s">
        <v>30</v>
      </c>
      <c r="K33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33" s="3"/>
      <c r="N33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27283.85</v>
      </c>
      <c r="O33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46102</v>
      </c>
      <c r="P333" t="s">
        <v>25</v>
      </c>
      <c r="Q333" t="s">
        <v>31</v>
      </c>
      <c r="R333" s="1">
        <v>46094</v>
      </c>
      <c r="U333" t="s">
        <v>32</v>
      </c>
    </row>
    <row r="334" spans="2:21" ht="18.75" hidden="1" customHeight="1">
      <c r="B334" s="1"/>
      <c r="D334" s="1">
        <v>46042</v>
      </c>
      <c r="E334" s="29" t="s">
        <v>614</v>
      </c>
      <c r="F334" s="1"/>
      <c r="G334" s="1"/>
      <c r="H334" t="s">
        <v>29</v>
      </c>
      <c r="I334" s="2">
        <v>28562.78</v>
      </c>
      <c r="J334" s="2" t="s">
        <v>30</v>
      </c>
      <c r="K33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34" s="3"/>
      <c r="N33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28562.78</v>
      </c>
      <c r="O33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46102</v>
      </c>
      <c r="P334" t="s">
        <v>25</v>
      </c>
      <c r="Q334" t="s">
        <v>615</v>
      </c>
      <c r="R334" s="1">
        <v>46094</v>
      </c>
      <c r="U334" t="s">
        <v>32</v>
      </c>
    </row>
    <row r="335" spans="2:21" ht="18.75" hidden="1" customHeight="1">
      <c r="B335" s="1"/>
      <c r="D335" s="1">
        <v>46042</v>
      </c>
      <c r="E335" s="29" t="s">
        <v>616</v>
      </c>
      <c r="F335" s="1"/>
      <c r="G335" s="1"/>
      <c r="H335" t="s">
        <v>29</v>
      </c>
      <c r="I335" s="2">
        <v>31901.5</v>
      </c>
      <c r="J335" s="2" t="s">
        <v>30</v>
      </c>
      <c r="K33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35" s="3"/>
      <c r="N33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31901.5</v>
      </c>
      <c r="O33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46102</v>
      </c>
      <c r="P335" t="s">
        <v>25</v>
      </c>
      <c r="Q335" t="s">
        <v>31</v>
      </c>
      <c r="R335" s="1">
        <v>46094</v>
      </c>
      <c r="U335" t="s">
        <v>32</v>
      </c>
    </row>
    <row r="336" spans="2:21" s="49" customFormat="1" ht="18.75" hidden="1" customHeight="1">
      <c r="B336" s="1"/>
      <c r="C336" s="7"/>
      <c r="D336" s="1">
        <v>46042</v>
      </c>
      <c r="E336" s="29" t="s">
        <v>617</v>
      </c>
      <c r="F336" s="1"/>
      <c r="G336" s="1"/>
      <c r="H336" t="s">
        <v>29</v>
      </c>
      <c r="I336" s="2">
        <v>42345.41</v>
      </c>
      <c r="J336" s="2" t="s">
        <v>30</v>
      </c>
      <c r="K33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36" s="3"/>
      <c r="M336"/>
      <c r="N33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42345.41</v>
      </c>
      <c r="O33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46102</v>
      </c>
      <c r="P336" t="s">
        <v>25</v>
      </c>
      <c r="Q336" t="s">
        <v>101</v>
      </c>
      <c r="R336" s="1">
        <v>46094</v>
      </c>
      <c r="S336" s="24"/>
      <c r="T336"/>
      <c r="U336" t="s">
        <v>32</v>
      </c>
    </row>
    <row r="337" spans="2:21" ht="18.75" hidden="1" customHeight="1">
      <c r="B337" s="1"/>
      <c r="D337" s="1">
        <v>46043</v>
      </c>
      <c r="E337" s="29" t="s">
        <v>618</v>
      </c>
      <c r="F337" s="1"/>
      <c r="G337" s="1"/>
      <c r="H337" t="s">
        <v>29</v>
      </c>
      <c r="I337" s="2">
        <v>23916.5</v>
      </c>
      <c r="J337" s="2" t="s">
        <v>30</v>
      </c>
      <c r="K33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37" s="3"/>
      <c r="N33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23916.5</v>
      </c>
      <c r="O33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46103</v>
      </c>
      <c r="P337" t="s">
        <v>25</v>
      </c>
      <c r="Q337" t="s">
        <v>31</v>
      </c>
      <c r="R337" s="1">
        <v>46094</v>
      </c>
      <c r="U337" t="s">
        <v>32</v>
      </c>
    </row>
    <row r="338" spans="2:21" ht="18.75" hidden="1" customHeight="1">
      <c r="B338" s="1"/>
      <c r="D338" s="1">
        <v>46043</v>
      </c>
      <c r="E338" s="29" t="s">
        <v>619</v>
      </c>
      <c r="F338" s="1"/>
      <c r="G338" s="1"/>
      <c r="H338" t="s">
        <v>29</v>
      </c>
      <c r="I338" s="2">
        <v>9416</v>
      </c>
      <c r="J338" s="2" t="s">
        <v>30</v>
      </c>
      <c r="K33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38" s="3"/>
      <c r="N33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9416</v>
      </c>
      <c r="O33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46103</v>
      </c>
      <c r="P338" t="s">
        <v>25</v>
      </c>
      <c r="Q338" t="s">
        <v>477</v>
      </c>
      <c r="R338" s="1">
        <v>46094</v>
      </c>
      <c r="U338" t="s">
        <v>32</v>
      </c>
    </row>
    <row r="339" spans="2:21" ht="18.75" hidden="1" customHeight="1">
      <c r="B339" s="1"/>
      <c r="D339" s="1">
        <v>46044</v>
      </c>
      <c r="E339" s="29" t="s">
        <v>620</v>
      </c>
      <c r="F339" s="1"/>
      <c r="G339" s="1"/>
      <c r="H339" t="s">
        <v>29</v>
      </c>
      <c r="I339" s="2">
        <v>42663.45</v>
      </c>
      <c r="J339" s="2" t="s">
        <v>30</v>
      </c>
      <c r="K33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39" s="3"/>
      <c r="N33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42663.45</v>
      </c>
      <c r="O33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46104</v>
      </c>
      <c r="P339" t="s">
        <v>25</v>
      </c>
      <c r="Q339" t="s">
        <v>126</v>
      </c>
      <c r="R339" s="1">
        <v>46094</v>
      </c>
      <c r="U339" t="s">
        <v>32</v>
      </c>
    </row>
    <row r="340" spans="2:21" s="49" customFormat="1" ht="18.75" hidden="1" customHeight="1">
      <c r="B340" s="1"/>
      <c r="C340" s="7"/>
      <c r="D340" s="1">
        <v>46045</v>
      </c>
      <c r="E340" s="29" t="s">
        <v>621</v>
      </c>
      <c r="F340" s="1"/>
      <c r="G340" s="1"/>
      <c r="H340" t="s">
        <v>29</v>
      </c>
      <c r="I340" s="2">
        <v>34565.599999999999</v>
      </c>
      <c r="J340" s="2" t="s">
        <v>30</v>
      </c>
      <c r="K34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40" s="3"/>
      <c r="M340"/>
      <c r="N34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34565.599999999999</v>
      </c>
      <c r="O34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46105</v>
      </c>
      <c r="P340" t="s">
        <v>25</v>
      </c>
      <c r="Q340" t="s">
        <v>31</v>
      </c>
      <c r="R340" s="1">
        <v>46094</v>
      </c>
      <c r="S340" s="24"/>
      <c r="T340"/>
      <c r="U340" t="s">
        <v>32</v>
      </c>
    </row>
    <row r="341" spans="2:21" s="49" customFormat="1" ht="18.75" hidden="1" customHeight="1">
      <c r="B341" s="1"/>
      <c r="C341" s="7"/>
      <c r="D341" s="1">
        <v>46048</v>
      </c>
      <c r="E341" s="29" t="s">
        <v>622</v>
      </c>
      <c r="F341" s="1"/>
      <c r="G341" s="1"/>
      <c r="H341" s="9" t="s">
        <v>29</v>
      </c>
      <c r="I341" s="2">
        <v>32351.34</v>
      </c>
      <c r="J341" s="2" t="s">
        <v>30</v>
      </c>
      <c r="K34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41" s="3"/>
      <c r="M341"/>
      <c r="N34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32351.34</v>
      </c>
      <c r="O34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46108</v>
      </c>
      <c r="P341" t="s">
        <v>25</v>
      </c>
      <c r="Q341" s="9" t="s">
        <v>31</v>
      </c>
      <c r="R341" s="1">
        <v>46094</v>
      </c>
      <c r="S341" s="24"/>
      <c r="T341"/>
      <c r="U341" t="s">
        <v>32</v>
      </c>
    </row>
    <row r="342" spans="2:21" s="49" customFormat="1" ht="18.75" hidden="1" customHeight="1">
      <c r="B342" s="1"/>
      <c r="C342" s="7"/>
      <c r="D342" s="1">
        <v>46048</v>
      </c>
      <c r="E342" s="29" t="s">
        <v>623</v>
      </c>
      <c r="F342" s="1"/>
      <c r="G342" s="1"/>
      <c r="H342" s="9" t="s">
        <v>29</v>
      </c>
      <c r="I342" s="2">
        <v>42497.8</v>
      </c>
      <c r="J342" s="2" t="s">
        <v>30</v>
      </c>
      <c r="K34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42" s="3"/>
      <c r="M342"/>
      <c r="N34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42497.8</v>
      </c>
      <c r="O34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46108</v>
      </c>
      <c r="P342" t="s">
        <v>25</v>
      </c>
      <c r="Q342" t="s">
        <v>126</v>
      </c>
      <c r="R342" s="1">
        <v>46094</v>
      </c>
      <c r="S342" s="24"/>
      <c r="T342"/>
      <c r="U342" t="s">
        <v>32</v>
      </c>
    </row>
    <row r="343" spans="2:21" s="49" customFormat="1" ht="18.75" hidden="1" customHeight="1">
      <c r="B343" s="1"/>
      <c r="C343" s="7"/>
      <c r="D343" s="1">
        <v>46049</v>
      </c>
      <c r="E343" s="29" t="s">
        <v>624</v>
      </c>
      <c r="F343" s="1"/>
      <c r="G343" s="1"/>
      <c r="H343" s="9" t="s">
        <v>29</v>
      </c>
      <c r="I343" s="2">
        <v>46724.1</v>
      </c>
      <c r="J343" s="2" t="s">
        <v>30</v>
      </c>
      <c r="K34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43" s="3"/>
      <c r="M343"/>
      <c r="N34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46724.1</v>
      </c>
      <c r="O34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46109</v>
      </c>
      <c r="P343" t="s">
        <v>25</v>
      </c>
      <c r="Q343" t="s">
        <v>126</v>
      </c>
      <c r="R343" s="1">
        <v>46094</v>
      </c>
      <c r="S343" s="24"/>
      <c r="T343"/>
      <c r="U343" t="s">
        <v>32</v>
      </c>
    </row>
    <row r="344" spans="2:21" s="49" customFormat="1" ht="18.75" hidden="1" customHeight="1">
      <c r="B344" s="1"/>
      <c r="C344" s="7"/>
      <c r="D344" s="1">
        <v>46049</v>
      </c>
      <c r="E344" s="29" t="s">
        <v>625</v>
      </c>
      <c r="F344" s="1"/>
      <c r="G344" s="1"/>
      <c r="H344" s="9" t="s">
        <v>29</v>
      </c>
      <c r="I344" s="2">
        <v>32468.1</v>
      </c>
      <c r="J344" s="2" t="s">
        <v>30</v>
      </c>
      <c r="K34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44" s="3"/>
      <c r="M344" s="11"/>
      <c r="N34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32468.1</v>
      </c>
      <c r="O34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46109</v>
      </c>
      <c r="P344" t="s">
        <v>25</v>
      </c>
      <c r="Q344" t="s">
        <v>31</v>
      </c>
      <c r="R344" s="1">
        <v>46094</v>
      </c>
      <c r="S344" s="24"/>
      <c r="T344"/>
      <c r="U344" t="s">
        <v>32</v>
      </c>
    </row>
    <row r="345" spans="2:21" s="49" customFormat="1" ht="18.75" hidden="1" customHeight="1">
      <c r="B345" s="1"/>
      <c r="C345" s="7"/>
      <c r="D345" s="1">
        <v>46050</v>
      </c>
      <c r="E345" s="29" t="s">
        <v>626</v>
      </c>
      <c r="F345" s="1"/>
      <c r="G345" s="1"/>
      <c r="H345" s="9" t="s">
        <v>29</v>
      </c>
      <c r="I345" s="2">
        <v>546</v>
      </c>
      <c r="J345" s="2" t="s">
        <v>30</v>
      </c>
      <c r="K34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45" s="3"/>
      <c r="M345" s="11"/>
      <c r="N34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546</v>
      </c>
      <c r="O34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46110</v>
      </c>
      <c r="P345" t="s">
        <v>25</v>
      </c>
      <c r="Q345" t="s">
        <v>488</v>
      </c>
      <c r="R345" s="1">
        <v>46094</v>
      </c>
      <c r="S345" s="24"/>
      <c r="T345"/>
      <c r="U345" t="s">
        <v>32</v>
      </c>
    </row>
    <row r="346" spans="2:21" s="49" customFormat="1" ht="18.75" hidden="1" customHeight="1">
      <c r="B346" s="1"/>
      <c r="C346" s="7"/>
      <c r="D346" s="1">
        <v>46052</v>
      </c>
      <c r="E346" s="29" t="s">
        <v>627</v>
      </c>
      <c r="F346" s="1"/>
      <c r="G346" s="1"/>
      <c r="H346" s="9" t="s">
        <v>29</v>
      </c>
      <c r="I346" s="2">
        <v>33021.78</v>
      </c>
      <c r="J346" s="2" t="s">
        <v>30</v>
      </c>
      <c r="K34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46" s="3"/>
      <c r="M346" s="11"/>
      <c r="N34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33021.78</v>
      </c>
      <c r="O34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46112</v>
      </c>
      <c r="P346" t="s">
        <v>25</v>
      </c>
      <c r="Q346" t="s">
        <v>31</v>
      </c>
      <c r="R346" s="1">
        <v>46094</v>
      </c>
      <c r="S346" s="24"/>
      <c r="T346"/>
      <c r="U346" t="s">
        <v>32</v>
      </c>
    </row>
    <row r="347" spans="2:21" s="49" customFormat="1" ht="18.75" hidden="1" customHeight="1">
      <c r="B347" s="1"/>
      <c r="C347" s="7"/>
      <c r="D347" s="1">
        <v>46052</v>
      </c>
      <c r="E347" s="29" t="s">
        <v>628</v>
      </c>
      <c r="F347" s="1"/>
      <c r="G347" s="1"/>
      <c r="H347" s="9" t="s">
        <v>29</v>
      </c>
      <c r="I347" s="2">
        <v>26867.24</v>
      </c>
      <c r="J347" s="2" t="s">
        <v>30</v>
      </c>
      <c r="K34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47" s="3"/>
      <c r="M347" s="11"/>
      <c r="N34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26867.24</v>
      </c>
      <c r="O34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46112</v>
      </c>
      <c r="P347" t="s">
        <v>25</v>
      </c>
      <c r="Q347" t="s">
        <v>138</v>
      </c>
      <c r="R347" s="1">
        <v>46094</v>
      </c>
      <c r="S347" s="24"/>
      <c r="T347"/>
      <c r="U347" t="s">
        <v>32</v>
      </c>
    </row>
    <row r="348" spans="2:21" ht="18.75" hidden="1" customHeight="1">
      <c r="B348" s="1"/>
      <c r="D348" s="1">
        <v>46052</v>
      </c>
      <c r="E348" s="29" t="s">
        <v>629</v>
      </c>
      <c r="F348" s="1"/>
      <c r="G348" s="1"/>
      <c r="H348" s="9" t="s">
        <v>29</v>
      </c>
      <c r="I348" s="2">
        <v>51451.040000000001</v>
      </c>
      <c r="J348" s="2" t="s">
        <v>30</v>
      </c>
      <c r="K34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48" s="3"/>
      <c r="M348" s="11"/>
      <c r="N34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51451.040000000001</v>
      </c>
      <c r="O34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46112</v>
      </c>
      <c r="P348" t="s">
        <v>25</v>
      </c>
      <c r="Q348" t="s">
        <v>101</v>
      </c>
      <c r="R348" s="1">
        <v>46094</v>
      </c>
      <c r="U348" t="s">
        <v>32</v>
      </c>
    </row>
    <row r="349" spans="2:21" s="49" customFormat="1" ht="18.75" hidden="1" customHeight="1">
      <c r="B349" s="1"/>
      <c r="C349" s="7"/>
      <c r="D349" s="1">
        <v>46055</v>
      </c>
      <c r="E349" s="29" t="s">
        <v>630</v>
      </c>
      <c r="F349" s="1"/>
      <c r="G349" s="1"/>
      <c r="H349" s="9" t="s">
        <v>29</v>
      </c>
      <c r="I349" s="11">
        <v>28474.240000000002</v>
      </c>
      <c r="J349" s="2" t="s">
        <v>30</v>
      </c>
      <c r="K34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49" s="3"/>
      <c r="M349" s="11"/>
      <c r="N34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28474.240000000002</v>
      </c>
      <c r="O34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46115</v>
      </c>
      <c r="P349" t="s">
        <v>25</v>
      </c>
      <c r="Q349" t="s">
        <v>138</v>
      </c>
      <c r="R349" s="40">
        <v>46107</v>
      </c>
      <c r="S349" s="24" t="s">
        <v>27</v>
      </c>
      <c r="T349"/>
      <c r="U349" t="s">
        <v>32</v>
      </c>
    </row>
    <row r="350" spans="2:21" s="49" customFormat="1" ht="18.75" hidden="1" customHeight="1">
      <c r="B350" s="1"/>
      <c r="C350" s="7"/>
      <c r="D350" s="1">
        <v>46055</v>
      </c>
      <c r="E350" s="29" t="s">
        <v>631</v>
      </c>
      <c r="F350" s="1"/>
      <c r="G350" s="1"/>
      <c r="H350" s="9" t="s">
        <v>29</v>
      </c>
      <c r="I350" s="11">
        <v>41127.31</v>
      </c>
      <c r="J350" s="2" t="s">
        <v>30</v>
      </c>
      <c r="K35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50" s="3"/>
      <c r="M350"/>
      <c r="N35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41127.31</v>
      </c>
      <c r="O35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46115</v>
      </c>
      <c r="P350" t="s">
        <v>25</v>
      </c>
      <c r="Q350" t="s">
        <v>101</v>
      </c>
      <c r="R350" s="40">
        <v>46107</v>
      </c>
      <c r="S350" s="24" t="s">
        <v>27</v>
      </c>
      <c r="T350"/>
      <c r="U350" t="s">
        <v>32</v>
      </c>
    </row>
    <row r="351" spans="2:21" ht="18.75" hidden="1" customHeight="1">
      <c r="B351" s="1"/>
      <c r="D351" s="1">
        <v>46055</v>
      </c>
      <c r="E351" s="29" t="s">
        <v>632</v>
      </c>
      <c r="F351" s="1"/>
      <c r="G351" s="1"/>
      <c r="H351" s="9" t="s">
        <v>29</v>
      </c>
      <c r="I351" s="42">
        <v>26350.23</v>
      </c>
      <c r="J351" s="41" t="s">
        <v>30</v>
      </c>
      <c r="K35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51" s="43"/>
      <c r="N35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26350.23</v>
      </c>
      <c r="O35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46115</v>
      </c>
      <c r="P351" t="s">
        <v>25</v>
      </c>
      <c r="Q351" t="s">
        <v>129</v>
      </c>
      <c r="R351" s="40">
        <v>46107</v>
      </c>
      <c r="S351" s="24" t="s">
        <v>27</v>
      </c>
      <c r="U351" t="s">
        <v>32</v>
      </c>
    </row>
    <row r="352" spans="2:21" s="49" customFormat="1" ht="18.75" hidden="1" customHeight="1">
      <c r="B352" s="56"/>
      <c r="C352" s="57"/>
      <c r="D352" s="48">
        <v>46132</v>
      </c>
      <c r="E352" s="50" t="s">
        <v>633</v>
      </c>
      <c r="F352" s="48"/>
      <c r="G352" s="48"/>
      <c r="H352" s="49" t="s">
        <v>634</v>
      </c>
      <c r="I352" s="51">
        <v>598.29999999999995</v>
      </c>
      <c r="J352" s="51" t="s">
        <v>43</v>
      </c>
      <c r="K35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52" s="52"/>
      <c r="M352" s="51"/>
      <c r="N35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598.29999999999995</v>
      </c>
      <c r="O35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46132</v>
      </c>
      <c r="P352" s="49" t="s">
        <v>25</v>
      </c>
      <c r="R352" s="48">
        <v>46149</v>
      </c>
      <c r="S352" s="59" t="s">
        <v>27</v>
      </c>
    </row>
    <row r="353" spans="2:21" ht="18.75" hidden="1" customHeight="1">
      <c r="B353" s="44">
        <v>46143</v>
      </c>
      <c r="D353" s="1"/>
      <c r="E353" s="29"/>
      <c r="F353" s="1"/>
      <c r="G353" s="1"/>
      <c r="H353" t="s">
        <v>155</v>
      </c>
      <c r="I353" s="2">
        <v>2000</v>
      </c>
      <c r="J353" s="2" t="s">
        <v>55</v>
      </c>
      <c r="K35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53" s="3"/>
      <c r="M353" s="2"/>
      <c r="N35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2000</v>
      </c>
      <c r="O353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353" s="49" t="s">
        <v>25</v>
      </c>
      <c r="Q353" t="s">
        <v>635</v>
      </c>
      <c r="R353" s="1">
        <v>46149</v>
      </c>
      <c r="S353" s="24" t="s">
        <v>27</v>
      </c>
      <c r="U353" s="49"/>
    </row>
    <row r="354" spans="2:21" ht="18.75" hidden="1" customHeight="1">
      <c r="B354" s="83"/>
      <c r="C354" s="77"/>
      <c r="D354" s="76">
        <v>46134</v>
      </c>
      <c r="E354" s="78" t="s">
        <v>636</v>
      </c>
      <c r="F354" s="76"/>
      <c r="G354" s="76"/>
      <c r="H354" s="63" t="s">
        <v>181</v>
      </c>
      <c r="I354" s="79">
        <v>61.5</v>
      </c>
      <c r="J354" s="79" t="s">
        <v>55</v>
      </c>
      <c r="K354" s="172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54" s="80"/>
      <c r="M354" s="81"/>
      <c r="N354" s="17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61.5</v>
      </c>
      <c r="O354" s="173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354" s="63" t="s">
        <v>25</v>
      </c>
      <c r="Q354" s="63" t="s">
        <v>637</v>
      </c>
      <c r="R354" s="76">
        <v>46149</v>
      </c>
      <c r="S354" s="82" t="s">
        <v>94</v>
      </c>
      <c r="T354" s="63"/>
      <c r="U354" s="63"/>
    </row>
    <row r="355" spans="2:21" ht="18.75" hidden="1" customHeight="1">
      <c r="B355" s="44"/>
      <c r="D355" s="1">
        <v>46148</v>
      </c>
      <c r="E355" s="29" t="s">
        <v>638</v>
      </c>
      <c r="F355" s="1"/>
      <c r="G355" s="1"/>
      <c r="H355" t="s">
        <v>171</v>
      </c>
      <c r="I355" s="2">
        <v>3360.59</v>
      </c>
      <c r="J355" s="2" t="s">
        <v>55</v>
      </c>
      <c r="K35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55" s="3"/>
      <c r="M355" s="2"/>
      <c r="N35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3360.59</v>
      </c>
      <c r="O355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355" s="49" t="s">
        <v>25</v>
      </c>
      <c r="Q355" t="s">
        <v>639</v>
      </c>
      <c r="R355" s="1">
        <v>46149</v>
      </c>
      <c r="S355" s="24" t="s">
        <v>27</v>
      </c>
      <c r="U355" s="49"/>
    </row>
    <row r="356" spans="2:21" s="49" customFormat="1" ht="18.75" hidden="1" customHeight="1">
      <c r="B356" s="56">
        <v>46143</v>
      </c>
      <c r="C356" s="57"/>
      <c r="D356" s="48">
        <v>46146</v>
      </c>
      <c r="E356" s="50" t="s">
        <v>640</v>
      </c>
      <c r="F356" s="48"/>
      <c r="G356" s="48"/>
      <c r="H356" s="49" t="s">
        <v>162</v>
      </c>
      <c r="I356" s="51">
        <v>1300</v>
      </c>
      <c r="J356" s="51" t="s">
        <v>55</v>
      </c>
      <c r="K356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56" s="52"/>
      <c r="M356" s="51"/>
      <c r="N356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1300</v>
      </c>
      <c r="O356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356" s="49" t="s">
        <v>25</v>
      </c>
      <c r="Q356" s="49" t="s">
        <v>641</v>
      </c>
      <c r="R356" s="48">
        <v>46149</v>
      </c>
      <c r="S356" s="59" t="s">
        <v>27</v>
      </c>
    </row>
    <row r="357" spans="2:21" ht="18.75" hidden="1" customHeight="1">
      <c r="B357" s="56">
        <v>46140</v>
      </c>
      <c r="C357" s="57" t="s">
        <v>642</v>
      </c>
      <c r="D357" s="48">
        <v>46142</v>
      </c>
      <c r="E357" s="50" t="s">
        <v>643</v>
      </c>
      <c r="F357" s="48"/>
      <c r="G357" s="48"/>
      <c r="H357" s="49" t="s">
        <v>69</v>
      </c>
      <c r="I357" s="51">
        <v>22559.75</v>
      </c>
      <c r="J357" s="51" t="s">
        <v>55</v>
      </c>
      <c r="K35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57" s="52"/>
      <c r="M357" s="58"/>
      <c r="N35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22559.75</v>
      </c>
      <c r="O357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357" s="49" t="s">
        <v>25</v>
      </c>
      <c r="Q357" s="49" t="s">
        <v>644</v>
      </c>
      <c r="R357" s="48">
        <v>46142</v>
      </c>
      <c r="S357" s="59" t="s">
        <v>45</v>
      </c>
      <c r="T357" s="49"/>
      <c r="U357" s="49" t="s">
        <v>32</v>
      </c>
    </row>
    <row r="358" spans="2:21" s="49" customFormat="1" ht="18.75" hidden="1" customHeight="1">
      <c r="B358" s="56">
        <v>46143</v>
      </c>
      <c r="C358" s="57"/>
      <c r="D358" s="48">
        <v>46147</v>
      </c>
      <c r="E358" s="50" t="s">
        <v>645</v>
      </c>
      <c r="F358" s="48"/>
      <c r="G358" s="48"/>
      <c r="H358" s="49" t="s">
        <v>148</v>
      </c>
      <c r="I358" s="51">
        <v>2702</v>
      </c>
      <c r="J358" s="51" t="s">
        <v>55</v>
      </c>
      <c r="K358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58" s="52"/>
      <c r="M358" s="51"/>
      <c r="N358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2702</v>
      </c>
      <c r="O358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358" s="49" t="s">
        <v>25</v>
      </c>
      <c r="Q358" s="49" t="s">
        <v>646</v>
      </c>
      <c r="R358" s="48">
        <v>46149</v>
      </c>
      <c r="S358" s="59" t="s">
        <v>27</v>
      </c>
    </row>
    <row r="359" spans="2:21" ht="18.75" hidden="1" customHeight="1">
      <c r="B359" s="116">
        <v>46071</v>
      </c>
      <c r="C359" s="117" t="s">
        <v>647</v>
      </c>
      <c r="D359" s="118">
        <v>46108</v>
      </c>
      <c r="E359" s="119">
        <v>356</v>
      </c>
      <c r="F359" s="118"/>
      <c r="G359" s="118"/>
      <c r="H359" s="120" t="s">
        <v>301</v>
      </c>
      <c r="I359" s="121">
        <v>49.28</v>
      </c>
      <c r="J359" s="121" t="s">
        <v>55</v>
      </c>
      <c r="K35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59" s="122"/>
      <c r="M359" s="121"/>
      <c r="N35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49.28</v>
      </c>
      <c r="O359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359" s="120" t="s">
        <v>25</v>
      </c>
      <c r="Q359" s="120" t="s">
        <v>648</v>
      </c>
      <c r="R359" s="118">
        <v>46107</v>
      </c>
      <c r="S359" s="123" t="s">
        <v>45</v>
      </c>
      <c r="T359" s="120"/>
      <c r="U359" s="120" t="s">
        <v>32</v>
      </c>
    </row>
    <row r="360" spans="2:21" ht="18.75" hidden="1" customHeight="1">
      <c r="B360" s="44"/>
      <c r="D360" s="1">
        <v>46148</v>
      </c>
      <c r="E360" s="29" t="s">
        <v>649</v>
      </c>
      <c r="F360" s="1"/>
      <c r="G360" s="1"/>
      <c r="H360" t="s">
        <v>438</v>
      </c>
      <c r="I360" s="2">
        <v>1000</v>
      </c>
      <c r="J360" s="2" t="s">
        <v>43</v>
      </c>
      <c r="K36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60" s="3"/>
      <c r="M360" s="2"/>
      <c r="N36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1000</v>
      </c>
      <c r="O36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46148</v>
      </c>
      <c r="P360" s="49" t="s">
        <v>25</v>
      </c>
      <c r="Q360" t="s">
        <v>650</v>
      </c>
      <c r="R360" s="1">
        <v>46149</v>
      </c>
      <c r="S360" s="24" t="s">
        <v>27</v>
      </c>
      <c r="U360" s="49"/>
    </row>
    <row r="361" spans="2:21" ht="18.75" hidden="1" customHeight="1">
      <c r="B361" s="45">
        <v>45974</v>
      </c>
      <c r="C361" s="8" t="s">
        <v>651</v>
      </c>
      <c r="D361" s="1">
        <v>46037</v>
      </c>
      <c r="E361" s="29" t="s">
        <v>652</v>
      </c>
      <c r="F361" s="1"/>
      <c r="G361" s="1"/>
      <c r="H361" t="s">
        <v>23</v>
      </c>
      <c r="I361" s="2">
        <v>18203.79</v>
      </c>
      <c r="J361" s="2" t="s">
        <v>24</v>
      </c>
      <c r="K36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5461.1369999999997</v>
      </c>
      <c r="L361" s="6">
        <v>46051</v>
      </c>
      <c r="M361" s="11" t="s">
        <v>25</v>
      </c>
      <c r="N36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12742.653</v>
      </c>
      <c r="O36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46097</v>
      </c>
      <c r="P361" t="s">
        <v>25</v>
      </c>
      <c r="Q361" t="s">
        <v>101</v>
      </c>
      <c r="R361" s="1">
        <v>46093</v>
      </c>
      <c r="S361" t="s">
        <v>27</v>
      </c>
      <c r="U361" t="s">
        <v>32</v>
      </c>
    </row>
    <row r="362" spans="2:21" ht="18.75" hidden="1" customHeight="1">
      <c r="B362" s="45">
        <v>45974</v>
      </c>
      <c r="C362" s="8" t="s">
        <v>653</v>
      </c>
      <c r="D362" s="1">
        <v>46037</v>
      </c>
      <c r="E362" s="29" t="s">
        <v>654</v>
      </c>
      <c r="F362" s="1"/>
      <c r="G362" s="1"/>
      <c r="H362" t="s">
        <v>23</v>
      </c>
      <c r="I362" s="2">
        <v>37629.800000000003</v>
      </c>
      <c r="J362" s="2" t="s">
        <v>24</v>
      </c>
      <c r="K36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11288.94</v>
      </c>
      <c r="L362" s="6">
        <v>46051</v>
      </c>
      <c r="M362" s="11" t="s">
        <v>25</v>
      </c>
      <c r="N36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26340.86</v>
      </c>
      <c r="O36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46097</v>
      </c>
      <c r="P362" t="s">
        <v>25</v>
      </c>
      <c r="Q362" t="s">
        <v>126</v>
      </c>
      <c r="R362" s="1">
        <v>46093</v>
      </c>
      <c r="S362" t="s">
        <v>27</v>
      </c>
      <c r="U362" t="s">
        <v>32</v>
      </c>
    </row>
    <row r="363" spans="2:21" ht="18.75" hidden="1" customHeight="1">
      <c r="B363" s="44">
        <v>45979</v>
      </c>
      <c r="C363" t="s">
        <v>655</v>
      </c>
      <c r="D363" s="1">
        <v>46027</v>
      </c>
      <c r="E363" s="29" t="s">
        <v>656</v>
      </c>
      <c r="F363" s="1"/>
      <c r="G363" s="1"/>
      <c r="H363" t="s">
        <v>23</v>
      </c>
      <c r="I363" s="2">
        <v>3393.4</v>
      </c>
      <c r="J363" s="2" t="s">
        <v>24</v>
      </c>
      <c r="K36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1018.02</v>
      </c>
      <c r="L363" s="5">
        <v>46024</v>
      </c>
      <c r="M363" s="11" t="s">
        <v>25</v>
      </c>
      <c r="N36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2375.38</v>
      </c>
      <c r="O36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46087</v>
      </c>
      <c r="P363" t="s">
        <v>25</v>
      </c>
      <c r="Q363" t="s">
        <v>594</v>
      </c>
      <c r="R363" s="1">
        <v>46086</v>
      </c>
      <c r="S363" t="s">
        <v>27</v>
      </c>
      <c r="U363" t="s">
        <v>32</v>
      </c>
    </row>
    <row r="364" spans="2:21" ht="18.75" hidden="1" customHeight="1">
      <c r="B364" s="44">
        <v>45979</v>
      </c>
      <c r="C364" t="s">
        <v>657</v>
      </c>
      <c r="D364" s="1">
        <v>46027</v>
      </c>
      <c r="E364" s="29" t="s">
        <v>658</v>
      </c>
      <c r="F364" s="1"/>
      <c r="G364" s="1"/>
      <c r="H364" t="s">
        <v>23</v>
      </c>
      <c r="I364" s="2">
        <v>3799.44</v>
      </c>
      <c r="J364" s="2" t="s">
        <v>24</v>
      </c>
      <c r="K36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1139.8319999999999</v>
      </c>
      <c r="L364" s="5">
        <v>46024</v>
      </c>
      <c r="M364" s="11" t="s">
        <v>25</v>
      </c>
      <c r="N36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2659.6079999999997</v>
      </c>
      <c r="O36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46087</v>
      </c>
      <c r="P364" t="s">
        <v>25</v>
      </c>
      <c r="Q364" t="s">
        <v>659</v>
      </c>
      <c r="R364" s="1">
        <v>46086</v>
      </c>
      <c r="S364" t="s">
        <v>27</v>
      </c>
      <c r="U364" t="s">
        <v>32</v>
      </c>
    </row>
    <row r="365" spans="2:21" ht="18.75" hidden="1" customHeight="1">
      <c r="B365" s="44">
        <v>45979</v>
      </c>
      <c r="C365" t="s">
        <v>660</v>
      </c>
      <c r="D365" s="1">
        <v>46027</v>
      </c>
      <c r="E365" s="29" t="s">
        <v>661</v>
      </c>
      <c r="F365" s="1"/>
      <c r="G365" s="1"/>
      <c r="H365" t="s">
        <v>23</v>
      </c>
      <c r="I365" s="2">
        <v>3699.49</v>
      </c>
      <c r="J365" s="2" t="s">
        <v>24</v>
      </c>
      <c r="K36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1109.847</v>
      </c>
      <c r="L365" s="5">
        <v>46024</v>
      </c>
      <c r="M365" s="11" t="s">
        <v>25</v>
      </c>
      <c r="N36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2589.6429999999996</v>
      </c>
      <c r="O36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46087</v>
      </c>
      <c r="P365" t="s">
        <v>25</v>
      </c>
      <c r="Q365" t="s">
        <v>91</v>
      </c>
      <c r="R365" s="1">
        <v>46086</v>
      </c>
      <c r="S365" t="s">
        <v>27</v>
      </c>
      <c r="U365" t="s">
        <v>32</v>
      </c>
    </row>
    <row r="366" spans="2:21" ht="18.75" hidden="1" customHeight="1">
      <c r="B366" s="44">
        <v>45979</v>
      </c>
      <c r="C366" t="s">
        <v>662</v>
      </c>
      <c r="D366" s="1">
        <v>46027</v>
      </c>
      <c r="E366" s="29" t="s">
        <v>663</v>
      </c>
      <c r="F366" s="1"/>
      <c r="G366" s="1"/>
      <c r="H366" t="s">
        <v>23</v>
      </c>
      <c r="I366" s="2">
        <v>3520.73</v>
      </c>
      <c r="J366" s="2" t="s">
        <v>24</v>
      </c>
      <c r="K36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1056.2190000000001</v>
      </c>
      <c r="L366" s="5">
        <v>46024</v>
      </c>
      <c r="M366" s="11" t="s">
        <v>25</v>
      </c>
      <c r="N36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2464.511</v>
      </c>
      <c r="O36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46087</v>
      </c>
      <c r="P366" t="s">
        <v>25</v>
      </c>
      <c r="Q366" t="s">
        <v>70</v>
      </c>
      <c r="R366" s="1">
        <v>46086</v>
      </c>
      <c r="S366" t="s">
        <v>27</v>
      </c>
      <c r="U366" t="s">
        <v>32</v>
      </c>
    </row>
    <row r="367" spans="2:21" ht="18.75" hidden="1" customHeight="1">
      <c r="B367" s="44">
        <v>45987</v>
      </c>
      <c r="C367" t="s">
        <v>664</v>
      </c>
      <c r="D367" s="1">
        <v>46027</v>
      </c>
      <c r="E367" s="29" t="s">
        <v>665</v>
      </c>
      <c r="F367" s="1"/>
      <c r="G367" s="1"/>
      <c r="H367" t="s">
        <v>23</v>
      </c>
      <c r="I367" s="2">
        <v>2049.7399999999998</v>
      </c>
      <c r="J367" s="2" t="s">
        <v>24</v>
      </c>
      <c r="K36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614.92199999999991</v>
      </c>
      <c r="L367" s="5">
        <v>46024</v>
      </c>
      <c r="M367" s="11" t="s">
        <v>25</v>
      </c>
      <c r="N36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1434.8179999999998</v>
      </c>
      <c r="O36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46087</v>
      </c>
      <c r="P367" t="s">
        <v>25</v>
      </c>
      <c r="Q367" t="s">
        <v>666</v>
      </c>
      <c r="R367" s="1">
        <v>46086</v>
      </c>
      <c r="S367" t="s">
        <v>27</v>
      </c>
      <c r="U367" t="s">
        <v>32</v>
      </c>
    </row>
    <row r="368" spans="2:21" ht="18.75" customHeight="1">
      <c r="B368" s="1">
        <v>45873</v>
      </c>
      <c r="C368" s="7" t="s">
        <v>667</v>
      </c>
      <c r="D368" s="1">
        <v>45974</v>
      </c>
      <c r="E368" s="29" t="s">
        <v>668</v>
      </c>
      <c r="F368" s="1"/>
      <c r="G368" s="1"/>
      <c r="H368" t="s">
        <v>196</v>
      </c>
      <c r="I368" s="2">
        <v>18896</v>
      </c>
      <c r="J368" s="2" t="s">
        <v>78</v>
      </c>
      <c r="K36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9448</v>
      </c>
      <c r="L368" s="3">
        <v>45974</v>
      </c>
      <c r="M368" s="11" t="s">
        <v>25</v>
      </c>
      <c r="N36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9448</v>
      </c>
      <c r="O36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46034</v>
      </c>
      <c r="P368" t="s">
        <v>25</v>
      </c>
      <c r="Q368" t="s">
        <v>669</v>
      </c>
      <c r="R368" s="1">
        <v>46030</v>
      </c>
      <c r="S368"/>
    </row>
    <row r="369" spans="2:21" s="49" customFormat="1" ht="18.75" customHeight="1">
      <c r="B369" s="1">
        <v>45860</v>
      </c>
      <c r="C369" s="7" t="s">
        <v>670</v>
      </c>
      <c r="D369" s="1">
        <v>45978</v>
      </c>
      <c r="E369" s="29" t="s">
        <v>671</v>
      </c>
      <c r="F369" s="1"/>
      <c r="G369" s="1"/>
      <c r="H369" t="s">
        <v>196</v>
      </c>
      <c r="I369" s="2">
        <v>109276</v>
      </c>
      <c r="J369" s="2" t="s">
        <v>78</v>
      </c>
      <c r="K36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54638</v>
      </c>
      <c r="L369" s="3">
        <v>45974</v>
      </c>
      <c r="M369" s="11" t="s">
        <v>25</v>
      </c>
      <c r="N36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54638</v>
      </c>
      <c r="O36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46038</v>
      </c>
      <c r="P369" t="s">
        <v>25</v>
      </c>
      <c r="Q369" t="s">
        <v>672</v>
      </c>
      <c r="R369" s="1">
        <v>46037</v>
      </c>
      <c r="S369" t="s">
        <v>27</v>
      </c>
      <c r="T369"/>
      <c r="U369"/>
    </row>
    <row r="370" spans="2:21" ht="18.75" customHeight="1">
      <c r="B370" s="1">
        <v>45945</v>
      </c>
      <c r="C370" s="7" t="s">
        <v>673</v>
      </c>
      <c r="D370" s="1">
        <v>45978</v>
      </c>
      <c r="E370" s="29" t="s">
        <v>674</v>
      </c>
      <c r="F370" s="1"/>
      <c r="G370" s="1"/>
      <c r="H370" t="s">
        <v>196</v>
      </c>
      <c r="I370" s="41">
        <v>55347</v>
      </c>
      <c r="J370" s="41" t="s">
        <v>78</v>
      </c>
      <c r="K37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27673.5</v>
      </c>
      <c r="L370" s="43">
        <v>45974</v>
      </c>
      <c r="M370" s="42" t="s">
        <v>25</v>
      </c>
      <c r="N37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27673.5</v>
      </c>
      <c r="O37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46038</v>
      </c>
      <c r="P370" t="s">
        <v>25</v>
      </c>
      <c r="Q370" t="s">
        <v>486</v>
      </c>
      <c r="R370" s="1">
        <v>46037</v>
      </c>
      <c r="S370" t="s">
        <v>27</v>
      </c>
    </row>
    <row r="371" spans="2:21" ht="18.75" hidden="1" customHeight="1">
      <c r="B371" s="56"/>
      <c r="C371" s="57"/>
      <c r="D371" s="48">
        <v>46122</v>
      </c>
      <c r="E371" s="50" t="s">
        <v>675</v>
      </c>
      <c r="F371" s="48"/>
      <c r="G371" s="48"/>
      <c r="H371" s="49" t="s">
        <v>329</v>
      </c>
      <c r="I371" s="51">
        <v>4427.62</v>
      </c>
      <c r="J371" s="51" t="s">
        <v>330</v>
      </c>
      <c r="K37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71" s="52"/>
      <c r="M371" s="51"/>
      <c r="N37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4427.62</v>
      </c>
      <c r="O37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46152</v>
      </c>
      <c r="P371" s="49" t="s">
        <v>25</v>
      </c>
      <c r="Q371" s="49" t="s">
        <v>556</v>
      </c>
      <c r="R371" s="48">
        <v>46149</v>
      </c>
      <c r="S371" s="59" t="s">
        <v>27</v>
      </c>
      <c r="T371" s="49"/>
      <c r="U371" s="49" t="s">
        <v>32</v>
      </c>
    </row>
    <row r="372" spans="2:21" ht="18.75" hidden="1" customHeight="1">
      <c r="B372" s="48">
        <v>46041</v>
      </c>
      <c r="C372" s="49">
        <v>96718</v>
      </c>
      <c r="D372" s="48">
        <v>46155</v>
      </c>
      <c r="E372" s="50">
        <v>2026201474</v>
      </c>
      <c r="F372" s="94">
        <v>46051</v>
      </c>
      <c r="G372" s="94"/>
      <c r="H372" s="49" t="s">
        <v>77</v>
      </c>
      <c r="I372" s="51">
        <v>25058.12</v>
      </c>
      <c r="J372" s="51" t="s">
        <v>78</v>
      </c>
      <c r="K37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12529.06</v>
      </c>
      <c r="L372" s="92">
        <v>46051</v>
      </c>
      <c r="M372" s="49" t="s">
        <v>25</v>
      </c>
      <c r="N37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12529.06</v>
      </c>
      <c r="O37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46215</v>
      </c>
      <c r="P372" s="49" t="s">
        <v>25</v>
      </c>
      <c r="Q372" s="49" t="s">
        <v>217</v>
      </c>
      <c r="R372" s="48">
        <v>46149</v>
      </c>
      <c r="S372" s="49" t="s">
        <v>45</v>
      </c>
      <c r="T372" s="49"/>
      <c r="U372" s="49"/>
    </row>
    <row r="373" spans="2:21" ht="18.75" hidden="1" customHeight="1">
      <c r="B373" s="1"/>
      <c r="D373" s="1">
        <v>46056</v>
      </c>
      <c r="E373" s="29" t="s">
        <v>676</v>
      </c>
      <c r="F373" s="1"/>
      <c r="G373" s="1"/>
      <c r="H373" s="9" t="s">
        <v>29</v>
      </c>
      <c r="I373" s="42">
        <v>30550.5</v>
      </c>
      <c r="J373" s="41" t="s">
        <v>30</v>
      </c>
      <c r="K37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73" s="43"/>
      <c r="N37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30550.5</v>
      </c>
      <c r="O37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46116</v>
      </c>
      <c r="P373" t="s">
        <v>25</v>
      </c>
      <c r="Q373" t="s">
        <v>31</v>
      </c>
      <c r="R373" s="40">
        <v>46107</v>
      </c>
      <c r="S373" s="24" t="s">
        <v>27</v>
      </c>
      <c r="U373" t="s">
        <v>32</v>
      </c>
    </row>
    <row r="374" spans="2:21" ht="18.75" hidden="1" customHeight="1">
      <c r="B374" s="1"/>
      <c r="D374" s="1">
        <v>46057</v>
      </c>
      <c r="E374" s="29" t="s">
        <v>677</v>
      </c>
      <c r="F374" s="1"/>
      <c r="G374" s="1"/>
      <c r="H374" s="9" t="s">
        <v>29</v>
      </c>
      <c r="I374" s="42">
        <v>27612.54</v>
      </c>
      <c r="J374" s="41" t="s">
        <v>30</v>
      </c>
      <c r="K37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74" s="43"/>
      <c r="N37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27612.54</v>
      </c>
      <c r="O37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46117</v>
      </c>
      <c r="P374" t="s">
        <v>25</v>
      </c>
      <c r="Q374" t="s">
        <v>129</v>
      </c>
      <c r="R374" s="40">
        <v>46107</v>
      </c>
      <c r="S374" s="24" t="s">
        <v>27</v>
      </c>
      <c r="U374" t="s">
        <v>32</v>
      </c>
    </row>
    <row r="375" spans="2:21" ht="18.75" hidden="1" customHeight="1">
      <c r="B375" s="1"/>
      <c r="D375" s="1">
        <v>46057</v>
      </c>
      <c r="E375" s="29" t="s">
        <v>678</v>
      </c>
      <c r="F375" s="1"/>
      <c r="G375" s="1"/>
      <c r="H375" s="9" t="s">
        <v>29</v>
      </c>
      <c r="I375" s="42">
        <v>26332.57</v>
      </c>
      <c r="J375" s="41" t="s">
        <v>30</v>
      </c>
      <c r="K37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75" s="43"/>
      <c r="N37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26332.57</v>
      </c>
      <c r="O37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46117</v>
      </c>
      <c r="P375" t="s">
        <v>25</v>
      </c>
      <c r="Q375" t="s">
        <v>132</v>
      </c>
      <c r="R375" s="40">
        <v>46107</v>
      </c>
      <c r="S375" s="24" t="s">
        <v>27</v>
      </c>
      <c r="U375" t="s">
        <v>32</v>
      </c>
    </row>
    <row r="376" spans="2:21" ht="18.75" hidden="1" customHeight="1">
      <c r="B376" s="1"/>
      <c r="D376" s="1">
        <v>46057</v>
      </c>
      <c r="E376" s="29" t="s">
        <v>679</v>
      </c>
      <c r="F376" s="1"/>
      <c r="G376" s="1"/>
      <c r="H376" s="9" t="s">
        <v>29</v>
      </c>
      <c r="I376" s="42">
        <v>39263.17</v>
      </c>
      <c r="J376" s="41" t="s">
        <v>30</v>
      </c>
      <c r="K37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76" s="43"/>
      <c r="N37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39263.17</v>
      </c>
      <c r="O37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46117</v>
      </c>
      <c r="P376" t="s">
        <v>25</v>
      </c>
      <c r="Q376" t="s">
        <v>101</v>
      </c>
      <c r="R376" s="40">
        <v>46107</v>
      </c>
      <c r="S376" s="24" t="s">
        <v>27</v>
      </c>
      <c r="U376" t="s">
        <v>32</v>
      </c>
    </row>
    <row r="377" spans="2:21" s="49" customFormat="1" ht="18.75" hidden="1" customHeight="1">
      <c r="B377" s="1"/>
      <c r="C377" s="7"/>
      <c r="D377" s="1">
        <v>46057</v>
      </c>
      <c r="E377" s="29" t="s">
        <v>680</v>
      </c>
      <c r="F377" s="1"/>
      <c r="G377" s="1"/>
      <c r="H377" t="s">
        <v>29</v>
      </c>
      <c r="I377" s="42">
        <v>94.95</v>
      </c>
      <c r="J377" s="41" t="s">
        <v>30</v>
      </c>
      <c r="K37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77" s="43"/>
      <c r="M377"/>
      <c r="N37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94.95</v>
      </c>
      <c r="O37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46117</v>
      </c>
      <c r="P377" t="s">
        <v>25</v>
      </c>
      <c r="Q377" t="s">
        <v>132</v>
      </c>
      <c r="R377" s="40">
        <v>46107</v>
      </c>
      <c r="S377" s="24" t="s">
        <v>27</v>
      </c>
      <c r="T377"/>
      <c r="U377" t="s">
        <v>32</v>
      </c>
    </row>
    <row r="378" spans="2:21" s="49" customFormat="1" ht="18.75" hidden="1" customHeight="1">
      <c r="B378" s="1"/>
      <c r="C378" s="7"/>
      <c r="D378" s="1">
        <v>46059</v>
      </c>
      <c r="E378" s="29" t="s">
        <v>681</v>
      </c>
      <c r="F378" s="1"/>
      <c r="G378" s="1"/>
      <c r="H378" s="9" t="s">
        <v>29</v>
      </c>
      <c r="I378" s="11">
        <v>28194.42</v>
      </c>
      <c r="J378" s="2" t="s">
        <v>30</v>
      </c>
      <c r="K37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78" s="3"/>
      <c r="M378"/>
      <c r="N37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28194.42</v>
      </c>
      <c r="O37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46119</v>
      </c>
      <c r="P378" t="s">
        <v>25</v>
      </c>
      <c r="Q378" t="s">
        <v>132</v>
      </c>
      <c r="R378" s="40">
        <v>46107</v>
      </c>
      <c r="S378" s="24" t="s">
        <v>27</v>
      </c>
      <c r="T378"/>
      <c r="U378" t="s">
        <v>32</v>
      </c>
    </row>
    <row r="379" spans="2:21" s="49" customFormat="1" ht="18.75" hidden="1" customHeight="1">
      <c r="B379" s="1"/>
      <c r="C379" s="7"/>
      <c r="D379" s="1">
        <v>46059</v>
      </c>
      <c r="E379" s="29" t="s">
        <v>682</v>
      </c>
      <c r="F379" s="1"/>
      <c r="G379" s="1"/>
      <c r="H379" s="9" t="s">
        <v>29</v>
      </c>
      <c r="I379" s="11">
        <v>37682.800000000003</v>
      </c>
      <c r="J379" s="2" t="s">
        <v>30</v>
      </c>
      <c r="K37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79" s="3"/>
      <c r="M379"/>
      <c r="N37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37682.800000000003</v>
      </c>
      <c r="O37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46119</v>
      </c>
      <c r="P379" t="s">
        <v>25</v>
      </c>
      <c r="Q379" t="s">
        <v>101</v>
      </c>
      <c r="R379" s="40">
        <v>46107</v>
      </c>
      <c r="S379" s="24" t="s">
        <v>27</v>
      </c>
      <c r="T379"/>
      <c r="U379" t="s">
        <v>32</v>
      </c>
    </row>
    <row r="380" spans="2:21" s="49" customFormat="1" ht="18.75" hidden="1" customHeight="1">
      <c r="B380" s="1"/>
      <c r="C380" s="7"/>
      <c r="D380" s="1">
        <v>46059</v>
      </c>
      <c r="E380" s="29" t="s">
        <v>683</v>
      </c>
      <c r="F380" s="1"/>
      <c r="G380" s="1"/>
      <c r="H380" s="9" t="s">
        <v>29</v>
      </c>
      <c r="I380" s="11">
        <v>25486.46</v>
      </c>
      <c r="J380" s="2" t="s">
        <v>30</v>
      </c>
      <c r="K38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80" s="3"/>
      <c r="M380" s="11"/>
      <c r="N38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25486.46</v>
      </c>
      <c r="O38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46119</v>
      </c>
      <c r="P380" t="s">
        <v>25</v>
      </c>
      <c r="Q380" t="s">
        <v>141</v>
      </c>
      <c r="R380" s="40">
        <v>46107</v>
      </c>
      <c r="S380" s="24" t="s">
        <v>27</v>
      </c>
      <c r="T380"/>
      <c r="U380" t="s">
        <v>32</v>
      </c>
    </row>
    <row r="381" spans="2:21" s="49" customFormat="1" ht="18.75" hidden="1" customHeight="1">
      <c r="B381" s="44">
        <v>45987</v>
      </c>
      <c r="C381" t="s">
        <v>684</v>
      </c>
      <c r="D381" s="1">
        <v>46027</v>
      </c>
      <c r="E381" s="29" t="s">
        <v>685</v>
      </c>
      <c r="F381" s="1"/>
      <c r="G381" s="1"/>
      <c r="H381" t="s">
        <v>23</v>
      </c>
      <c r="I381" s="2">
        <v>2086.42</v>
      </c>
      <c r="J381" s="2" t="s">
        <v>24</v>
      </c>
      <c r="K38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625.92600000000004</v>
      </c>
      <c r="L381" s="5">
        <v>46024</v>
      </c>
      <c r="M381" s="11" t="s">
        <v>25</v>
      </c>
      <c r="N38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1460.4939999999999</v>
      </c>
      <c r="O38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46087</v>
      </c>
      <c r="P381" t="s">
        <v>25</v>
      </c>
      <c r="Q381" t="s">
        <v>686</v>
      </c>
      <c r="R381" s="1">
        <v>46086</v>
      </c>
      <c r="S381" t="s">
        <v>27</v>
      </c>
      <c r="T381"/>
      <c r="U381" t="s">
        <v>32</v>
      </c>
    </row>
    <row r="382" spans="2:21" s="49" customFormat="1" ht="18.75" hidden="1" customHeight="1">
      <c r="B382" s="83">
        <v>46140</v>
      </c>
      <c r="C382" s="77" t="s">
        <v>687</v>
      </c>
      <c r="D382" s="76">
        <v>46169</v>
      </c>
      <c r="E382" s="78" t="s">
        <v>688</v>
      </c>
      <c r="F382" s="76"/>
      <c r="G382" s="76"/>
      <c r="H382" s="49" t="s">
        <v>69</v>
      </c>
      <c r="I382" s="79">
        <v>25561.57</v>
      </c>
      <c r="J382" s="79" t="s">
        <v>55</v>
      </c>
      <c r="K382" s="8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82" s="80"/>
      <c r="M382" s="81"/>
      <c r="N382" s="99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25561.57</v>
      </c>
      <c r="O382" s="138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382" s="63" t="s">
        <v>25</v>
      </c>
      <c r="Q382" s="63" t="s">
        <v>261</v>
      </c>
      <c r="R382" s="76">
        <v>46170</v>
      </c>
      <c r="S382" s="82" t="s">
        <v>45</v>
      </c>
      <c r="T382" s="63"/>
      <c r="U382" s="63" t="s">
        <v>32</v>
      </c>
    </row>
    <row r="383" spans="2:21" s="49" customFormat="1" ht="18.75" hidden="1" customHeight="1">
      <c r="B383" s="44">
        <v>45987</v>
      </c>
      <c r="C383" t="s">
        <v>689</v>
      </c>
      <c r="D383" s="1">
        <v>46027</v>
      </c>
      <c r="E383" s="29" t="s">
        <v>690</v>
      </c>
      <c r="F383" s="1"/>
      <c r="G383" s="1"/>
      <c r="H383" t="s">
        <v>23</v>
      </c>
      <c r="I383" s="2">
        <v>2086.42</v>
      </c>
      <c r="J383" s="2" t="s">
        <v>24</v>
      </c>
      <c r="K38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625.92600000000004</v>
      </c>
      <c r="L383" s="5">
        <v>46024</v>
      </c>
      <c r="M383" s="11" t="s">
        <v>25</v>
      </c>
      <c r="N38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1460.4939999999999</v>
      </c>
      <c r="O38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46087</v>
      </c>
      <c r="P383" t="s">
        <v>25</v>
      </c>
      <c r="Q383" t="s">
        <v>691</v>
      </c>
      <c r="R383" s="1">
        <v>46086</v>
      </c>
      <c r="S383" t="s">
        <v>27</v>
      </c>
      <c r="T383"/>
      <c r="U383" t="s">
        <v>32</v>
      </c>
    </row>
    <row r="384" spans="2:21" s="49" customFormat="1" ht="18.75" hidden="1" customHeight="1">
      <c r="B384" s="44">
        <v>45987</v>
      </c>
      <c r="C384" t="s">
        <v>692</v>
      </c>
      <c r="D384" s="1">
        <v>46027</v>
      </c>
      <c r="E384" s="29" t="s">
        <v>693</v>
      </c>
      <c r="F384" s="1"/>
      <c r="G384" s="1"/>
      <c r="H384" t="s">
        <v>23</v>
      </c>
      <c r="I384" s="2">
        <v>2086.42</v>
      </c>
      <c r="J384" s="2" t="s">
        <v>24</v>
      </c>
      <c r="K38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625.92600000000004</v>
      </c>
      <c r="L384" s="5">
        <v>46024</v>
      </c>
      <c r="M384" s="11" t="s">
        <v>25</v>
      </c>
      <c r="N38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1460.4939999999999</v>
      </c>
      <c r="O38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46087</v>
      </c>
      <c r="P384" t="s">
        <v>25</v>
      </c>
      <c r="Q384" t="s">
        <v>694</v>
      </c>
      <c r="R384" s="1">
        <v>46086</v>
      </c>
      <c r="S384" t="s">
        <v>27</v>
      </c>
      <c r="T384"/>
      <c r="U384" t="s">
        <v>32</v>
      </c>
    </row>
    <row r="385" spans="2:21" s="49" customFormat="1" ht="18.75" customHeight="1">
      <c r="B385" s="1">
        <v>45924</v>
      </c>
      <c r="C385" s="7" t="s">
        <v>695</v>
      </c>
      <c r="D385" s="1">
        <v>46002</v>
      </c>
      <c r="E385" s="29" t="s">
        <v>696</v>
      </c>
      <c r="F385" s="1"/>
      <c r="G385" s="1"/>
      <c r="H385" t="s">
        <v>196</v>
      </c>
      <c r="I385" s="2">
        <v>18864</v>
      </c>
      <c r="J385" s="2" t="s">
        <v>78</v>
      </c>
      <c r="K38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9432</v>
      </c>
      <c r="L385" s="3">
        <v>45995</v>
      </c>
      <c r="M385" s="11" t="s">
        <v>25</v>
      </c>
      <c r="N38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9432</v>
      </c>
      <c r="O38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46062</v>
      </c>
      <c r="P385" t="s">
        <v>25</v>
      </c>
      <c r="Q385" t="s">
        <v>697</v>
      </c>
      <c r="R385" s="1">
        <v>46059</v>
      </c>
      <c r="S385" t="s">
        <v>27</v>
      </c>
      <c r="T385" s="24"/>
      <c r="U385"/>
    </row>
    <row r="386" spans="2:21" s="49" customFormat="1" ht="18.75" customHeight="1">
      <c r="B386" s="1">
        <v>45996</v>
      </c>
      <c r="C386" s="7" t="s">
        <v>698</v>
      </c>
      <c r="D386" s="1">
        <v>46002</v>
      </c>
      <c r="E386" s="29" t="s">
        <v>699</v>
      </c>
      <c r="F386" s="1">
        <v>46003</v>
      </c>
      <c r="G386" s="1"/>
      <c r="H386" t="s">
        <v>196</v>
      </c>
      <c r="I386" s="2">
        <v>351</v>
      </c>
      <c r="J386" s="2" t="s">
        <v>55</v>
      </c>
      <c r="K38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86" s="3"/>
      <c r="M386" s="11"/>
      <c r="N38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351</v>
      </c>
      <c r="O38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46003</v>
      </c>
      <c r="P386" t="s">
        <v>25</v>
      </c>
      <c r="Q386" t="s">
        <v>700</v>
      </c>
      <c r="R386"/>
      <c r="S386"/>
      <c r="T386"/>
      <c r="U386"/>
    </row>
    <row r="387" spans="2:21" s="49" customFormat="1" ht="18.75" hidden="1" customHeight="1">
      <c r="B387" s="83">
        <v>46140</v>
      </c>
      <c r="C387" s="77" t="s">
        <v>687</v>
      </c>
      <c r="D387" s="76">
        <v>46169</v>
      </c>
      <c r="E387" s="78" t="s">
        <v>701</v>
      </c>
      <c r="F387" s="76"/>
      <c r="G387" s="76"/>
      <c r="H387" s="49" t="s">
        <v>69</v>
      </c>
      <c r="I387" s="79">
        <v>45876.7</v>
      </c>
      <c r="J387" s="79" t="s">
        <v>55</v>
      </c>
      <c r="K387" s="79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87" s="80"/>
      <c r="M387" s="81"/>
      <c r="N387" s="79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45876.7</v>
      </c>
      <c r="O387" s="8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387" s="63" t="s">
        <v>25</v>
      </c>
      <c r="Q387" s="63" t="s">
        <v>261</v>
      </c>
      <c r="R387" s="76">
        <v>46170</v>
      </c>
      <c r="S387" s="82" t="s">
        <v>45</v>
      </c>
      <c r="T387" s="63"/>
      <c r="U387" s="63" t="s">
        <v>32</v>
      </c>
    </row>
    <row r="388" spans="2:21" s="49" customFormat="1" ht="18.75" customHeight="1">
      <c r="B388" s="1">
        <v>45910</v>
      </c>
      <c r="C388" s="7" t="s">
        <v>702</v>
      </c>
      <c r="D388" s="1">
        <v>46008</v>
      </c>
      <c r="E388" s="29" t="s">
        <v>703</v>
      </c>
      <c r="F388" s="1"/>
      <c r="G388" s="1"/>
      <c r="H388" t="s">
        <v>196</v>
      </c>
      <c r="I388" s="2">
        <v>23642</v>
      </c>
      <c r="J388" s="2" t="s">
        <v>78</v>
      </c>
      <c r="K38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11821</v>
      </c>
      <c r="L388" s="3">
        <v>46003</v>
      </c>
      <c r="M388" s="11" t="s">
        <v>25</v>
      </c>
      <c r="N38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11821</v>
      </c>
      <c r="O38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46068</v>
      </c>
      <c r="P388" t="s">
        <v>25</v>
      </c>
      <c r="Q388" t="s">
        <v>198</v>
      </c>
      <c r="R388" s="1">
        <v>46066</v>
      </c>
      <c r="S388" t="s">
        <v>27</v>
      </c>
      <c r="T388"/>
      <c r="U388"/>
    </row>
    <row r="389" spans="2:21" s="49" customFormat="1" ht="18.75" hidden="1" customHeight="1">
      <c r="B389" s="56">
        <v>46154</v>
      </c>
      <c r="C389" s="57" t="s">
        <v>704</v>
      </c>
      <c r="D389" s="48"/>
      <c r="E389" s="50"/>
      <c r="F389" s="48"/>
      <c r="G389" s="48"/>
      <c r="H389" s="49" t="s">
        <v>69</v>
      </c>
      <c r="I389" s="51">
        <v>16276.1</v>
      </c>
      <c r="J389" s="51" t="s">
        <v>55</v>
      </c>
      <c r="K38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89" s="52"/>
      <c r="M389" s="58"/>
      <c r="N38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16276.1</v>
      </c>
      <c r="O389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389" s="49" t="s">
        <v>25</v>
      </c>
      <c r="Q389" s="49" t="s">
        <v>705</v>
      </c>
      <c r="R389" s="48">
        <v>46156</v>
      </c>
      <c r="S389" s="59" t="s">
        <v>45</v>
      </c>
    </row>
    <row r="390" spans="2:21" s="49" customFormat="1" ht="18.75" hidden="1" customHeight="1">
      <c r="B390" s="56">
        <v>46154</v>
      </c>
      <c r="C390" s="57" t="s">
        <v>706</v>
      </c>
      <c r="D390" s="48"/>
      <c r="E390" s="50"/>
      <c r="F390" s="48"/>
      <c r="G390" s="48"/>
      <c r="H390" s="49" t="s">
        <v>69</v>
      </c>
      <c r="I390" s="51">
        <v>8157.35</v>
      </c>
      <c r="J390" s="51" t="s">
        <v>55</v>
      </c>
      <c r="K39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90" s="52"/>
      <c r="M390" s="58"/>
      <c r="N39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8157.35</v>
      </c>
      <c r="O390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390" s="49" t="s">
        <v>25</v>
      </c>
      <c r="Q390" s="49" t="s">
        <v>537</v>
      </c>
      <c r="R390" s="48">
        <v>46156</v>
      </c>
      <c r="S390" s="59" t="s">
        <v>45</v>
      </c>
    </row>
    <row r="391" spans="2:21" s="49" customFormat="1" ht="18.75" hidden="1" customHeight="1">
      <c r="B391" s="56">
        <v>46155</v>
      </c>
      <c r="C391" s="57" t="s">
        <v>707</v>
      </c>
      <c r="D391" s="48">
        <v>46183</v>
      </c>
      <c r="E391" s="50" t="s">
        <v>708</v>
      </c>
      <c r="F391" s="48"/>
      <c r="G391" s="48"/>
      <c r="H391" s="49" t="s">
        <v>69</v>
      </c>
      <c r="I391" s="51">
        <v>69154.48</v>
      </c>
      <c r="J391" s="51" t="s">
        <v>55</v>
      </c>
      <c r="K391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91" s="52"/>
      <c r="M391" s="58"/>
      <c r="N391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69154.48</v>
      </c>
      <c r="O391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391" s="49" t="s">
        <v>25</v>
      </c>
      <c r="Q391" s="49" t="s">
        <v>477</v>
      </c>
      <c r="R391" s="48">
        <v>46184</v>
      </c>
      <c r="S391" s="59" t="s">
        <v>45</v>
      </c>
      <c r="U391" s="49" t="s">
        <v>32</v>
      </c>
    </row>
    <row r="392" spans="2:21" s="49" customFormat="1" ht="18.75" hidden="1" customHeight="1">
      <c r="B392" s="56">
        <v>46155</v>
      </c>
      <c r="C392" s="57" t="s">
        <v>709</v>
      </c>
      <c r="D392" s="48">
        <v>46167</v>
      </c>
      <c r="E392" s="50" t="s">
        <v>710</v>
      </c>
      <c r="F392" s="48"/>
      <c r="G392" s="48"/>
      <c r="H392" s="49" t="s">
        <v>69</v>
      </c>
      <c r="I392" s="51">
        <v>19410.5</v>
      </c>
      <c r="J392" s="51" t="s">
        <v>55</v>
      </c>
      <c r="K39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92" s="52"/>
      <c r="M392" s="58"/>
      <c r="N39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19410.5</v>
      </c>
      <c r="O392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392" s="49" t="s">
        <v>25</v>
      </c>
      <c r="Q392" s="49" t="s">
        <v>711</v>
      </c>
      <c r="R392" s="48">
        <v>46163</v>
      </c>
      <c r="S392" s="59" t="s">
        <v>45</v>
      </c>
    </row>
    <row r="393" spans="2:21" ht="18.75" hidden="1" customHeight="1">
      <c r="B393" s="56">
        <v>46156</v>
      </c>
      <c r="C393" s="57" t="s">
        <v>712</v>
      </c>
      <c r="D393" s="48">
        <v>46169</v>
      </c>
      <c r="E393" s="50" t="s">
        <v>713</v>
      </c>
      <c r="F393" s="48"/>
      <c r="G393" s="48"/>
      <c r="H393" s="49" t="s">
        <v>69</v>
      </c>
      <c r="I393" s="51">
        <v>34386.15</v>
      </c>
      <c r="J393" s="51" t="s">
        <v>55</v>
      </c>
      <c r="K393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93" s="52"/>
      <c r="M393" s="58"/>
      <c r="N393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34386.15</v>
      </c>
      <c r="O393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393" s="49" t="s">
        <v>25</v>
      </c>
      <c r="Q393" s="49" t="s">
        <v>235</v>
      </c>
      <c r="R393" s="48">
        <v>46170</v>
      </c>
      <c r="S393" s="59" t="s">
        <v>45</v>
      </c>
      <c r="T393" s="49"/>
      <c r="U393" s="49" t="s">
        <v>32</v>
      </c>
    </row>
    <row r="394" spans="2:21" ht="18.75" hidden="1" customHeight="1">
      <c r="B394" s="56">
        <v>46156</v>
      </c>
      <c r="C394" s="57" t="s">
        <v>714</v>
      </c>
      <c r="D394" s="48"/>
      <c r="E394" s="50"/>
      <c r="F394" s="48"/>
      <c r="G394" s="48"/>
      <c r="H394" s="49" t="s">
        <v>69</v>
      </c>
      <c r="I394" s="51">
        <v>40493.51</v>
      </c>
      <c r="J394" s="51" t="s">
        <v>55</v>
      </c>
      <c r="K394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94" s="52"/>
      <c r="M394" s="58"/>
      <c r="N394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40493.51</v>
      </c>
      <c r="O394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394" s="49"/>
      <c r="Q394" s="49" t="s">
        <v>36</v>
      </c>
      <c r="R394" s="48"/>
      <c r="S394" s="59" t="s">
        <v>45</v>
      </c>
      <c r="T394" s="49"/>
      <c r="U394" s="49"/>
    </row>
    <row r="395" spans="2:21" ht="18.75" hidden="1" customHeight="1">
      <c r="B395" s="56">
        <v>46156</v>
      </c>
      <c r="C395" s="57" t="s">
        <v>714</v>
      </c>
      <c r="D395" s="48">
        <v>46162</v>
      </c>
      <c r="E395" s="50" t="s">
        <v>715</v>
      </c>
      <c r="F395" s="48"/>
      <c r="G395" s="48"/>
      <c r="H395" s="49" t="s">
        <v>69</v>
      </c>
      <c r="I395" s="51">
        <v>40493.51</v>
      </c>
      <c r="J395" s="51" t="s">
        <v>55</v>
      </c>
      <c r="K39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95" s="52"/>
      <c r="M395" s="58"/>
      <c r="N39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40493.51</v>
      </c>
      <c r="O395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395" s="49" t="s">
        <v>25</v>
      </c>
      <c r="Q395" s="49" t="s">
        <v>36</v>
      </c>
      <c r="R395" s="48">
        <v>46163</v>
      </c>
      <c r="S395" s="59" t="s">
        <v>45</v>
      </c>
      <c r="T395" s="49"/>
      <c r="U395" s="49" t="s">
        <v>32</v>
      </c>
    </row>
    <row r="396" spans="2:21" ht="18.75" hidden="1" customHeight="1">
      <c r="B396" s="56">
        <v>46156</v>
      </c>
      <c r="C396" s="57" t="s">
        <v>716</v>
      </c>
      <c r="D396" s="48"/>
      <c r="E396" s="50"/>
      <c r="F396" s="48"/>
      <c r="G396" s="48"/>
      <c r="H396" s="49" t="s">
        <v>69</v>
      </c>
      <c r="I396" s="51">
        <v>6257.27</v>
      </c>
      <c r="J396" s="51" t="s">
        <v>55</v>
      </c>
      <c r="K396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96" s="52"/>
      <c r="M396" s="58"/>
      <c r="N396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6257.27</v>
      </c>
      <c r="O396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396" s="49"/>
      <c r="Q396" s="49" t="s">
        <v>717</v>
      </c>
      <c r="R396" s="48"/>
      <c r="S396" s="59" t="s">
        <v>45</v>
      </c>
      <c r="T396" s="49"/>
      <c r="U396" s="49"/>
    </row>
    <row r="397" spans="2:21" ht="18.75" hidden="1" customHeight="1">
      <c r="B397" s="56">
        <v>46156</v>
      </c>
      <c r="C397" s="57" t="s">
        <v>716</v>
      </c>
      <c r="D397" s="48">
        <v>46162</v>
      </c>
      <c r="E397" s="50" t="s">
        <v>718</v>
      </c>
      <c r="F397" s="48"/>
      <c r="G397" s="48"/>
      <c r="H397" s="49" t="s">
        <v>69</v>
      </c>
      <c r="I397" s="51">
        <v>6257.27</v>
      </c>
      <c r="J397" s="51" t="s">
        <v>55</v>
      </c>
      <c r="K39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97" s="52"/>
      <c r="M397" s="58"/>
      <c r="N39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6257.27</v>
      </c>
      <c r="O397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397" s="49" t="s">
        <v>25</v>
      </c>
      <c r="Q397" s="49" t="s">
        <v>717</v>
      </c>
      <c r="R397" s="48">
        <v>46163</v>
      </c>
      <c r="S397" s="59" t="s">
        <v>45</v>
      </c>
      <c r="T397" s="49"/>
      <c r="U397" s="49" t="s">
        <v>32</v>
      </c>
    </row>
    <row r="398" spans="2:21" ht="18.75" customHeight="1">
      <c r="B398" s="48">
        <v>45924</v>
      </c>
      <c r="C398" s="57" t="s">
        <v>719</v>
      </c>
      <c r="D398" s="48">
        <v>46030</v>
      </c>
      <c r="E398" s="50" t="s">
        <v>720</v>
      </c>
      <c r="F398" s="48"/>
      <c r="G398" s="48"/>
      <c r="H398" s="49" t="s">
        <v>196</v>
      </c>
      <c r="I398" s="51">
        <v>20848</v>
      </c>
      <c r="J398" s="51" t="s">
        <v>78</v>
      </c>
      <c r="K39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10424</v>
      </c>
      <c r="L398" s="84">
        <v>46024</v>
      </c>
      <c r="M398" s="58" t="s">
        <v>25</v>
      </c>
      <c r="N39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10424</v>
      </c>
      <c r="O39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46090</v>
      </c>
      <c r="P398" t="s">
        <v>25</v>
      </c>
      <c r="Q398" s="49" t="s">
        <v>721</v>
      </c>
      <c r="R398" s="48">
        <v>46086</v>
      </c>
      <c r="S398" s="49" t="s">
        <v>27</v>
      </c>
      <c r="T398" s="49"/>
      <c r="U398" s="49" t="s">
        <v>32</v>
      </c>
    </row>
    <row r="399" spans="2:21" ht="18.75" customHeight="1">
      <c r="B399" s="48">
        <v>46036</v>
      </c>
      <c r="C399" s="57" t="s">
        <v>722</v>
      </c>
      <c r="D399" s="48">
        <v>46037</v>
      </c>
      <c r="E399" s="50" t="s">
        <v>723</v>
      </c>
      <c r="F399" s="48"/>
      <c r="G399" s="48"/>
      <c r="H399" s="49" t="s">
        <v>196</v>
      </c>
      <c r="I399" s="51">
        <v>293</v>
      </c>
      <c r="J399" s="51" t="s">
        <v>55</v>
      </c>
      <c r="K39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399" s="52"/>
      <c r="M399" s="58"/>
      <c r="N39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293</v>
      </c>
      <c r="O399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399" s="49" t="s">
        <v>25</v>
      </c>
      <c r="Q399" s="49" t="s">
        <v>724</v>
      </c>
      <c r="R399" s="48">
        <v>46037</v>
      </c>
      <c r="S399" s="49" t="s">
        <v>45</v>
      </c>
      <c r="T399" s="49"/>
      <c r="U399" s="49" t="s">
        <v>32</v>
      </c>
    </row>
    <row r="400" spans="2:21" ht="18.75" hidden="1" customHeight="1">
      <c r="B400" s="56"/>
      <c r="C400" s="57"/>
      <c r="D400" s="48">
        <v>46139</v>
      </c>
      <c r="E400" s="50" t="s">
        <v>725</v>
      </c>
      <c r="F400" s="48"/>
      <c r="G400" s="48"/>
      <c r="H400" s="49" t="s">
        <v>726</v>
      </c>
      <c r="I400" s="51">
        <v>8525.51</v>
      </c>
      <c r="J400" s="51" t="s">
        <v>43</v>
      </c>
      <c r="K40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00" s="52"/>
      <c r="M400" s="58"/>
      <c r="N40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8525.51</v>
      </c>
      <c r="O40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46139</v>
      </c>
      <c r="P400" t="s">
        <v>25</v>
      </c>
      <c r="Q400" s="49" t="s">
        <v>727</v>
      </c>
      <c r="R400" s="48">
        <v>46142</v>
      </c>
      <c r="S400" s="59" t="s">
        <v>45</v>
      </c>
      <c r="T400" s="49"/>
      <c r="U400" s="49"/>
    </row>
    <row r="401" spans="2:21" ht="18.75" hidden="1" customHeight="1">
      <c r="B401" s="56">
        <v>46156</v>
      </c>
      <c r="C401" s="57" t="s">
        <v>728</v>
      </c>
      <c r="D401" s="48">
        <v>46167</v>
      </c>
      <c r="E401" s="50" t="s">
        <v>729</v>
      </c>
      <c r="F401" s="48"/>
      <c r="G401" s="48"/>
      <c r="H401" s="49" t="s">
        <v>69</v>
      </c>
      <c r="I401" s="51">
        <v>9458.2999999999993</v>
      </c>
      <c r="J401" s="51" t="s">
        <v>55</v>
      </c>
      <c r="K401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01" s="52"/>
      <c r="M401" s="58"/>
      <c r="N401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9458.2999999999993</v>
      </c>
      <c r="O401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401" s="49"/>
      <c r="Q401" s="49" t="s">
        <v>232</v>
      </c>
      <c r="R401" s="48"/>
      <c r="S401" s="59" t="s">
        <v>45</v>
      </c>
      <c r="T401" s="49"/>
      <c r="U401" s="49"/>
    </row>
    <row r="402" spans="2:21" ht="18.75" hidden="1" customHeight="1">
      <c r="B402" s="56">
        <v>46162</v>
      </c>
      <c r="C402" s="57" t="s">
        <v>730</v>
      </c>
      <c r="D402" s="48"/>
      <c r="E402" s="50"/>
      <c r="F402" s="48"/>
      <c r="G402" s="48"/>
      <c r="H402" s="49" t="s">
        <v>69</v>
      </c>
      <c r="I402" s="51">
        <v>9458.2999999999993</v>
      </c>
      <c r="J402" s="51" t="s">
        <v>55</v>
      </c>
      <c r="K40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02" s="52"/>
      <c r="M402" s="58"/>
      <c r="N40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9458.2999999999993</v>
      </c>
      <c r="O402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402" s="49" t="s">
        <v>25</v>
      </c>
      <c r="Q402" s="49" t="s">
        <v>232</v>
      </c>
      <c r="R402" s="48">
        <v>46163</v>
      </c>
      <c r="S402" s="59" t="s">
        <v>45</v>
      </c>
      <c r="T402" s="49"/>
      <c r="U402" s="49"/>
    </row>
    <row r="403" spans="2:21" ht="18.75" hidden="1" customHeight="1">
      <c r="B403" s="44">
        <v>46141</v>
      </c>
      <c r="D403" s="1"/>
      <c r="E403" s="29"/>
      <c r="F403" s="1"/>
      <c r="G403" s="1"/>
      <c r="H403" t="s">
        <v>178</v>
      </c>
      <c r="I403" s="2">
        <v>140.52000000000001</v>
      </c>
      <c r="J403" s="2" t="s">
        <v>55</v>
      </c>
      <c r="K40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03" s="3"/>
      <c r="M403" s="11"/>
      <c r="N40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140.52000000000001</v>
      </c>
      <c r="O403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403" t="s">
        <v>25</v>
      </c>
      <c r="Q403" t="s">
        <v>731</v>
      </c>
      <c r="R403" s="1">
        <v>46142</v>
      </c>
      <c r="T403" s="38" t="s">
        <v>732</v>
      </c>
      <c r="U403" s="49"/>
    </row>
    <row r="404" spans="2:21" ht="18.75" hidden="1" customHeight="1">
      <c r="B404" s="44"/>
      <c r="D404" s="1">
        <v>46140</v>
      </c>
      <c r="E404" s="29" t="s">
        <v>733</v>
      </c>
      <c r="F404" s="1"/>
      <c r="G404" s="1"/>
      <c r="H404" t="s">
        <v>579</v>
      </c>
      <c r="I404" s="2">
        <v>8146.68</v>
      </c>
      <c r="J404" s="2" t="s">
        <v>55</v>
      </c>
      <c r="K40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04" s="3"/>
      <c r="M404" s="11"/>
      <c r="N40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8146.68</v>
      </c>
      <c r="O404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404" t="s">
        <v>25</v>
      </c>
      <c r="Q404" t="s">
        <v>734</v>
      </c>
      <c r="R404" s="1">
        <v>46141</v>
      </c>
      <c r="S404" s="24" t="s">
        <v>45</v>
      </c>
      <c r="U404" s="49"/>
    </row>
    <row r="405" spans="2:21" s="49" customFormat="1" ht="18.75" hidden="1" customHeight="1">
      <c r="B405" s="56"/>
      <c r="C405" s="57"/>
      <c r="D405" s="48">
        <v>46136</v>
      </c>
      <c r="E405" s="50" t="s">
        <v>735</v>
      </c>
      <c r="F405" s="48"/>
      <c r="G405" s="48"/>
      <c r="H405" s="49" t="s">
        <v>42</v>
      </c>
      <c r="I405" s="51">
        <v>5409.84</v>
      </c>
      <c r="J405" s="51" t="s">
        <v>43</v>
      </c>
      <c r="K40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05" s="52"/>
      <c r="M405" s="58"/>
      <c r="N40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5409.84</v>
      </c>
      <c r="O40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46136</v>
      </c>
      <c r="P405" s="49" t="s">
        <v>25</v>
      </c>
      <c r="Q405" s="49" t="s">
        <v>736</v>
      </c>
      <c r="R405" s="48">
        <v>46139</v>
      </c>
      <c r="S405" s="59" t="s">
        <v>45</v>
      </c>
    </row>
    <row r="406" spans="2:21" s="49" customFormat="1" ht="18.75" hidden="1" customHeight="1">
      <c r="B406" s="56"/>
      <c r="C406" s="57"/>
      <c r="D406" s="48">
        <v>46107</v>
      </c>
      <c r="E406" s="50">
        <v>687104536</v>
      </c>
      <c r="F406" s="48"/>
      <c r="G406" s="48"/>
      <c r="H406" s="49" t="s">
        <v>416</v>
      </c>
      <c r="I406" s="51">
        <v>1750</v>
      </c>
      <c r="J406" s="51" t="s">
        <v>330</v>
      </c>
      <c r="K40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06" s="52"/>
      <c r="M406" s="58"/>
      <c r="N40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1750</v>
      </c>
      <c r="O40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46137</v>
      </c>
      <c r="P406" s="49" t="s">
        <v>25</v>
      </c>
      <c r="Q406" s="49" t="s">
        <v>737</v>
      </c>
      <c r="R406" s="48">
        <v>46134</v>
      </c>
      <c r="S406" s="59" t="s">
        <v>45</v>
      </c>
    </row>
    <row r="407" spans="2:21" ht="18.75" hidden="1" customHeight="1">
      <c r="B407" s="56"/>
      <c r="C407" s="57"/>
      <c r="D407" s="48">
        <v>46107</v>
      </c>
      <c r="E407" s="50">
        <v>687104537</v>
      </c>
      <c r="F407" s="48"/>
      <c r="G407" s="48"/>
      <c r="H407" s="49" t="s">
        <v>416</v>
      </c>
      <c r="I407" s="51">
        <v>3500</v>
      </c>
      <c r="J407" s="51" t="s">
        <v>330</v>
      </c>
      <c r="K40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07" s="52"/>
      <c r="M407" s="58"/>
      <c r="N40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3500</v>
      </c>
      <c r="O40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46137</v>
      </c>
      <c r="P407" s="49" t="s">
        <v>25</v>
      </c>
      <c r="Q407" s="49" t="s">
        <v>738</v>
      </c>
      <c r="R407" s="48">
        <v>46134</v>
      </c>
      <c r="S407" s="59" t="s">
        <v>45</v>
      </c>
      <c r="T407" s="49"/>
      <c r="U407" s="49"/>
    </row>
    <row r="408" spans="2:21" ht="18.75" hidden="1" customHeight="1">
      <c r="B408" s="83"/>
      <c r="C408" s="77"/>
      <c r="D408" s="76">
        <v>46121</v>
      </c>
      <c r="E408" s="78" t="s">
        <v>739</v>
      </c>
      <c r="F408" s="76"/>
      <c r="G408" s="76"/>
      <c r="H408" s="63" t="s">
        <v>740</v>
      </c>
      <c r="I408" s="99">
        <v>750</v>
      </c>
      <c r="J408" s="79" t="s">
        <v>55</v>
      </c>
      <c r="K40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08" s="80"/>
      <c r="M408" s="49"/>
      <c r="N40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750</v>
      </c>
      <c r="O408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408" s="49" t="s">
        <v>25</v>
      </c>
      <c r="Q408" s="63" t="s">
        <v>741</v>
      </c>
      <c r="R408" s="76">
        <v>46134</v>
      </c>
      <c r="S408" s="82" t="s">
        <v>27</v>
      </c>
      <c r="T408" s="63"/>
      <c r="U408" s="63"/>
    </row>
    <row r="409" spans="2:21" ht="18.75" hidden="1" customHeight="1">
      <c r="B409" s="56"/>
      <c r="C409" s="57"/>
      <c r="D409" s="48">
        <v>46112</v>
      </c>
      <c r="E409" s="50" t="s">
        <v>742</v>
      </c>
      <c r="F409" s="48"/>
      <c r="G409" s="48"/>
      <c r="H409" s="49" t="s">
        <v>634</v>
      </c>
      <c r="I409" s="51">
        <v>598.29999999999995</v>
      </c>
      <c r="J409" s="51" t="s">
        <v>43</v>
      </c>
      <c r="K40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09" s="52"/>
      <c r="M409" s="58"/>
      <c r="N40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598.29999999999995</v>
      </c>
      <c r="O40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46112</v>
      </c>
      <c r="P409" s="49" t="s">
        <v>25</v>
      </c>
      <c r="Q409" s="49"/>
      <c r="R409" s="48">
        <v>46134</v>
      </c>
      <c r="S409" s="59" t="s">
        <v>27</v>
      </c>
      <c r="T409" s="49"/>
      <c r="U409" s="49"/>
    </row>
    <row r="410" spans="2:21" ht="18.75" hidden="1" customHeight="1">
      <c r="B410" s="56"/>
      <c r="C410" s="57" t="s">
        <v>743</v>
      </c>
      <c r="D410" s="48">
        <v>46135</v>
      </c>
      <c r="E410" s="50" t="s">
        <v>744</v>
      </c>
      <c r="F410" s="48"/>
      <c r="G410" s="48"/>
      <c r="H410" s="49" t="s">
        <v>92</v>
      </c>
      <c r="I410" s="51">
        <v>430.5</v>
      </c>
      <c r="J410" s="51" t="s">
        <v>43</v>
      </c>
      <c r="K41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10" s="52"/>
      <c r="M410" s="58"/>
      <c r="N41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430.5</v>
      </c>
      <c r="O41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46135</v>
      </c>
      <c r="P410" s="49" t="s">
        <v>25</v>
      </c>
      <c r="Q410" s="49" t="s">
        <v>745</v>
      </c>
      <c r="R410" s="48">
        <v>46134</v>
      </c>
      <c r="S410" s="59" t="s">
        <v>94</v>
      </c>
      <c r="T410" s="49"/>
      <c r="U410" s="49"/>
    </row>
    <row r="411" spans="2:21" ht="18.75" hidden="1" customHeight="1">
      <c r="B411" s="56">
        <v>46174</v>
      </c>
      <c r="C411" s="57" t="s">
        <v>746</v>
      </c>
      <c r="D411" s="48">
        <v>46181</v>
      </c>
      <c r="E411" s="50" t="s">
        <v>747</v>
      </c>
      <c r="F411" s="48"/>
      <c r="G411" s="48"/>
      <c r="H411" s="49" t="s">
        <v>69</v>
      </c>
      <c r="I411" s="51">
        <v>16832.98</v>
      </c>
      <c r="J411" s="51" t="s">
        <v>55</v>
      </c>
      <c r="K411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11" s="52"/>
      <c r="M411" s="58"/>
      <c r="N411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16832.98</v>
      </c>
      <c r="O411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411" s="49" t="s">
        <v>25</v>
      </c>
      <c r="Q411" s="49" t="s">
        <v>217</v>
      </c>
      <c r="R411" s="48">
        <v>46178</v>
      </c>
      <c r="S411" s="59" t="s">
        <v>45</v>
      </c>
      <c r="T411" s="49"/>
      <c r="U411" s="49" t="s">
        <v>32</v>
      </c>
    </row>
    <row r="412" spans="2:21" ht="18.75" hidden="1" customHeight="1">
      <c r="B412" s="56">
        <v>46177</v>
      </c>
      <c r="C412" s="57" t="s">
        <v>748</v>
      </c>
      <c r="D412" s="48">
        <v>46185</v>
      </c>
      <c r="E412" s="50" t="s">
        <v>749</v>
      </c>
      <c r="F412" s="48"/>
      <c r="G412" s="48"/>
      <c r="H412" s="49" t="s">
        <v>69</v>
      </c>
      <c r="I412" s="51">
        <v>13699.84</v>
      </c>
      <c r="J412" s="51" t="s">
        <v>55</v>
      </c>
      <c r="K41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12" s="52"/>
      <c r="M412" s="58"/>
      <c r="N412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13699.84</v>
      </c>
      <c r="O412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412" s="49" t="s">
        <v>25</v>
      </c>
      <c r="Q412" s="49" t="s">
        <v>750</v>
      </c>
      <c r="R412" s="48">
        <v>46184</v>
      </c>
      <c r="S412" s="59" t="s">
        <v>45</v>
      </c>
      <c r="T412" s="49"/>
      <c r="U412" s="49"/>
    </row>
    <row r="413" spans="2:21" ht="18.75" hidden="1" customHeight="1">
      <c r="B413" s="56"/>
      <c r="C413" s="57"/>
      <c r="D413" s="48">
        <v>46121</v>
      </c>
      <c r="E413" s="50" t="s">
        <v>751</v>
      </c>
      <c r="F413" s="48"/>
      <c r="G413" s="48"/>
      <c r="H413" s="49" t="s">
        <v>752</v>
      </c>
      <c r="I413" s="51">
        <v>5300</v>
      </c>
      <c r="J413" s="51" t="s">
        <v>55</v>
      </c>
      <c r="K41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13" s="52"/>
      <c r="M413" s="58"/>
      <c r="N41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5300</v>
      </c>
      <c r="O413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413" s="49" t="s">
        <v>25</v>
      </c>
      <c r="Q413" s="49" t="s">
        <v>753</v>
      </c>
      <c r="R413" s="48">
        <v>46134</v>
      </c>
      <c r="S413" s="59" t="s">
        <v>45</v>
      </c>
      <c r="T413" s="49"/>
      <c r="U413" s="49"/>
    </row>
    <row r="414" spans="2:21" ht="18.75" customHeight="1">
      <c r="B414" s="48">
        <v>45979</v>
      </c>
      <c r="C414" s="57" t="s">
        <v>754</v>
      </c>
      <c r="D414" s="48">
        <v>46041</v>
      </c>
      <c r="E414" s="50" t="s">
        <v>755</v>
      </c>
      <c r="F414" s="48"/>
      <c r="G414" s="48"/>
      <c r="H414" s="49" t="s">
        <v>196</v>
      </c>
      <c r="I414" s="58">
        <v>7832</v>
      </c>
      <c r="J414" s="58" t="s">
        <v>78</v>
      </c>
      <c r="K41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3916</v>
      </c>
      <c r="L414" s="90">
        <v>46037</v>
      </c>
      <c r="M414" s="58" t="s">
        <v>25</v>
      </c>
      <c r="N41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3916</v>
      </c>
      <c r="O41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46101</v>
      </c>
      <c r="P414" s="49" t="s">
        <v>25</v>
      </c>
      <c r="Q414" s="49" t="s">
        <v>91</v>
      </c>
      <c r="R414" s="48">
        <v>46100</v>
      </c>
      <c r="S414" s="49" t="s">
        <v>27</v>
      </c>
      <c r="T414" s="49"/>
      <c r="U414" s="49" t="s">
        <v>32</v>
      </c>
    </row>
    <row r="415" spans="2:21" s="49" customFormat="1" ht="18.75" customHeight="1">
      <c r="B415" s="48">
        <v>45979</v>
      </c>
      <c r="C415" s="57" t="s">
        <v>756</v>
      </c>
      <c r="D415" s="48">
        <v>46041</v>
      </c>
      <c r="E415" s="50" t="s">
        <v>757</v>
      </c>
      <c r="F415" s="48"/>
      <c r="G415" s="48"/>
      <c r="H415" s="49" t="s">
        <v>196</v>
      </c>
      <c r="I415" s="51">
        <v>9271</v>
      </c>
      <c r="J415" s="51" t="s">
        <v>78</v>
      </c>
      <c r="K41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4635.5</v>
      </c>
      <c r="L415" s="52">
        <v>46037</v>
      </c>
      <c r="M415" s="58" t="s">
        <v>25</v>
      </c>
      <c r="N41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4635.5</v>
      </c>
      <c r="O41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46101</v>
      </c>
      <c r="P415" s="49" t="s">
        <v>25</v>
      </c>
      <c r="Q415" s="49" t="s">
        <v>70</v>
      </c>
      <c r="R415" s="48">
        <v>46100</v>
      </c>
      <c r="S415" s="49" t="s">
        <v>27</v>
      </c>
    </row>
    <row r="416" spans="2:21" ht="18.75" customHeight="1">
      <c r="B416" s="48">
        <v>45979</v>
      </c>
      <c r="C416" s="57" t="s">
        <v>758</v>
      </c>
      <c r="D416" s="48">
        <v>46041</v>
      </c>
      <c r="E416" s="50" t="s">
        <v>759</v>
      </c>
      <c r="F416" s="48"/>
      <c r="G416" s="48"/>
      <c r="H416" s="49" t="s">
        <v>196</v>
      </c>
      <c r="I416" s="51">
        <v>10987</v>
      </c>
      <c r="J416" s="51" t="s">
        <v>78</v>
      </c>
      <c r="K41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5493.5</v>
      </c>
      <c r="L416" s="52">
        <v>46044</v>
      </c>
      <c r="M416" s="58" t="s">
        <v>25</v>
      </c>
      <c r="N41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5493.5</v>
      </c>
      <c r="O41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46101</v>
      </c>
      <c r="P416" s="49" t="s">
        <v>25</v>
      </c>
      <c r="Q416" s="49" t="s">
        <v>594</v>
      </c>
      <c r="R416" s="48">
        <v>46100</v>
      </c>
      <c r="S416" s="49" t="s">
        <v>27</v>
      </c>
      <c r="T416" s="49"/>
      <c r="U416" s="49" t="s">
        <v>32</v>
      </c>
    </row>
    <row r="417" spans="1:21" s="49" customFormat="1" ht="18.75" customHeight="1">
      <c r="B417" s="48">
        <v>45979</v>
      </c>
      <c r="C417" s="57" t="s">
        <v>760</v>
      </c>
      <c r="D417" s="48">
        <v>46041</v>
      </c>
      <c r="E417" s="50" t="s">
        <v>761</v>
      </c>
      <c r="F417" s="48"/>
      <c r="G417" s="48"/>
      <c r="H417" s="49" t="s">
        <v>196</v>
      </c>
      <c r="I417" s="51">
        <v>12844</v>
      </c>
      <c r="J417" s="51" t="s">
        <v>78</v>
      </c>
      <c r="K41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6422</v>
      </c>
      <c r="L417" s="52">
        <v>46044</v>
      </c>
      <c r="M417" s="58" t="s">
        <v>25</v>
      </c>
      <c r="N41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6422</v>
      </c>
      <c r="O41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46101</v>
      </c>
      <c r="P417" s="49" t="s">
        <v>25</v>
      </c>
      <c r="Q417" s="49" t="s">
        <v>762</v>
      </c>
      <c r="R417" s="48">
        <v>46100</v>
      </c>
      <c r="S417" s="49" t="s">
        <v>27</v>
      </c>
      <c r="U417" s="49" t="s">
        <v>32</v>
      </c>
    </row>
    <row r="418" spans="1:21" s="49" customFormat="1" ht="18.75" customHeight="1">
      <c r="B418" s="85">
        <v>46001</v>
      </c>
      <c r="C418" s="86" t="s">
        <v>763</v>
      </c>
      <c r="D418" s="85">
        <v>46041</v>
      </c>
      <c r="E418" s="87" t="s">
        <v>764</v>
      </c>
      <c r="F418" s="85"/>
      <c r="G418" s="85"/>
      <c r="H418" s="49" t="s">
        <v>196</v>
      </c>
      <c r="I418" s="89">
        <v>702</v>
      </c>
      <c r="J418" s="89" t="s">
        <v>55</v>
      </c>
      <c r="K41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18" s="84"/>
      <c r="M418" s="89"/>
      <c r="N41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702</v>
      </c>
      <c r="O418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418" s="88" t="s">
        <v>25</v>
      </c>
      <c r="Q418" s="88" t="s">
        <v>765</v>
      </c>
      <c r="R418" s="85">
        <v>46037</v>
      </c>
      <c r="S418" s="88" t="s">
        <v>45</v>
      </c>
      <c r="T418" s="88"/>
      <c r="U418" s="88" t="s">
        <v>32</v>
      </c>
    </row>
    <row r="419" spans="1:21" s="49" customFormat="1" ht="18.75" customHeight="1">
      <c r="B419" s="48">
        <v>46001</v>
      </c>
      <c r="C419" s="57" t="s">
        <v>766</v>
      </c>
      <c r="D419" s="48">
        <v>46041</v>
      </c>
      <c r="E419" s="50" t="s">
        <v>767</v>
      </c>
      <c r="F419" s="48"/>
      <c r="G419" s="48"/>
      <c r="H419" s="49" t="s">
        <v>196</v>
      </c>
      <c r="I419" s="51">
        <v>1385</v>
      </c>
      <c r="J419" s="51" t="s">
        <v>55</v>
      </c>
      <c r="K41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19" s="52"/>
      <c r="M419" s="58"/>
      <c r="N41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1385</v>
      </c>
      <c r="O419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419" s="49" t="s">
        <v>25</v>
      </c>
      <c r="Q419" s="49" t="s">
        <v>765</v>
      </c>
      <c r="R419" s="48">
        <v>46037</v>
      </c>
      <c r="S419" s="49" t="s">
        <v>45</v>
      </c>
    </row>
    <row r="420" spans="1:21" s="49" customFormat="1" ht="18.75" customHeight="1">
      <c r="B420" s="48">
        <v>45974</v>
      </c>
      <c r="C420" s="91" t="s">
        <v>768</v>
      </c>
      <c r="D420" s="48">
        <v>46051</v>
      </c>
      <c r="E420" s="50" t="s">
        <v>769</v>
      </c>
      <c r="F420" s="48"/>
      <c r="G420" s="48"/>
      <c r="H420" s="49" t="s">
        <v>196</v>
      </c>
      <c r="I420" s="51">
        <v>46687</v>
      </c>
      <c r="J420" s="51" t="s">
        <v>78</v>
      </c>
      <c r="K42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23343.5</v>
      </c>
      <c r="L420" s="92">
        <v>46051</v>
      </c>
      <c r="M420" s="49" t="s">
        <v>25</v>
      </c>
      <c r="N42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23343.5</v>
      </c>
      <c r="O42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46111</v>
      </c>
      <c r="P420" s="49" t="s">
        <v>25</v>
      </c>
      <c r="Q420" s="49" t="s">
        <v>101</v>
      </c>
      <c r="R420" s="48">
        <v>46107</v>
      </c>
      <c r="S420" s="49" t="s">
        <v>27</v>
      </c>
      <c r="U420" s="49" t="s">
        <v>32</v>
      </c>
    </row>
    <row r="421" spans="1:21" ht="18.75" customHeight="1">
      <c r="B421" s="48">
        <v>45828</v>
      </c>
      <c r="C421" s="57" t="s">
        <v>770</v>
      </c>
      <c r="D421" s="48">
        <v>46051</v>
      </c>
      <c r="E421" s="50" t="s">
        <v>771</v>
      </c>
      <c r="F421" s="48"/>
      <c r="G421" s="48"/>
      <c r="H421" s="49" t="s">
        <v>196</v>
      </c>
      <c r="I421" s="51">
        <v>12571</v>
      </c>
      <c r="J421" s="51" t="s">
        <v>78</v>
      </c>
      <c r="K42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6285.5</v>
      </c>
      <c r="L421" s="52">
        <v>46051</v>
      </c>
      <c r="M421" s="49" t="s">
        <v>25</v>
      </c>
      <c r="N42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6285.5</v>
      </c>
      <c r="O42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46111</v>
      </c>
      <c r="P421" s="49" t="s">
        <v>25</v>
      </c>
      <c r="Q421" s="49" t="s">
        <v>772</v>
      </c>
      <c r="R421" s="48">
        <v>46107</v>
      </c>
      <c r="S421" s="49" t="s">
        <v>27</v>
      </c>
      <c r="T421" s="49"/>
      <c r="U421" s="49" t="s">
        <v>32</v>
      </c>
    </row>
    <row r="422" spans="1:21" s="49" customFormat="1" ht="18.75" customHeight="1">
      <c r="B422" s="48">
        <v>45828</v>
      </c>
      <c r="C422" s="57" t="s">
        <v>773</v>
      </c>
      <c r="D422" s="48">
        <v>46051</v>
      </c>
      <c r="E422" s="50" t="s">
        <v>774</v>
      </c>
      <c r="F422" s="48"/>
      <c r="G422" s="48"/>
      <c r="H422" s="49" t="s">
        <v>196</v>
      </c>
      <c r="I422" s="51">
        <v>14794</v>
      </c>
      <c r="J422" s="51" t="s">
        <v>78</v>
      </c>
      <c r="K42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7397</v>
      </c>
      <c r="L422" s="52">
        <v>46051</v>
      </c>
      <c r="M422" s="49" t="s">
        <v>25</v>
      </c>
      <c r="N42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7397</v>
      </c>
      <c r="O42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46111</v>
      </c>
      <c r="P422" s="49" t="s">
        <v>25</v>
      </c>
      <c r="Q422" s="49" t="s">
        <v>775</v>
      </c>
      <c r="R422" s="48">
        <v>46107</v>
      </c>
      <c r="S422" s="49" t="s">
        <v>27</v>
      </c>
      <c r="U422" s="49" t="s">
        <v>32</v>
      </c>
    </row>
    <row r="423" spans="1:21" s="49" customFormat="1" ht="18.75" hidden="1" customHeight="1">
      <c r="B423" s="56">
        <v>46044</v>
      </c>
      <c r="C423" s="146" t="s">
        <v>776</v>
      </c>
      <c r="D423" s="48"/>
      <c r="E423" s="50"/>
      <c r="F423" s="48">
        <v>46051</v>
      </c>
      <c r="G423" s="48"/>
      <c r="H423" s="49" t="s">
        <v>77</v>
      </c>
      <c r="I423" s="51">
        <v>69172.399999999994</v>
      </c>
      <c r="J423" s="51" t="s">
        <v>78</v>
      </c>
      <c r="K42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34586.199999999997</v>
      </c>
      <c r="L423" s="52">
        <v>46051</v>
      </c>
      <c r="M423" s="51" t="s">
        <v>25</v>
      </c>
      <c r="N42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34586.199999999997</v>
      </c>
      <c r="O423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423" s="49" t="s">
        <v>25</v>
      </c>
      <c r="Q423" s="49" t="s">
        <v>777</v>
      </c>
      <c r="R423" s="48">
        <v>46134</v>
      </c>
      <c r="S423" s="59" t="s">
        <v>45</v>
      </c>
    </row>
    <row r="424" spans="1:21" s="49" customFormat="1" ht="18.75" hidden="1" customHeight="1">
      <c r="B424" s="56"/>
      <c r="C424" s="57"/>
      <c r="D424" s="48">
        <v>46132</v>
      </c>
      <c r="E424" s="50" t="s">
        <v>778</v>
      </c>
      <c r="F424" s="48"/>
      <c r="G424" s="48"/>
      <c r="H424" s="49" t="s">
        <v>779</v>
      </c>
      <c r="I424" s="51">
        <v>69665.05</v>
      </c>
      <c r="J424" s="51" t="s">
        <v>43</v>
      </c>
      <c r="K42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24" s="52"/>
      <c r="M424" s="58"/>
      <c r="N42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69665.05</v>
      </c>
      <c r="O42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46132</v>
      </c>
      <c r="P424" s="49" t="s">
        <v>25</v>
      </c>
      <c r="Q424" s="49" t="s">
        <v>780</v>
      </c>
      <c r="R424" s="48">
        <v>46132</v>
      </c>
      <c r="S424" s="59" t="s">
        <v>183</v>
      </c>
    </row>
    <row r="425" spans="1:21" s="88" customFormat="1" ht="18.75" hidden="1" customHeight="1">
      <c r="A425" s="49"/>
      <c r="B425" s="56"/>
      <c r="C425" s="57"/>
      <c r="D425" s="48">
        <v>46111</v>
      </c>
      <c r="E425" s="50" t="s">
        <v>781</v>
      </c>
      <c r="F425" s="48"/>
      <c r="G425" s="48"/>
      <c r="H425" s="49" t="s">
        <v>432</v>
      </c>
      <c r="I425" s="51">
        <v>2000</v>
      </c>
      <c r="J425" s="51" t="s">
        <v>43</v>
      </c>
      <c r="K42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25" s="52"/>
      <c r="M425" s="58"/>
      <c r="N42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2000</v>
      </c>
      <c r="O42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46111</v>
      </c>
      <c r="P425" s="49" t="s">
        <v>25</v>
      </c>
      <c r="Q425" s="49" t="s">
        <v>782</v>
      </c>
      <c r="R425" s="48">
        <v>46128</v>
      </c>
      <c r="S425" s="59" t="s">
        <v>45</v>
      </c>
      <c r="T425" s="49"/>
      <c r="U425" s="49"/>
    </row>
    <row r="426" spans="1:21" s="49" customFormat="1" ht="18.75" hidden="1" customHeight="1">
      <c r="B426" s="56"/>
      <c r="C426" s="57"/>
      <c r="D426" s="48">
        <v>46081</v>
      </c>
      <c r="E426" s="50" t="s">
        <v>783</v>
      </c>
      <c r="F426" s="48"/>
      <c r="G426" s="48"/>
      <c r="H426" s="49" t="s">
        <v>108</v>
      </c>
      <c r="I426" s="51">
        <v>4712.8</v>
      </c>
      <c r="J426" s="2" t="s">
        <v>30</v>
      </c>
      <c r="K42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26" s="3"/>
      <c r="M426" s="11"/>
      <c r="N42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4712.8</v>
      </c>
      <c r="O42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46141</v>
      </c>
      <c r="P426" s="49" t="s">
        <v>25</v>
      </c>
      <c r="Q426" s="49" t="s">
        <v>381</v>
      </c>
      <c r="R426" s="48">
        <v>46128</v>
      </c>
      <c r="S426" s="59" t="s">
        <v>27</v>
      </c>
      <c r="U426" s="49" t="s">
        <v>32</v>
      </c>
    </row>
    <row r="427" spans="1:21" s="49" customFormat="1" ht="18.75" hidden="1" customHeight="1">
      <c r="B427" s="1"/>
      <c r="C427" s="7"/>
      <c r="D427" s="1">
        <v>46069</v>
      </c>
      <c r="E427" s="29" t="s">
        <v>784</v>
      </c>
      <c r="F427" s="1"/>
      <c r="G427" s="1"/>
      <c r="H427" t="s">
        <v>108</v>
      </c>
      <c r="I427" s="11">
        <v>7622.3</v>
      </c>
      <c r="J427" s="2" t="s">
        <v>30</v>
      </c>
      <c r="K42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27" s="3"/>
      <c r="M427"/>
      <c r="N42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7622.3</v>
      </c>
      <c r="O42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46129</v>
      </c>
      <c r="P427" t="s">
        <v>25</v>
      </c>
      <c r="Q427" t="s">
        <v>120</v>
      </c>
      <c r="R427" s="1">
        <v>46128</v>
      </c>
      <c r="S427" s="24" t="s">
        <v>27</v>
      </c>
      <c r="T427"/>
      <c r="U427"/>
    </row>
    <row r="428" spans="1:21" s="49" customFormat="1" ht="18.75" hidden="1" customHeight="1">
      <c r="B428" s="1"/>
      <c r="C428" s="7"/>
      <c r="D428" s="1">
        <v>46069</v>
      </c>
      <c r="E428" s="29" t="s">
        <v>785</v>
      </c>
      <c r="F428" s="1"/>
      <c r="G428" s="1"/>
      <c r="H428" t="s">
        <v>108</v>
      </c>
      <c r="I428" s="42">
        <v>10074.6</v>
      </c>
      <c r="J428" s="41" t="s">
        <v>30</v>
      </c>
      <c r="K42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28" s="43"/>
      <c r="M428"/>
      <c r="N42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10074.6</v>
      </c>
      <c r="O42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46129</v>
      </c>
      <c r="P428" t="s">
        <v>25</v>
      </c>
      <c r="Q428" t="s">
        <v>550</v>
      </c>
      <c r="R428" s="40">
        <v>46128</v>
      </c>
      <c r="S428" s="24" t="s">
        <v>27</v>
      </c>
      <c r="T428"/>
      <c r="U428" t="s">
        <v>32</v>
      </c>
    </row>
    <row r="429" spans="1:21" s="49" customFormat="1" ht="18.75" hidden="1" customHeight="1">
      <c r="B429" s="56">
        <v>46183</v>
      </c>
      <c r="C429" s="57" t="s">
        <v>786</v>
      </c>
      <c r="D429" s="48">
        <v>46195</v>
      </c>
      <c r="E429" s="50" t="s">
        <v>787</v>
      </c>
      <c r="F429" s="48"/>
      <c r="G429" s="48"/>
      <c r="H429" s="49" t="s">
        <v>69</v>
      </c>
      <c r="I429" s="51">
        <v>13527.02</v>
      </c>
      <c r="J429" s="51" t="s">
        <v>55</v>
      </c>
      <c r="K429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29" s="52"/>
      <c r="M429" s="58"/>
      <c r="N429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13527.02</v>
      </c>
      <c r="O429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429" s="49" t="s">
        <v>25</v>
      </c>
      <c r="Q429" s="49" t="s">
        <v>39</v>
      </c>
      <c r="R429" s="48">
        <v>46191</v>
      </c>
      <c r="S429" s="59" t="s">
        <v>45</v>
      </c>
    </row>
    <row r="430" spans="1:21" s="49" customFormat="1" ht="18.75" hidden="1" customHeight="1">
      <c r="B430" s="56"/>
      <c r="C430" s="142" t="s">
        <v>788</v>
      </c>
      <c r="D430" s="48">
        <v>46195</v>
      </c>
      <c r="E430" s="50" t="s">
        <v>789</v>
      </c>
      <c r="F430" s="48"/>
      <c r="G430" s="48"/>
      <c r="H430" s="49" t="s">
        <v>69</v>
      </c>
      <c r="I430" s="58">
        <v>14096.62</v>
      </c>
      <c r="J430" s="51" t="s">
        <v>55</v>
      </c>
      <c r="K43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30" s="52"/>
      <c r="M430" s="58"/>
      <c r="N430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14096.62</v>
      </c>
      <c r="O430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430" s="49" t="s">
        <v>25</v>
      </c>
      <c r="Q430" s="49" t="s">
        <v>115</v>
      </c>
      <c r="R430" s="48">
        <v>46191</v>
      </c>
      <c r="S430" s="59" t="s">
        <v>45</v>
      </c>
    </row>
    <row r="431" spans="1:21" s="49" customFormat="1" ht="18.75" hidden="1" customHeight="1">
      <c r="B431" s="83">
        <v>46189</v>
      </c>
      <c r="C431" s="142" t="s">
        <v>790</v>
      </c>
      <c r="D431" s="76">
        <v>46199</v>
      </c>
      <c r="E431" s="78" t="s">
        <v>791</v>
      </c>
      <c r="F431" s="76"/>
      <c r="G431" s="76"/>
      <c r="H431" s="49" t="s">
        <v>69</v>
      </c>
      <c r="I431" s="79">
        <v>10740.86</v>
      </c>
      <c r="J431" s="79" t="s">
        <v>55</v>
      </c>
      <c r="K431" s="79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31" s="80"/>
      <c r="M431" s="81"/>
      <c r="N431" s="99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10740.86</v>
      </c>
      <c r="O431" s="8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431" s="49" t="s">
        <v>25</v>
      </c>
      <c r="Q431" s="63" t="s">
        <v>229</v>
      </c>
      <c r="R431" s="76">
        <v>46198</v>
      </c>
      <c r="S431" s="82" t="s">
        <v>45</v>
      </c>
      <c r="T431" s="63"/>
      <c r="U431" s="63"/>
    </row>
    <row r="432" spans="1:21" s="49" customFormat="1" ht="18.75" hidden="1" customHeight="1">
      <c r="B432" s="56">
        <v>46195</v>
      </c>
      <c r="C432" s="57" t="s">
        <v>792</v>
      </c>
      <c r="D432" s="48"/>
      <c r="E432" s="50"/>
      <c r="F432" s="48"/>
      <c r="G432" s="48"/>
      <c r="H432" s="49" t="s">
        <v>69</v>
      </c>
      <c r="I432" s="51">
        <v>2250.38</v>
      </c>
      <c r="J432" s="51" t="s">
        <v>55</v>
      </c>
      <c r="K43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32" s="52"/>
      <c r="M432" s="58"/>
      <c r="N432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2250.38</v>
      </c>
      <c r="O432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432" s="49" t="s">
        <v>25</v>
      </c>
      <c r="Q432" s="49" t="s">
        <v>232</v>
      </c>
      <c r="R432" s="48">
        <v>46198</v>
      </c>
      <c r="S432" s="59" t="s">
        <v>45</v>
      </c>
    </row>
    <row r="433" spans="2:21" s="49" customFormat="1" ht="18.75" hidden="1" customHeight="1">
      <c r="B433" s="56">
        <v>46195</v>
      </c>
      <c r="C433" s="57" t="s">
        <v>793</v>
      </c>
      <c r="D433" s="48">
        <v>46199</v>
      </c>
      <c r="E433" s="50" t="s">
        <v>794</v>
      </c>
      <c r="F433" s="48"/>
      <c r="G433" s="48"/>
      <c r="H433" s="49" t="s">
        <v>69</v>
      </c>
      <c r="I433" s="51">
        <v>29834.44</v>
      </c>
      <c r="J433" s="51" t="s">
        <v>55</v>
      </c>
      <c r="K433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33" s="52"/>
      <c r="M433" s="58"/>
      <c r="N433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29834.44</v>
      </c>
      <c r="O433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433" s="49" t="s">
        <v>25</v>
      </c>
      <c r="Q433" s="142" t="s">
        <v>135</v>
      </c>
      <c r="R433" s="48">
        <v>46198</v>
      </c>
      <c r="S433" s="59" t="s">
        <v>45</v>
      </c>
    </row>
    <row r="434" spans="2:21" s="49" customFormat="1" ht="18.75" hidden="1" customHeight="1">
      <c r="B434" s="56">
        <v>46197</v>
      </c>
      <c r="C434" s="57" t="s">
        <v>795</v>
      </c>
      <c r="D434" s="48">
        <v>46199</v>
      </c>
      <c r="E434" s="50" t="s">
        <v>796</v>
      </c>
      <c r="F434" s="48"/>
      <c r="G434" s="48"/>
      <c r="H434" s="49" t="s">
        <v>69</v>
      </c>
      <c r="I434" s="51">
        <v>18744.939999999999</v>
      </c>
      <c r="J434" s="51" t="s">
        <v>55</v>
      </c>
      <c r="K434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34" s="52"/>
      <c r="M434" s="58"/>
      <c r="N434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18744.939999999999</v>
      </c>
      <c r="O434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434" s="49" t="s">
        <v>25</v>
      </c>
      <c r="Q434" s="49" t="s">
        <v>144</v>
      </c>
      <c r="R434" s="48">
        <v>46198</v>
      </c>
      <c r="S434" s="59" t="s">
        <v>45</v>
      </c>
    </row>
    <row r="435" spans="2:21" s="49" customFormat="1" ht="18.75" hidden="1" customHeight="1">
      <c r="B435" s="56">
        <v>46202</v>
      </c>
      <c r="C435" s="57" t="s">
        <v>797</v>
      </c>
      <c r="D435" s="48">
        <v>46210</v>
      </c>
      <c r="E435" s="50" t="s">
        <v>798</v>
      </c>
      <c r="F435" s="48"/>
      <c r="G435" s="48"/>
      <c r="H435" s="49" t="s">
        <v>69</v>
      </c>
      <c r="I435" s="51">
        <v>149590.76</v>
      </c>
      <c r="J435" s="51" t="s">
        <v>55</v>
      </c>
      <c r="K435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35" s="52"/>
      <c r="M435" s="58"/>
      <c r="N435" s="135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149590.76</v>
      </c>
      <c r="O435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435" s="49" t="s">
        <v>25</v>
      </c>
      <c r="Q435" s="49" t="s">
        <v>255</v>
      </c>
      <c r="R435" s="48">
        <v>46205</v>
      </c>
      <c r="S435" s="59" t="s">
        <v>45</v>
      </c>
    </row>
    <row r="436" spans="2:21" s="49" customFormat="1" ht="18.75" hidden="1" customHeight="1">
      <c r="B436" s="56">
        <v>46209</v>
      </c>
      <c r="C436" s="57" t="s">
        <v>799</v>
      </c>
      <c r="D436" s="48"/>
      <c r="E436" s="50"/>
      <c r="F436" s="48"/>
      <c r="G436" s="48"/>
      <c r="H436" s="49" t="s">
        <v>69</v>
      </c>
      <c r="I436" s="51">
        <v>407.3</v>
      </c>
      <c r="J436" s="51" t="s">
        <v>55</v>
      </c>
      <c r="K436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36" s="52"/>
      <c r="M436" s="58"/>
      <c r="N436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407.3</v>
      </c>
      <c r="O436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436" s="49" t="s">
        <v>25</v>
      </c>
      <c r="Q436" s="49" t="s">
        <v>39</v>
      </c>
      <c r="R436" s="48">
        <v>46212</v>
      </c>
      <c r="S436" s="59" t="s">
        <v>45</v>
      </c>
    </row>
    <row r="437" spans="2:21" s="49" customFormat="1" ht="18.75" hidden="1" customHeight="1">
      <c r="B437" s="56">
        <v>46209</v>
      </c>
      <c r="C437" s="57" t="s">
        <v>800</v>
      </c>
      <c r="D437" s="48"/>
      <c r="E437" s="50"/>
      <c r="F437" s="48"/>
      <c r="G437" s="48"/>
      <c r="H437" s="49" t="s">
        <v>69</v>
      </c>
      <c r="I437" s="51">
        <v>21.86</v>
      </c>
      <c r="J437" s="51" t="s">
        <v>55</v>
      </c>
      <c r="K437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37" s="52"/>
      <c r="M437" s="58"/>
      <c r="N437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21.86</v>
      </c>
      <c r="O437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437" s="49" t="s">
        <v>25</v>
      </c>
      <c r="Q437" s="49" t="s">
        <v>801</v>
      </c>
      <c r="R437" s="48">
        <v>46212</v>
      </c>
      <c r="S437" s="59" t="s">
        <v>45</v>
      </c>
    </row>
    <row r="438" spans="2:21" ht="18.75" hidden="1" customHeight="1">
      <c r="B438" s="56">
        <v>46209</v>
      </c>
      <c r="C438" s="142" t="s">
        <v>802</v>
      </c>
      <c r="D438" s="48"/>
      <c r="E438" s="50"/>
      <c r="F438" s="48"/>
      <c r="G438" s="48"/>
      <c r="H438" s="49" t="s">
        <v>69</v>
      </c>
      <c r="I438" s="51">
        <v>101426.44</v>
      </c>
      <c r="J438" s="51" t="s">
        <v>55</v>
      </c>
      <c r="K438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38" s="52"/>
      <c r="M438" s="58"/>
      <c r="N438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101426.44</v>
      </c>
      <c r="O438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438" s="49" t="s">
        <v>25</v>
      </c>
      <c r="Q438" s="49" t="s">
        <v>803</v>
      </c>
      <c r="R438" s="48">
        <v>46212</v>
      </c>
      <c r="S438" s="59" t="s">
        <v>45</v>
      </c>
      <c r="T438" s="49"/>
      <c r="U438" s="49"/>
    </row>
    <row r="439" spans="2:21" ht="18.75" hidden="1" customHeight="1">
      <c r="B439" s="56">
        <v>46209</v>
      </c>
      <c r="C439" s="57" t="s">
        <v>804</v>
      </c>
      <c r="D439" s="48"/>
      <c r="E439" s="50"/>
      <c r="F439" s="48"/>
      <c r="G439" s="48"/>
      <c r="H439" s="49" t="s">
        <v>69</v>
      </c>
      <c r="I439" s="51">
        <v>29747.119999999999</v>
      </c>
      <c r="J439" s="51" t="s">
        <v>55</v>
      </c>
      <c r="K439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39" s="52"/>
      <c r="M439" s="58"/>
      <c r="N439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29747.119999999999</v>
      </c>
      <c r="O439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439" s="49"/>
      <c r="Q439" s="49" t="s">
        <v>214</v>
      </c>
      <c r="R439" s="49"/>
      <c r="S439" s="59" t="s">
        <v>45</v>
      </c>
      <c r="T439" s="49"/>
      <c r="U439" s="49"/>
    </row>
    <row r="440" spans="2:21" ht="18.75" hidden="1" customHeight="1">
      <c r="B440" s="56">
        <v>46210</v>
      </c>
      <c r="C440" s="57" t="s">
        <v>805</v>
      </c>
      <c r="D440" s="48"/>
      <c r="E440" s="50"/>
      <c r="F440" s="48"/>
      <c r="G440" s="48"/>
      <c r="H440" s="49" t="s">
        <v>69</v>
      </c>
      <c r="I440" s="51">
        <v>2157.79</v>
      </c>
      <c r="J440" s="51" t="s">
        <v>55</v>
      </c>
      <c r="K44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40" s="52"/>
      <c r="M440" s="58"/>
      <c r="N440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2157.79</v>
      </c>
      <c r="O440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440" s="49" t="s">
        <v>25</v>
      </c>
      <c r="Q440" s="49" t="s">
        <v>477</v>
      </c>
      <c r="R440" s="48">
        <v>46212</v>
      </c>
      <c r="S440" s="59" t="s">
        <v>45</v>
      </c>
      <c r="T440" s="49"/>
      <c r="U440" s="49"/>
    </row>
    <row r="441" spans="2:21" s="49" customFormat="1" ht="18.75" hidden="1" customHeight="1">
      <c r="B441" s="56">
        <v>46210</v>
      </c>
      <c r="C441" s="142" t="s">
        <v>806</v>
      </c>
      <c r="D441" s="48"/>
      <c r="E441" s="50"/>
      <c r="F441" s="48"/>
      <c r="G441" s="48"/>
      <c r="H441" s="49" t="s">
        <v>69</v>
      </c>
      <c r="I441" s="51">
        <v>33.119999999999997</v>
      </c>
      <c r="J441" s="51" t="s">
        <v>55</v>
      </c>
      <c r="K441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41" s="52"/>
      <c r="M441" s="58"/>
      <c r="N441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33.119999999999997</v>
      </c>
      <c r="O441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441" s="49" t="s">
        <v>25</v>
      </c>
      <c r="Q441" s="49" t="s">
        <v>39</v>
      </c>
      <c r="R441" s="48">
        <v>46212</v>
      </c>
      <c r="S441" s="59" t="s">
        <v>45</v>
      </c>
    </row>
    <row r="442" spans="2:21" s="49" customFormat="1" ht="18.75" hidden="1" customHeight="1">
      <c r="B442" s="56"/>
      <c r="C442" s="57"/>
      <c r="D442" s="48">
        <v>46119</v>
      </c>
      <c r="E442" s="50" t="s">
        <v>807</v>
      </c>
      <c r="F442" s="48"/>
      <c r="G442" s="48"/>
      <c r="H442" s="49" t="s">
        <v>808</v>
      </c>
      <c r="I442" s="51">
        <v>246</v>
      </c>
      <c r="J442" s="51" t="s">
        <v>43</v>
      </c>
      <c r="K44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42" s="52"/>
      <c r="M442" s="58"/>
      <c r="N44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246</v>
      </c>
      <c r="O44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46119</v>
      </c>
      <c r="P442" s="49" t="s">
        <v>25</v>
      </c>
      <c r="Q442" s="49" t="s">
        <v>809</v>
      </c>
      <c r="R442" s="48">
        <v>46128</v>
      </c>
      <c r="S442" s="59" t="s">
        <v>27</v>
      </c>
    </row>
    <row r="443" spans="2:21" s="49" customFormat="1" ht="18.75" hidden="1" customHeight="1">
      <c r="B443" s="56"/>
      <c r="C443" s="57"/>
      <c r="D443" s="48">
        <v>46126</v>
      </c>
      <c r="E443" s="50" t="s">
        <v>810</v>
      </c>
      <c r="F443" s="48"/>
      <c r="G443" s="48"/>
      <c r="H443" s="49" t="s">
        <v>29</v>
      </c>
      <c r="I443" s="51">
        <v>4921.4399999999996</v>
      </c>
      <c r="J443" s="51" t="s">
        <v>30</v>
      </c>
      <c r="K443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43" s="52"/>
      <c r="M443" s="58"/>
      <c r="N443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4921.4399999999996</v>
      </c>
      <c r="O443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46186</v>
      </c>
      <c r="P443" s="49" t="s">
        <v>25</v>
      </c>
      <c r="Q443" s="49" t="s">
        <v>537</v>
      </c>
      <c r="R443" s="48">
        <v>46184</v>
      </c>
      <c r="S443" s="59" t="s">
        <v>27</v>
      </c>
      <c r="U443" s="49" t="s">
        <v>32</v>
      </c>
    </row>
    <row r="444" spans="2:21" s="49" customFormat="1" ht="18.75" hidden="1" customHeight="1">
      <c r="B444" s="44">
        <v>45987</v>
      </c>
      <c r="C444" t="s">
        <v>811</v>
      </c>
      <c r="D444" s="1">
        <v>46027</v>
      </c>
      <c r="E444" s="29" t="s">
        <v>812</v>
      </c>
      <c r="F444" s="1"/>
      <c r="G444" s="1"/>
      <c r="H444" t="s">
        <v>23</v>
      </c>
      <c r="I444" s="2">
        <v>2086.42</v>
      </c>
      <c r="J444" s="2" t="s">
        <v>24</v>
      </c>
      <c r="K44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625.92600000000004</v>
      </c>
      <c r="L444" s="5">
        <v>46024</v>
      </c>
      <c r="M444" s="11" t="s">
        <v>25</v>
      </c>
      <c r="N44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1460.4939999999999</v>
      </c>
      <c r="O44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46087</v>
      </c>
      <c r="P444" t="s">
        <v>25</v>
      </c>
      <c r="Q444" t="s">
        <v>813</v>
      </c>
      <c r="R444" s="1">
        <v>46086</v>
      </c>
      <c r="S444" t="s">
        <v>27</v>
      </c>
      <c r="T444"/>
      <c r="U444" t="s">
        <v>32</v>
      </c>
    </row>
    <row r="445" spans="2:21" s="63" customFormat="1" ht="18.75" hidden="1" customHeight="1">
      <c r="B445" s="44">
        <v>45987</v>
      </c>
      <c r="C445" t="s">
        <v>814</v>
      </c>
      <c r="D445" s="1">
        <v>46027</v>
      </c>
      <c r="E445" s="29" t="s">
        <v>815</v>
      </c>
      <c r="F445" s="1"/>
      <c r="G445" s="1"/>
      <c r="H445" t="s">
        <v>23</v>
      </c>
      <c r="I445" s="2">
        <v>2086.42</v>
      </c>
      <c r="J445" s="2" t="s">
        <v>24</v>
      </c>
      <c r="K44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625.92600000000004</v>
      </c>
      <c r="L445" s="5">
        <v>46024</v>
      </c>
      <c r="M445" s="11" t="s">
        <v>25</v>
      </c>
      <c r="N44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1460.4939999999999</v>
      </c>
      <c r="O44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46087</v>
      </c>
      <c r="P445" t="s">
        <v>25</v>
      </c>
      <c r="Q445" t="s">
        <v>816</v>
      </c>
      <c r="R445" s="1">
        <v>46086</v>
      </c>
      <c r="S445" t="s">
        <v>27</v>
      </c>
      <c r="T445"/>
      <c r="U445" t="s">
        <v>32</v>
      </c>
    </row>
    <row r="446" spans="2:21" s="63" customFormat="1" ht="18.75" customHeight="1">
      <c r="B446" s="48">
        <v>45974</v>
      </c>
      <c r="C446" s="57" t="s">
        <v>817</v>
      </c>
      <c r="D446" s="48">
        <v>46051</v>
      </c>
      <c r="E446" s="50" t="s">
        <v>818</v>
      </c>
      <c r="F446" s="48"/>
      <c r="G446" s="48"/>
      <c r="H446" s="49" t="s">
        <v>196</v>
      </c>
      <c r="I446" s="51">
        <v>95998</v>
      </c>
      <c r="J446" s="51" t="s">
        <v>78</v>
      </c>
      <c r="K44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47999</v>
      </c>
      <c r="L446" s="52">
        <v>46059</v>
      </c>
      <c r="M446" s="49" t="s">
        <v>25</v>
      </c>
      <c r="N44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47999</v>
      </c>
      <c r="O44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46111</v>
      </c>
      <c r="P446" s="49" t="s">
        <v>25</v>
      </c>
      <c r="Q446" s="49" t="s">
        <v>126</v>
      </c>
      <c r="R446" s="48">
        <v>46107</v>
      </c>
      <c r="S446" s="49" t="s">
        <v>27</v>
      </c>
      <c r="T446" s="59"/>
      <c r="U446" s="49" t="s">
        <v>32</v>
      </c>
    </row>
    <row r="447" spans="2:21" s="63" customFormat="1" ht="18.75" customHeight="1">
      <c r="B447" s="48">
        <v>45989</v>
      </c>
      <c r="C447" s="57" t="s">
        <v>819</v>
      </c>
      <c r="D447" s="48">
        <v>46058</v>
      </c>
      <c r="E447" s="50" t="s">
        <v>820</v>
      </c>
      <c r="F447" s="48"/>
      <c r="G447" s="48"/>
      <c r="H447" s="49" t="s">
        <v>196</v>
      </c>
      <c r="I447" s="51">
        <v>10412</v>
      </c>
      <c r="J447" s="51" t="s">
        <v>78</v>
      </c>
      <c r="K44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5206</v>
      </c>
      <c r="L447" s="52">
        <v>46059</v>
      </c>
      <c r="M447" s="49" t="s">
        <v>25</v>
      </c>
      <c r="N44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5206</v>
      </c>
      <c r="O44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46118</v>
      </c>
      <c r="P447" s="49" t="s">
        <v>25</v>
      </c>
      <c r="Q447" s="49" t="s">
        <v>190</v>
      </c>
      <c r="R447" s="48">
        <v>46107</v>
      </c>
      <c r="S447" s="49" t="s">
        <v>27</v>
      </c>
      <c r="T447" s="59"/>
      <c r="U447" s="49" t="s">
        <v>32</v>
      </c>
    </row>
    <row r="448" spans="2:21" s="63" customFormat="1" ht="18.75" customHeight="1">
      <c r="B448" s="48">
        <v>45989</v>
      </c>
      <c r="C448" s="57" t="s">
        <v>821</v>
      </c>
      <c r="D448" s="48">
        <v>46058</v>
      </c>
      <c r="E448" s="50" t="s">
        <v>822</v>
      </c>
      <c r="F448" s="48"/>
      <c r="G448" s="48"/>
      <c r="H448" s="49" t="s">
        <v>196</v>
      </c>
      <c r="I448" s="51">
        <v>10332</v>
      </c>
      <c r="J448" s="51" t="s">
        <v>78</v>
      </c>
      <c r="K44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5166</v>
      </c>
      <c r="L448" s="52">
        <v>46059</v>
      </c>
      <c r="M448" s="49" t="s">
        <v>25</v>
      </c>
      <c r="N44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5166</v>
      </c>
      <c r="O44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46118</v>
      </c>
      <c r="P448" s="49" t="s">
        <v>25</v>
      </c>
      <c r="Q448" s="49" t="s">
        <v>141</v>
      </c>
      <c r="R448" s="48">
        <v>46107</v>
      </c>
      <c r="S448" s="49" t="s">
        <v>27</v>
      </c>
      <c r="T448" s="59"/>
      <c r="U448" s="49" t="s">
        <v>32</v>
      </c>
    </row>
    <row r="449" spans="2:21" s="63" customFormat="1" ht="18.75" hidden="1" customHeight="1">
      <c r="B449" s="56"/>
      <c r="C449" s="57"/>
      <c r="D449" s="48">
        <v>46126</v>
      </c>
      <c r="E449" s="50" t="s">
        <v>823</v>
      </c>
      <c r="F449" s="48"/>
      <c r="G449" s="48"/>
      <c r="H449" s="49" t="s">
        <v>29</v>
      </c>
      <c r="I449" s="51">
        <v>15212.28</v>
      </c>
      <c r="J449" s="51" t="s">
        <v>30</v>
      </c>
      <c r="K449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49" s="52"/>
      <c r="M449" s="58"/>
      <c r="N449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15212.28</v>
      </c>
      <c r="O449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46186</v>
      </c>
      <c r="P449" s="49" t="s">
        <v>25</v>
      </c>
      <c r="Q449" s="49" t="s">
        <v>537</v>
      </c>
      <c r="R449" s="48">
        <v>46184</v>
      </c>
      <c r="S449" s="59" t="s">
        <v>27</v>
      </c>
      <c r="T449" s="49"/>
      <c r="U449" s="49" t="s">
        <v>32</v>
      </c>
    </row>
    <row r="450" spans="2:21" s="63" customFormat="1" ht="18.75" hidden="1" customHeight="1">
      <c r="B450" s="56"/>
      <c r="C450" s="57"/>
      <c r="D450" s="48">
        <v>46127</v>
      </c>
      <c r="E450" s="50" t="s">
        <v>824</v>
      </c>
      <c r="F450" s="48"/>
      <c r="G450" s="48"/>
      <c r="H450" s="49" t="s">
        <v>29</v>
      </c>
      <c r="I450" s="51">
        <v>5978.1</v>
      </c>
      <c r="J450" s="51" t="s">
        <v>30</v>
      </c>
      <c r="K450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50" s="52"/>
      <c r="M450" s="58"/>
      <c r="N450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5978.1</v>
      </c>
      <c r="O450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46187</v>
      </c>
      <c r="P450" s="49" t="s">
        <v>25</v>
      </c>
      <c r="Q450" s="49" t="s">
        <v>825</v>
      </c>
      <c r="R450" s="48">
        <v>46184</v>
      </c>
      <c r="S450" s="59" t="s">
        <v>27</v>
      </c>
      <c r="T450" s="49"/>
      <c r="U450" s="49" t="s">
        <v>32</v>
      </c>
    </row>
    <row r="451" spans="2:21" s="63" customFormat="1" ht="18.75" hidden="1" customHeight="1">
      <c r="B451" s="56"/>
      <c r="C451" s="57"/>
      <c r="D451" s="48">
        <v>46071</v>
      </c>
      <c r="E451" s="50" t="s">
        <v>826</v>
      </c>
      <c r="F451" s="48"/>
      <c r="G451" s="48"/>
      <c r="H451" s="49" t="s">
        <v>827</v>
      </c>
      <c r="I451" s="51">
        <v>15400.64</v>
      </c>
      <c r="J451" s="51" t="s">
        <v>30</v>
      </c>
      <c r="K45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51" s="52"/>
      <c r="M451" s="58"/>
      <c r="N45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15400.64</v>
      </c>
      <c r="O45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46131</v>
      </c>
      <c r="P451" s="49" t="s">
        <v>25</v>
      </c>
      <c r="Q451" s="49" t="s">
        <v>828</v>
      </c>
      <c r="R451" s="48">
        <v>46128</v>
      </c>
      <c r="S451" s="59" t="s">
        <v>45</v>
      </c>
      <c r="T451" s="49"/>
      <c r="U451" s="49"/>
    </row>
    <row r="452" spans="2:21" s="49" customFormat="1" ht="18.75" hidden="1" customHeight="1">
      <c r="B452" s="56"/>
      <c r="C452" s="57"/>
      <c r="D452" s="48">
        <v>46071</v>
      </c>
      <c r="E452" s="50" t="s">
        <v>829</v>
      </c>
      <c r="F452" s="48"/>
      <c r="G452" s="48"/>
      <c r="H452" s="49" t="s">
        <v>827</v>
      </c>
      <c r="I452" s="51">
        <v>17383.72</v>
      </c>
      <c r="J452" s="51" t="s">
        <v>30</v>
      </c>
      <c r="K45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52" s="52"/>
      <c r="M452" s="58"/>
      <c r="N45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17383.72</v>
      </c>
      <c r="O45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46131</v>
      </c>
      <c r="P452" s="49" t="s">
        <v>25</v>
      </c>
      <c r="Q452" s="49" t="s">
        <v>830</v>
      </c>
      <c r="R452" s="48">
        <v>46128</v>
      </c>
      <c r="S452" s="59" t="s">
        <v>45</v>
      </c>
    </row>
    <row r="453" spans="2:21" s="49" customFormat="1" ht="18.75" hidden="1" customHeight="1">
      <c r="B453" s="56"/>
      <c r="C453" s="57"/>
      <c r="D453" s="48">
        <v>46105</v>
      </c>
      <c r="E453" s="50" t="s">
        <v>831</v>
      </c>
      <c r="F453" s="48"/>
      <c r="G453" s="48"/>
      <c r="H453" s="49" t="s">
        <v>329</v>
      </c>
      <c r="I453" s="51">
        <v>661.27</v>
      </c>
      <c r="J453" s="51" t="s">
        <v>330</v>
      </c>
      <c r="K45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53" s="52"/>
      <c r="M453" s="58"/>
      <c r="N45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661.27</v>
      </c>
      <c r="O45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46135</v>
      </c>
      <c r="P453" s="49" t="s">
        <v>25</v>
      </c>
      <c r="Q453" s="49" t="s">
        <v>381</v>
      </c>
      <c r="R453" s="48">
        <v>46128</v>
      </c>
      <c r="S453" s="59" t="s">
        <v>27</v>
      </c>
      <c r="U453" s="49" t="s">
        <v>32</v>
      </c>
    </row>
    <row r="454" spans="2:21" ht="18.75" hidden="1" customHeight="1">
      <c r="B454" s="56"/>
      <c r="C454" s="57"/>
      <c r="D454" s="48">
        <v>46106</v>
      </c>
      <c r="E454" s="50" t="s">
        <v>832</v>
      </c>
      <c r="F454" s="48"/>
      <c r="G454" s="48"/>
      <c r="H454" s="49" t="s">
        <v>329</v>
      </c>
      <c r="I454" s="51">
        <v>2057.65</v>
      </c>
      <c r="J454" s="51" t="s">
        <v>330</v>
      </c>
      <c r="K45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54" s="52">
        <v>46137</v>
      </c>
      <c r="M454" s="58"/>
      <c r="N45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2057.65</v>
      </c>
      <c r="O45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46136</v>
      </c>
      <c r="P454" s="49" t="s">
        <v>25</v>
      </c>
      <c r="Q454" s="49" t="s">
        <v>126</v>
      </c>
      <c r="R454" s="48">
        <v>46128</v>
      </c>
      <c r="S454" s="59" t="s">
        <v>27</v>
      </c>
      <c r="T454" s="49"/>
      <c r="U454" s="49" t="s">
        <v>32</v>
      </c>
    </row>
    <row r="455" spans="2:21" ht="18.75" hidden="1" customHeight="1">
      <c r="B455" s="56"/>
      <c r="C455" s="57"/>
      <c r="D455" s="48">
        <v>46111</v>
      </c>
      <c r="E455" s="50" t="s">
        <v>833</v>
      </c>
      <c r="F455" s="48"/>
      <c r="G455" s="48"/>
      <c r="H455" s="49" t="s">
        <v>329</v>
      </c>
      <c r="I455" s="51">
        <v>401.75</v>
      </c>
      <c r="J455" s="51" t="s">
        <v>330</v>
      </c>
      <c r="K45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55" s="52"/>
      <c r="M455" s="58"/>
      <c r="N45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401.75</v>
      </c>
      <c r="O45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46141</v>
      </c>
      <c r="P455" s="49" t="s">
        <v>25</v>
      </c>
      <c r="Q455" s="49" t="s">
        <v>387</v>
      </c>
      <c r="R455" s="48">
        <v>46128</v>
      </c>
      <c r="S455" s="59" t="s">
        <v>27</v>
      </c>
      <c r="T455" s="49"/>
      <c r="U455" s="49" t="s">
        <v>32</v>
      </c>
    </row>
    <row r="456" spans="2:21" ht="18.75" hidden="1" customHeight="1">
      <c r="B456" s="56"/>
      <c r="C456" s="57"/>
      <c r="D456" s="48">
        <v>46111</v>
      </c>
      <c r="E456" s="50" t="s">
        <v>834</v>
      </c>
      <c r="F456" s="48"/>
      <c r="G456" s="48"/>
      <c r="H456" s="49" t="s">
        <v>329</v>
      </c>
      <c r="I456" s="51">
        <v>567.03</v>
      </c>
      <c r="J456" s="51" t="s">
        <v>330</v>
      </c>
      <c r="K45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56" s="52"/>
      <c r="M456" s="58"/>
      <c r="N45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567.03</v>
      </c>
      <c r="O45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46141</v>
      </c>
      <c r="P456" s="49" t="s">
        <v>25</v>
      </c>
      <c r="Q456" s="49" t="s">
        <v>835</v>
      </c>
      <c r="R456" s="48">
        <v>46128</v>
      </c>
      <c r="S456" s="59" t="s">
        <v>27</v>
      </c>
      <c r="T456" s="49"/>
      <c r="U456" s="49" t="s">
        <v>32</v>
      </c>
    </row>
    <row r="457" spans="2:21" ht="18.75" hidden="1" customHeight="1">
      <c r="B457" s="56"/>
      <c r="C457" s="57"/>
      <c r="D457" s="48">
        <v>46128</v>
      </c>
      <c r="E457" s="50" t="s">
        <v>836</v>
      </c>
      <c r="F457" s="48"/>
      <c r="G457" s="48"/>
      <c r="H457" s="49" t="s">
        <v>435</v>
      </c>
      <c r="I457" s="51">
        <v>1787.8</v>
      </c>
      <c r="J457" s="51" t="s">
        <v>43</v>
      </c>
      <c r="K45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57" s="52"/>
      <c r="M457" s="58"/>
      <c r="N45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1787.8</v>
      </c>
      <c r="O45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46128</v>
      </c>
      <c r="P457" s="49" t="s">
        <v>25</v>
      </c>
      <c r="Q457" s="49" t="s">
        <v>436</v>
      </c>
      <c r="R457" s="48">
        <v>46128</v>
      </c>
      <c r="S457" s="59" t="s">
        <v>27</v>
      </c>
      <c r="T457" s="49"/>
      <c r="U457" s="49"/>
    </row>
    <row r="458" spans="2:21" ht="18.75" hidden="1" customHeight="1">
      <c r="B458" s="56">
        <v>46120</v>
      </c>
      <c r="C458" s="57" t="s">
        <v>837</v>
      </c>
      <c r="D458" s="48"/>
      <c r="E458" s="50"/>
      <c r="F458" s="48"/>
      <c r="G458" s="48"/>
      <c r="H458" s="49" t="s">
        <v>92</v>
      </c>
      <c r="I458" s="51">
        <v>730</v>
      </c>
      <c r="J458" s="51" t="s">
        <v>43</v>
      </c>
      <c r="K45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58" s="52"/>
      <c r="M458" s="58"/>
      <c r="N45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730</v>
      </c>
      <c r="O458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458" s="49" t="s">
        <v>25</v>
      </c>
      <c r="Q458" s="49" t="s">
        <v>838</v>
      </c>
      <c r="R458" s="48">
        <v>46128</v>
      </c>
      <c r="S458" s="59" t="s">
        <v>94</v>
      </c>
      <c r="T458" s="49"/>
      <c r="U458" s="49"/>
    </row>
    <row r="459" spans="2:21" ht="18.75" hidden="1" customHeight="1">
      <c r="B459" s="56"/>
      <c r="C459" s="57"/>
      <c r="D459" s="48">
        <v>46100</v>
      </c>
      <c r="E459" s="50" t="s">
        <v>839</v>
      </c>
      <c r="F459" s="48"/>
      <c r="G459" s="48"/>
      <c r="H459" s="49" t="s">
        <v>92</v>
      </c>
      <c r="I459" s="51">
        <v>1.3</v>
      </c>
      <c r="J459" s="51" t="s">
        <v>43</v>
      </c>
      <c r="K45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59" s="52"/>
      <c r="M459" s="58"/>
      <c r="N45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1.3</v>
      </c>
      <c r="O45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46100</v>
      </c>
      <c r="P459" s="49" t="s">
        <v>25</v>
      </c>
      <c r="Q459" s="49" t="s">
        <v>840</v>
      </c>
      <c r="R459" s="48">
        <v>46128</v>
      </c>
      <c r="S459" s="59" t="s">
        <v>94</v>
      </c>
      <c r="T459" s="49"/>
      <c r="U459" s="49"/>
    </row>
    <row r="460" spans="2:21" s="49" customFormat="1" ht="18.75" hidden="1" customHeight="1">
      <c r="B460" s="83">
        <v>46106</v>
      </c>
      <c r="C460" s="77"/>
      <c r="D460" s="83">
        <v>46155</v>
      </c>
      <c r="E460" s="77" t="s">
        <v>841</v>
      </c>
      <c r="F460" s="76"/>
      <c r="G460" s="76"/>
      <c r="H460" s="63" t="s">
        <v>181</v>
      </c>
      <c r="I460" s="79">
        <v>1125</v>
      </c>
      <c r="J460" s="79" t="s">
        <v>55</v>
      </c>
      <c r="K460" s="172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60" s="80"/>
      <c r="M460" s="81"/>
      <c r="N460" s="8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1125</v>
      </c>
      <c r="O460" s="173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460" s="63" t="s">
        <v>25</v>
      </c>
      <c r="Q460" s="63" t="s">
        <v>842</v>
      </c>
      <c r="R460" s="76">
        <v>46106</v>
      </c>
      <c r="S460" s="82" t="s">
        <v>183</v>
      </c>
      <c r="T460" s="63"/>
      <c r="U460" s="63"/>
    </row>
    <row r="461" spans="2:21" ht="18.75" hidden="1" customHeight="1">
      <c r="B461" s="83">
        <v>46127</v>
      </c>
      <c r="C461" s="77"/>
      <c r="D461" s="83">
        <v>46155</v>
      </c>
      <c r="E461" s="77" t="s">
        <v>843</v>
      </c>
      <c r="F461" s="76"/>
      <c r="G461" s="76"/>
      <c r="H461" s="63" t="s">
        <v>181</v>
      </c>
      <c r="I461" s="79">
        <v>562.5</v>
      </c>
      <c r="J461" s="79" t="s">
        <v>55</v>
      </c>
      <c r="K461" s="172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61" s="80"/>
      <c r="M461" s="81"/>
      <c r="N461" s="8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562.5</v>
      </c>
      <c r="O461" s="173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461" s="63" t="s">
        <v>25</v>
      </c>
      <c r="Q461" s="63" t="s">
        <v>844</v>
      </c>
      <c r="R461" s="76">
        <v>46127</v>
      </c>
      <c r="S461" s="82" t="s">
        <v>183</v>
      </c>
      <c r="T461" s="63" t="s">
        <v>845</v>
      </c>
      <c r="U461" s="63"/>
    </row>
    <row r="462" spans="2:21" ht="18.75" hidden="1" customHeight="1">
      <c r="B462" s="83">
        <v>46127</v>
      </c>
      <c r="C462" s="77"/>
      <c r="D462" s="83">
        <v>46155</v>
      </c>
      <c r="E462" s="77" t="s">
        <v>846</v>
      </c>
      <c r="F462" s="76"/>
      <c r="G462" s="76"/>
      <c r="H462" s="63" t="s">
        <v>181</v>
      </c>
      <c r="I462" s="79">
        <v>1125</v>
      </c>
      <c r="J462" s="79" t="s">
        <v>55</v>
      </c>
      <c r="K462" s="172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62" s="80"/>
      <c r="M462" s="81"/>
      <c r="N462" s="8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1125</v>
      </c>
      <c r="O462" s="173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462" s="63" t="s">
        <v>25</v>
      </c>
      <c r="Q462" s="63" t="s">
        <v>847</v>
      </c>
      <c r="R462" s="76">
        <v>46127</v>
      </c>
      <c r="S462" s="82" t="s">
        <v>183</v>
      </c>
      <c r="T462" s="63" t="s">
        <v>845</v>
      </c>
      <c r="U462" s="63"/>
    </row>
    <row r="463" spans="2:21" ht="18.75" hidden="1" customHeight="1">
      <c r="B463" s="56"/>
      <c r="C463" s="57"/>
      <c r="D463" s="48">
        <v>46122</v>
      </c>
      <c r="E463" s="50" t="s">
        <v>848</v>
      </c>
      <c r="F463" s="48"/>
      <c r="G463" s="48"/>
      <c r="H463" s="49" t="s">
        <v>849</v>
      </c>
      <c r="I463" s="51">
        <v>14300</v>
      </c>
      <c r="J463" s="51" t="s">
        <v>43</v>
      </c>
      <c r="K46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63" s="52"/>
      <c r="M463" s="58"/>
      <c r="N46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14300</v>
      </c>
      <c r="O46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46122</v>
      </c>
      <c r="P463" s="49" t="s">
        <v>25</v>
      </c>
      <c r="Q463" s="49" t="s">
        <v>850</v>
      </c>
      <c r="R463" s="48">
        <v>46126</v>
      </c>
      <c r="S463" s="59"/>
      <c r="T463" s="49"/>
      <c r="U463" s="49" t="s">
        <v>32</v>
      </c>
    </row>
    <row r="464" spans="2:21" ht="18.75" hidden="1" customHeight="1">
      <c r="B464" s="56"/>
      <c r="C464" s="57"/>
      <c r="D464" s="48">
        <v>46126</v>
      </c>
      <c r="E464" s="50" t="s">
        <v>851</v>
      </c>
      <c r="F464" s="48"/>
      <c r="G464" s="48"/>
      <c r="H464" s="49" t="s">
        <v>849</v>
      </c>
      <c r="I464" s="51">
        <v>12800</v>
      </c>
      <c r="J464" s="51" t="s">
        <v>43</v>
      </c>
      <c r="K46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64" s="52"/>
      <c r="M464" s="58"/>
      <c r="N46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12800</v>
      </c>
      <c r="O46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46126</v>
      </c>
      <c r="P464" s="49" t="s">
        <v>25</v>
      </c>
      <c r="Q464" s="49" t="s">
        <v>852</v>
      </c>
      <c r="R464" s="48">
        <v>46126</v>
      </c>
      <c r="S464" s="59"/>
      <c r="T464" s="49"/>
      <c r="U464" s="49" t="s">
        <v>32</v>
      </c>
    </row>
    <row r="465" spans="2:21" s="49" customFormat="1" ht="18.75" hidden="1" customHeight="1">
      <c r="B465" s="56"/>
      <c r="C465" s="57"/>
      <c r="D465" s="48">
        <v>46126</v>
      </c>
      <c r="E465" s="50" t="s">
        <v>853</v>
      </c>
      <c r="F465" s="48"/>
      <c r="G465" s="48"/>
      <c r="H465" s="49" t="s">
        <v>849</v>
      </c>
      <c r="I465" s="51">
        <v>14800</v>
      </c>
      <c r="J465" s="51" t="s">
        <v>43</v>
      </c>
      <c r="K46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65" s="52"/>
      <c r="M465" s="58"/>
      <c r="N46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14800</v>
      </c>
      <c r="O46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46126</v>
      </c>
      <c r="P465" s="49" t="s">
        <v>25</v>
      </c>
      <c r="Q465" s="49" t="s">
        <v>850</v>
      </c>
      <c r="R465" s="48">
        <v>46126</v>
      </c>
      <c r="S465" s="59"/>
      <c r="U465" s="49" t="s">
        <v>32</v>
      </c>
    </row>
    <row r="466" spans="2:21" s="49" customFormat="1" ht="18.75" hidden="1" customHeight="1">
      <c r="B466" s="56"/>
      <c r="C466" s="57"/>
      <c r="D466" s="48">
        <v>46126</v>
      </c>
      <c r="E466" s="50" t="s">
        <v>854</v>
      </c>
      <c r="F466" s="48"/>
      <c r="G466" s="48"/>
      <c r="H466" s="49" t="s">
        <v>849</v>
      </c>
      <c r="I466" s="51">
        <v>8700</v>
      </c>
      <c r="J466" s="51" t="s">
        <v>43</v>
      </c>
      <c r="K46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66" s="52"/>
      <c r="M466" s="58"/>
      <c r="N46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8700</v>
      </c>
      <c r="O46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46126</v>
      </c>
      <c r="P466" s="49" t="s">
        <v>25</v>
      </c>
      <c r="Q466" s="49" t="s">
        <v>850</v>
      </c>
      <c r="R466" s="48">
        <v>46126</v>
      </c>
      <c r="S466" s="59"/>
      <c r="U466" s="49" t="s">
        <v>32</v>
      </c>
    </row>
    <row r="467" spans="2:21" ht="18.75" hidden="1" customHeight="1">
      <c r="B467" s="56"/>
      <c r="C467" s="57"/>
      <c r="D467" s="48">
        <v>46125</v>
      </c>
      <c r="E467" s="50" t="s">
        <v>855</v>
      </c>
      <c r="F467" s="48"/>
      <c r="G467" s="48"/>
      <c r="H467" s="49" t="s">
        <v>856</v>
      </c>
      <c r="I467" s="51">
        <v>34</v>
      </c>
      <c r="J467" s="51" t="s">
        <v>43</v>
      </c>
      <c r="K46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67" s="52"/>
      <c r="M467" s="58"/>
      <c r="N46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34</v>
      </c>
      <c r="O46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46125</v>
      </c>
      <c r="P467" s="49" t="s">
        <v>25</v>
      </c>
      <c r="Q467" s="49" t="s">
        <v>857</v>
      </c>
      <c r="R467" s="48">
        <v>46125</v>
      </c>
      <c r="S467" s="59"/>
      <c r="T467" s="49"/>
      <c r="U467" s="49"/>
    </row>
    <row r="468" spans="2:21" ht="18.75" hidden="1" customHeight="1">
      <c r="B468" s="56"/>
      <c r="C468" s="57"/>
      <c r="D468" s="48">
        <v>46125</v>
      </c>
      <c r="E468" s="50" t="s">
        <v>858</v>
      </c>
      <c r="F468" s="48"/>
      <c r="G468" s="48"/>
      <c r="H468" s="49" t="s">
        <v>859</v>
      </c>
      <c r="I468" s="51">
        <v>248</v>
      </c>
      <c r="J468" s="51" t="s">
        <v>43</v>
      </c>
      <c r="K46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68" s="52"/>
      <c r="M468" s="58"/>
      <c r="N46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248</v>
      </c>
      <c r="O46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46125</v>
      </c>
      <c r="P468" s="49" t="s">
        <v>25</v>
      </c>
      <c r="Q468" s="49" t="s">
        <v>860</v>
      </c>
      <c r="R468" s="48">
        <v>46125</v>
      </c>
      <c r="S468" s="59"/>
      <c r="T468" s="49"/>
      <c r="U468" s="49"/>
    </row>
    <row r="469" spans="2:21" ht="18.75" hidden="1" customHeight="1">
      <c r="B469" s="1"/>
      <c r="D469" s="1">
        <v>45859</v>
      </c>
      <c r="E469" s="29" t="s">
        <v>861</v>
      </c>
      <c r="F469" s="1"/>
      <c r="G469" s="1"/>
      <c r="H469" t="s">
        <v>862</v>
      </c>
      <c r="I469" s="2">
        <v>390</v>
      </c>
      <c r="J469" s="2" t="s">
        <v>330</v>
      </c>
      <c r="K46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69" s="3"/>
      <c r="M469" s="11"/>
      <c r="N46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390</v>
      </c>
      <c r="O46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45889</v>
      </c>
      <c r="P469" s="49" t="s">
        <v>25</v>
      </c>
      <c r="R469" s="1">
        <v>46121</v>
      </c>
      <c r="S469" t="s">
        <v>27</v>
      </c>
    </row>
    <row r="470" spans="2:21" ht="18.75" hidden="1" customHeight="1">
      <c r="B470" s="1"/>
      <c r="D470" s="1">
        <v>45925</v>
      </c>
      <c r="E470" s="29" t="s">
        <v>863</v>
      </c>
      <c r="F470" s="1"/>
      <c r="G470" s="1"/>
      <c r="H470" t="s">
        <v>862</v>
      </c>
      <c r="I470" s="2">
        <v>435</v>
      </c>
      <c r="J470" s="2" t="s">
        <v>330</v>
      </c>
      <c r="K47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70" s="3"/>
      <c r="M470" s="11"/>
      <c r="N47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435</v>
      </c>
      <c r="O47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45955</v>
      </c>
      <c r="P470" s="49" t="s">
        <v>25</v>
      </c>
      <c r="R470" s="1">
        <v>46121</v>
      </c>
      <c r="S470" t="s">
        <v>27</v>
      </c>
    </row>
    <row r="471" spans="2:21" ht="18.75" hidden="1" customHeight="1">
      <c r="B471" s="1"/>
      <c r="D471" s="1">
        <v>46062</v>
      </c>
      <c r="E471" s="29" t="s">
        <v>864</v>
      </c>
      <c r="F471" s="1"/>
      <c r="G471" s="1"/>
      <c r="H471" t="s">
        <v>108</v>
      </c>
      <c r="I471" s="11">
        <v>3685.3</v>
      </c>
      <c r="J471" s="2" t="s">
        <v>30</v>
      </c>
      <c r="K47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71" s="3"/>
      <c r="M471" s="11"/>
      <c r="N47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3685.3</v>
      </c>
      <c r="O47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46122</v>
      </c>
      <c r="P471" s="49" t="s">
        <v>25</v>
      </c>
      <c r="Q471" t="s">
        <v>138</v>
      </c>
      <c r="R471" s="1">
        <v>46121</v>
      </c>
      <c r="S471" s="24" t="s">
        <v>27</v>
      </c>
      <c r="U471" t="s">
        <v>32</v>
      </c>
    </row>
    <row r="472" spans="2:21" ht="18.75" hidden="1" customHeight="1">
      <c r="B472" s="1"/>
      <c r="D472" s="1">
        <v>46062</v>
      </c>
      <c r="E472" s="29" t="s">
        <v>865</v>
      </c>
      <c r="F472" s="1"/>
      <c r="G472" s="1"/>
      <c r="H472" t="s">
        <v>108</v>
      </c>
      <c r="I472" s="11">
        <v>3877.1</v>
      </c>
      <c r="J472" s="2" t="s">
        <v>30</v>
      </c>
      <c r="K47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72" s="3"/>
      <c r="M472" s="11"/>
      <c r="N47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3877.1</v>
      </c>
      <c r="O47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46122</v>
      </c>
      <c r="P472" s="49" t="s">
        <v>25</v>
      </c>
      <c r="Q472" t="s">
        <v>129</v>
      </c>
      <c r="R472" s="40">
        <v>46121</v>
      </c>
      <c r="S472" s="24" t="s">
        <v>27</v>
      </c>
      <c r="U472" t="s">
        <v>32</v>
      </c>
    </row>
    <row r="473" spans="2:21" ht="18.75" hidden="1" customHeight="1">
      <c r="B473" s="1"/>
      <c r="D473" s="1">
        <v>46062</v>
      </c>
      <c r="E473" s="29" t="s">
        <v>866</v>
      </c>
      <c r="F473" s="1"/>
      <c r="G473" s="1"/>
      <c r="H473" t="s">
        <v>108</v>
      </c>
      <c r="I473" s="11">
        <v>3630.5</v>
      </c>
      <c r="J473" s="2" t="s">
        <v>30</v>
      </c>
      <c r="K47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73" s="3"/>
      <c r="M473" s="11"/>
      <c r="N47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3630.5</v>
      </c>
      <c r="O47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46122</v>
      </c>
      <c r="P473" s="49" t="s">
        <v>25</v>
      </c>
      <c r="Q473" t="s">
        <v>141</v>
      </c>
      <c r="R473" s="40">
        <v>46121</v>
      </c>
      <c r="S473" s="24" t="s">
        <v>27</v>
      </c>
      <c r="U473" t="s">
        <v>32</v>
      </c>
    </row>
    <row r="474" spans="2:21" ht="18.75" hidden="1" customHeight="1">
      <c r="B474" s="1"/>
      <c r="D474" s="1">
        <v>46062</v>
      </c>
      <c r="E474" s="9" t="s">
        <v>867</v>
      </c>
      <c r="F474" s="1"/>
      <c r="G474" s="1"/>
      <c r="H474" t="s">
        <v>108</v>
      </c>
      <c r="I474" s="11">
        <v>3657.9</v>
      </c>
      <c r="J474" s="2" t="s">
        <v>30</v>
      </c>
      <c r="K47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74" s="3"/>
      <c r="M474" s="11"/>
      <c r="N47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3657.9</v>
      </c>
      <c r="O47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46122</v>
      </c>
      <c r="P474" s="49" t="s">
        <v>25</v>
      </c>
      <c r="Q474" t="s">
        <v>190</v>
      </c>
      <c r="R474" s="40">
        <v>46121</v>
      </c>
      <c r="S474" s="24" t="s">
        <v>27</v>
      </c>
      <c r="U474" t="s">
        <v>32</v>
      </c>
    </row>
    <row r="475" spans="2:21" ht="18.75" hidden="1" customHeight="1">
      <c r="B475" s="1"/>
      <c r="D475" s="1">
        <v>46062</v>
      </c>
      <c r="E475" s="29" t="s">
        <v>868</v>
      </c>
      <c r="F475" s="1"/>
      <c r="G475" s="1"/>
      <c r="H475" t="s">
        <v>108</v>
      </c>
      <c r="I475" s="11">
        <v>3657.9</v>
      </c>
      <c r="J475" s="2" t="s">
        <v>30</v>
      </c>
      <c r="K47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75" s="3"/>
      <c r="M475" s="11"/>
      <c r="N47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3657.9</v>
      </c>
      <c r="O47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46122</v>
      </c>
      <c r="P475" s="49" t="s">
        <v>25</v>
      </c>
      <c r="Q475" t="s">
        <v>132</v>
      </c>
      <c r="R475" s="40">
        <v>46121</v>
      </c>
      <c r="S475" s="24" t="s">
        <v>27</v>
      </c>
      <c r="U475" t="s">
        <v>32</v>
      </c>
    </row>
    <row r="476" spans="2:21" s="49" customFormat="1" ht="18.75" hidden="1" customHeight="1">
      <c r="B476" s="1">
        <v>45982</v>
      </c>
      <c r="C476" t="s">
        <v>869</v>
      </c>
      <c r="D476" s="1">
        <v>46031</v>
      </c>
      <c r="E476" s="1" t="s">
        <v>870</v>
      </c>
      <c r="F476" s="1">
        <v>46024</v>
      </c>
      <c r="G476" s="1"/>
      <c r="H476" t="s">
        <v>301</v>
      </c>
      <c r="I476" s="2">
        <v>55.76</v>
      </c>
      <c r="J476" s="2" t="s">
        <v>55</v>
      </c>
      <c r="K47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76" s="3"/>
      <c r="M476" s="11"/>
      <c r="N47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55.76</v>
      </c>
      <c r="O47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46024</v>
      </c>
      <c r="P476" t="s">
        <v>25</v>
      </c>
      <c r="Q476" t="s">
        <v>594</v>
      </c>
      <c r="R476" s="1"/>
      <c r="S476" t="s">
        <v>45</v>
      </c>
      <c r="T476" s="24"/>
      <c r="U476"/>
    </row>
    <row r="477" spans="2:21" s="49" customFormat="1" ht="18.75" hidden="1" customHeight="1">
      <c r="B477" s="1">
        <v>45982</v>
      </c>
      <c r="C477" t="s">
        <v>871</v>
      </c>
      <c r="D477" s="1">
        <v>46031</v>
      </c>
      <c r="E477" s="1" t="s">
        <v>872</v>
      </c>
      <c r="F477" s="1">
        <v>46024</v>
      </c>
      <c r="G477" s="1"/>
      <c r="H477" t="s">
        <v>301</v>
      </c>
      <c r="I477" s="2">
        <v>57.2</v>
      </c>
      <c r="J477" s="2" t="s">
        <v>55</v>
      </c>
      <c r="K47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77" s="3"/>
      <c r="M477" s="11"/>
      <c r="N47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57.2</v>
      </c>
      <c r="O47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46024</v>
      </c>
      <c r="P477" t="s">
        <v>25</v>
      </c>
      <c r="Q477" t="s">
        <v>70</v>
      </c>
      <c r="R477" s="1"/>
      <c r="S477" t="s">
        <v>45</v>
      </c>
      <c r="T477" s="24"/>
      <c r="U477"/>
    </row>
    <row r="478" spans="2:21" s="49" customFormat="1" ht="18.75" hidden="1" customHeight="1">
      <c r="B478" s="44">
        <v>45989</v>
      </c>
      <c r="C478" t="s">
        <v>873</v>
      </c>
      <c r="D478" s="1">
        <v>46027</v>
      </c>
      <c r="E478" s="29" t="s">
        <v>874</v>
      </c>
      <c r="F478" s="1"/>
      <c r="G478" s="1"/>
      <c r="H478" t="s">
        <v>23</v>
      </c>
      <c r="I478" s="2">
        <v>3762.22</v>
      </c>
      <c r="J478" s="2" t="s">
        <v>24</v>
      </c>
      <c r="K47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1128.6659999999999</v>
      </c>
      <c r="L478" s="64">
        <v>46024</v>
      </c>
      <c r="M478" s="11" t="s">
        <v>25</v>
      </c>
      <c r="N47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2633.5539999999996</v>
      </c>
      <c r="O47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46087</v>
      </c>
      <c r="P478" t="s">
        <v>25</v>
      </c>
      <c r="Q478" t="s">
        <v>190</v>
      </c>
      <c r="R478" s="1">
        <v>46086</v>
      </c>
      <c r="S478" t="s">
        <v>27</v>
      </c>
      <c r="T478"/>
      <c r="U478" t="s">
        <v>32</v>
      </c>
    </row>
    <row r="479" spans="2:21" s="49" customFormat="1" ht="18.75" hidden="1" customHeight="1">
      <c r="B479" s="44">
        <v>45989</v>
      </c>
      <c r="C479" t="s">
        <v>875</v>
      </c>
      <c r="D479" s="1">
        <v>46027</v>
      </c>
      <c r="E479" s="29" t="s">
        <v>876</v>
      </c>
      <c r="F479" s="1"/>
      <c r="G479" s="1"/>
      <c r="H479" t="s">
        <v>23</v>
      </c>
      <c r="I479" s="2">
        <v>3773.94</v>
      </c>
      <c r="J479" s="2" t="s">
        <v>24</v>
      </c>
      <c r="K47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1132.182</v>
      </c>
      <c r="L479" s="64">
        <v>46024</v>
      </c>
      <c r="M479" s="11" t="s">
        <v>25</v>
      </c>
      <c r="N47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2641.7579999999998</v>
      </c>
      <c r="O47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46087</v>
      </c>
      <c r="P479" t="s">
        <v>25</v>
      </c>
      <c r="Q479" t="s">
        <v>141</v>
      </c>
      <c r="R479" s="1">
        <v>46086</v>
      </c>
      <c r="S479" t="s">
        <v>27</v>
      </c>
      <c r="T479"/>
      <c r="U479" t="s">
        <v>32</v>
      </c>
    </row>
    <row r="480" spans="2:21" s="49" customFormat="1" ht="18.75" hidden="1" customHeight="1">
      <c r="B480" s="44">
        <v>45989</v>
      </c>
      <c r="C480" t="s">
        <v>877</v>
      </c>
      <c r="D480" s="1">
        <v>46027</v>
      </c>
      <c r="E480" s="29" t="s">
        <v>878</v>
      </c>
      <c r="F480" s="1"/>
      <c r="G480" s="1"/>
      <c r="H480" t="s">
        <v>23</v>
      </c>
      <c r="I480" s="2">
        <v>3825.61</v>
      </c>
      <c r="J480" s="2" t="s">
        <v>24</v>
      </c>
      <c r="K48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1147.683</v>
      </c>
      <c r="L480" s="64">
        <v>46024</v>
      </c>
      <c r="M480" s="11" t="s">
        <v>25</v>
      </c>
      <c r="N48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2677.9270000000001</v>
      </c>
      <c r="O48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46087</v>
      </c>
      <c r="P480" t="s">
        <v>25</v>
      </c>
      <c r="Q480" t="s">
        <v>138</v>
      </c>
      <c r="R480" s="1">
        <v>46086</v>
      </c>
      <c r="S480" t="s">
        <v>27</v>
      </c>
      <c r="T480"/>
      <c r="U480" t="s">
        <v>32</v>
      </c>
    </row>
    <row r="481" spans="2:21" s="49" customFormat="1" ht="18.75" hidden="1" customHeight="1">
      <c r="B481" s="44">
        <v>45989</v>
      </c>
      <c r="C481" t="s">
        <v>879</v>
      </c>
      <c r="D481" s="1">
        <v>46027</v>
      </c>
      <c r="E481" s="29" t="s">
        <v>880</v>
      </c>
      <c r="F481" s="1"/>
      <c r="G481" s="1"/>
      <c r="H481" t="s">
        <v>23</v>
      </c>
      <c r="I481" s="2">
        <v>3815.64</v>
      </c>
      <c r="J481" s="2" t="s">
        <v>24</v>
      </c>
      <c r="K48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1144.692</v>
      </c>
      <c r="L481" s="64">
        <v>46024</v>
      </c>
      <c r="M481" s="11" t="s">
        <v>25</v>
      </c>
      <c r="N48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2670.9479999999999</v>
      </c>
      <c r="O48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46087</v>
      </c>
      <c r="P481" t="s">
        <v>25</v>
      </c>
      <c r="Q481" t="s">
        <v>132</v>
      </c>
      <c r="R481" s="1">
        <v>46086</v>
      </c>
      <c r="S481" t="s">
        <v>27</v>
      </c>
      <c r="T481"/>
      <c r="U481" t="s">
        <v>32</v>
      </c>
    </row>
    <row r="482" spans="2:21" s="49" customFormat="1" ht="18.75" hidden="1" customHeight="1">
      <c r="B482" s="44">
        <v>45989</v>
      </c>
      <c r="C482" t="s">
        <v>881</v>
      </c>
      <c r="D482" s="1">
        <v>46027</v>
      </c>
      <c r="E482" s="29" t="s">
        <v>882</v>
      </c>
      <c r="F482" s="1"/>
      <c r="G482" s="1"/>
      <c r="H482" t="s">
        <v>23</v>
      </c>
      <c r="I482" s="2">
        <v>3756.19</v>
      </c>
      <c r="J482" s="2" t="s">
        <v>24</v>
      </c>
      <c r="K48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1126.857</v>
      </c>
      <c r="L482" s="64">
        <v>46024</v>
      </c>
      <c r="M482" s="11" t="s">
        <v>25</v>
      </c>
      <c r="N48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2629.3330000000001</v>
      </c>
      <c r="O48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46087</v>
      </c>
      <c r="P482" t="s">
        <v>25</v>
      </c>
      <c r="Q482" t="s">
        <v>129</v>
      </c>
      <c r="R482" s="1">
        <v>46086</v>
      </c>
      <c r="S482" t="s">
        <v>27</v>
      </c>
      <c r="T482"/>
      <c r="U482" t="s">
        <v>32</v>
      </c>
    </row>
    <row r="483" spans="2:21" s="49" customFormat="1" ht="18.75" hidden="1" customHeight="1">
      <c r="B483" s="44">
        <v>46026</v>
      </c>
      <c r="C483" s="7" t="s">
        <v>883</v>
      </c>
      <c r="D483" s="1">
        <v>46063</v>
      </c>
      <c r="E483" s="29" t="s">
        <v>884</v>
      </c>
      <c r="F483" s="1"/>
      <c r="G483" s="1"/>
      <c r="H483" t="s">
        <v>23</v>
      </c>
      <c r="I483" s="2">
        <v>532.34</v>
      </c>
      <c r="J483" s="2" t="s">
        <v>43</v>
      </c>
      <c r="K48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83" s="3"/>
      <c r="M483" s="11"/>
      <c r="N48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532.34</v>
      </c>
      <c r="O48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46063</v>
      </c>
      <c r="P483" t="s">
        <v>25</v>
      </c>
      <c r="Q483" t="s">
        <v>885</v>
      </c>
      <c r="R483" s="1">
        <v>46066</v>
      </c>
      <c r="S483" s="24" t="s">
        <v>45</v>
      </c>
      <c r="T483"/>
      <c r="U483" t="s">
        <v>32</v>
      </c>
    </row>
    <row r="484" spans="2:21" s="49" customFormat="1" ht="18.75" hidden="1" customHeight="1">
      <c r="B484" s="1">
        <v>46027</v>
      </c>
      <c r="C484" s="7" t="s">
        <v>886</v>
      </c>
      <c r="D484" s="1">
        <v>46068</v>
      </c>
      <c r="E484" s="29" t="s">
        <v>887</v>
      </c>
      <c r="F484" s="1"/>
      <c r="G484" s="1"/>
      <c r="H484" t="s">
        <v>23</v>
      </c>
      <c r="I484" s="2">
        <v>4134.42</v>
      </c>
      <c r="J484" s="2" t="s">
        <v>24</v>
      </c>
      <c r="K48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1240.326</v>
      </c>
      <c r="L484" s="3">
        <v>46072</v>
      </c>
      <c r="M484" t="s">
        <v>25</v>
      </c>
      <c r="N48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2894.0940000000001</v>
      </c>
      <c r="O48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46128</v>
      </c>
      <c r="P484" s="49" t="s">
        <v>25</v>
      </c>
      <c r="Q484" t="s">
        <v>888</v>
      </c>
      <c r="R484" s="1">
        <v>46121</v>
      </c>
      <c r="S484" s="24" t="s">
        <v>27</v>
      </c>
      <c r="T484"/>
      <c r="U484" t="s">
        <v>32</v>
      </c>
    </row>
    <row r="485" spans="2:21" s="49" customFormat="1" ht="18.75" hidden="1" customHeight="1">
      <c r="B485" s="1">
        <v>46030</v>
      </c>
      <c r="C485" s="7" t="s">
        <v>889</v>
      </c>
      <c r="D485" s="1">
        <v>46068</v>
      </c>
      <c r="E485" s="29" t="s">
        <v>890</v>
      </c>
      <c r="F485" s="1"/>
      <c r="G485" s="1"/>
      <c r="H485" t="s">
        <v>23</v>
      </c>
      <c r="I485" s="2">
        <v>2859.85</v>
      </c>
      <c r="J485" s="2" t="s">
        <v>24</v>
      </c>
      <c r="K48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857.95499999999993</v>
      </c>
      <c r="L485" s="3">
        <v>46072</v>
      </c>
      <c r="M485" t="s">
        <v>25</v>
      </c>
      <c r="N48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2001.8949999999998</v>
      </c>
      <c r="O48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46128</v>
      </c>
      <c r="P485" s="49" t="s">
        <v>25</v>
      </c>
      <c r="Q485" t="s">
        <v>891</v>
      </c>
      <c r="R485" s="1">
        <v>46121</v>
      </c>
      <c r="S485" s="24" t="s">
        <v>27</v>
      </c>
      <c r="T485"/>
      <c r="U485" t="s">
        <v>32</v>
      </c>
    </row>
    <row r="486" spans="2:21" s="49" customFormat="1" ht="18.75" hidden="1" customHeight="1">
      <c r="B486" s="1">
        <v>46030</v>
      </c>
      <c r="C486" s="7" t="s">
        <v>892</v>
      </c>
      <c r="D486" s="1">
        <v>46068</v>
      </c>
      <c r="E486" s="29" t="s">
        <v>893</v>
      </c>
      <c r="F486" s="1"/>
      <c r="G486" s="1"/>
      <c r="H486" t="s">
        <v>23</v>
      </c>
      <c r="I486" s="2">
        <v>4205.34</v>
      </c>
      <c r="J486" s="2" t="s">
        <v>24</v>
      </c>
      <c r="K48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1261.6020000000001</v>
      </c>
      <c r="L486" s="3">
        <v>46072</v>
      </c>
      <c r="M486" t="s">
        <v>25</v>
      </c>
      <c r="N48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2943.7379999999998</v>
      </c>
      <c r="O48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46128</v>
      </c>
      <c r="P486" s="49" t="s">
        <v>25</v>
      </c>
      <c r="Q486" t="s">
        <v>894</v>
      </c>
      <c r="R486" s="1">
        <v>46121</v>
      </c>
      <c r="S486" s="24" t="s">
        <v>27</v>
      </c>
      <c r="T486"/>
      <c r="U486" t="s">
        <v>32</v>
      </c>
    </row>
    <row r="487" spans="2:21" s="49" customFormat="1" ht="18.75" customHeight="1">
      <c r="B487" s="48">
        <v>45989</v>
      </c>
      <c r="C487" s="57" t="s">
        <v>895</v>
      </c>
      <c r="D487" s="48">
        <v>46058</v>
      </c>
      <c r="E487" s="50" t="s">
        <v>896</v>
      </c>
      <c r="F487" s="48"/>
      <c r="G487" s="48"/>
      <c r="H487" s="49" t="s">
        <v>196</v>
      </c>
      <c r="I487" s="51">
        <v>10501</v>
      </c>
      <c r="J487" s="51" t="s">
        <v>78</v>
      </c>
      <c r="K48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5250.5</v>
      </c>
      <c r="L487" s="52">
        <v>46059</v>
      </c>
      <c r="M487" s="49" t="s">
        <v>25</v>
      </c>
      <c r="N48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5250.5</v>
      </c>
      <c r="O48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46118</v>
      </c>
      <c r="P487" s="49" t="s">
        <v>25</v>
      </c>
      <c r="Q487" s="49" t="s">
        <v>138</v>
      </c>
      <c r="R487" s="48">
        <v>46107</v>
      </c>
      <c r="S487" s="49" t="s">
        <v>27</v>
      </c>
      <c r="T487" s="59"/>
      <c r="U487" s="49" t="s">
        <v>32</v>
      </c>
    </row>
    <row r="488" spans="2:21" s="49" customFormat="1" ht="18.75" customHeight="1">
      <c r="B488" s="48">
        <v>45989</v>
      </c>
      <c r="C488" s="57" t="s">
        <v>897</v>
      </c>
      <c r="D488" s="48">
        <v>46058</v>
      </c>
      <c r="E488" s="50" t="s">
        <v>898</v>
      </c>
      <c r="F488" s="48"/>
      <c r="G488" s="48"/>
      <c r="H488" s="49" t="s">
        <v>196</v>
      </c>
      <c r="I488" s="51">
        <v>10376</v>
      </c>
      <c r="J488" s="51" t="s">
        <v>78</v>
      </c>
      <c r="K48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5188</v>
      </c>
      <c r="L488" s="52">
        <v>46059</v>
      </c>
      <c r="M488" s="49" t="s">
        <v>25</v>
      </c>
      <c r="N48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5188</v>
      </c>
      <c r="O48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46118</v>
      </c>
      <c r="P488" s="49" t="s">
        <v>25</v>
      </c>
      <c r="Q488" s="49" t="s">
        <v>132</v>
      </c>
      <c r="R488" s="48">
        <v>46107</v>
      </c>
      <c r="S488" s="49" t="s">
        <v>27</v>
      </c>
      <c r="T488" s="59"/>
      <c r="U488" s="49" t="s">
        <v>32</v>
      </c>
    </row>
    <row r="489" spans="2:21" ht="18.75" hidden="1" customHeight="1">
      <c r="B489" s="48">
        <v>46041</v>
      </c>
      <c r="C489" s="49">
        <v>96717</v>
      </c>
      <c r="D489" s="48">
        <v>46125</v>
      </c>
      <c r="E489" s="50">
        <v>2026201099</v>
      </c>
      <c r="F489" s="94">
        <v>46051</v>
      </c>
      <c r="G489" s="94"/>
      <c r="H489" s="49" t="s">
        <v>77</v>
      </c>
      <c r="I489" s="51">
        <v>28292.97</v>
      </c>
      <c r="J489" s="51" t="s">
        <v>78</v>
      </c>
      <c r="K48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14146.485000000001</v>
      </c>
      <c r="L489" s="92">
        <v>46051</v>
      </c>
      <c r="M489" s="49" t="s">
        <v>25</v>
      </c>
      <c r="N48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14146.485000000001</v>
      </c>
      <c r="O48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46185</v>
      </c>
      <c r="P489" s="49" t="s">
        <v>25</v>
      </c>
      <c r="Q489" s="49" t="s">
        <v>899</v>
      </c>
      <c r="R489" s="48">
        <v>46121</v>
      </c>
      <c r="S489" s="49" t="s">
        <v>27</v>
      </c>
      <c r="T489" s="49"/>
      <c r="U489" s="49"/>
    </row>
    <row r="490" spans="2:21" s="49" customFormat="1" ht="18.75" hidden="1" customHeight="1">
      <c r="B490" s="1"/>
      <c r="C490"/>
      <c r="D490" s="19" t="s">
        <v>900</v>
      </c>
      <c r="E490" s="35" t="s">
        <v>901</v>
      </c>
      <c r="F490" s="19"/>
      <c r="G490" s="19"/>
      <c r="H490" s="20" t="s">
        <v>69</v>
      </c>
      <c r="I490" s="21">
        <v>22784.27</v>
      </c>
      <c r="J490" s="21" t="s">
        <v>55</v>
      </c>
      <c r="K49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90" s="22"/>
      <c r="M490" s="11"/>
      <c r="N49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22784.27</v>
      </c>
      <c r="O490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490"/>
      <c r="Q490" t="s">
        <v>721</v>
      </c>
      <c r="R490" s="1"/>
      <c r="S490" t="s">
        <v>45</v>
      </c>
      <c r="T490"/>
      <c r="U490"/>
    </row>
    <row r="491" spans="2:21" s="49" customFormat="1" ht="18.75" customHeight="1">
      <c r="B491" s="48">
        <v>45989</v>
      </c>
      <c r="C491" s="57" t="s">
        <v>902</v>
      </c>
      <c r="D491" s="48">
        <v>46058</v>
      </c>
      <c r="E491" s="50" t="s">
        <v>903</v>
      </c>
      <c r="F491" s="48"/>
      <c r="G491" s="48"/>
      <c r="H491" s="49" t="s">
        <v>196</v>
      </c>
      <c r="I491" s="51">
        <v>11610</v>
      </c>
      <c r="J491" s="51" t="s">
        <v>78</v>
      </c>
      <c r="K49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5805</v>
      </c>
      <c r="L491" s="52">
        <v>46059</v>
      </c>
      <c r="M491" s="49" t="s">
        <v>25</v>
      </c>
      <c r="N49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5805</v>
      </c>
      <c r="O49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46118</v>
      </c>
      <c r="P491" s="49" t="s">
        <v>25</v>
      </c>
      <c r="Q491" s="49" t="s">
        <v>129</v>
      </c>
      <c r="R491" s="48">
        <v>46107</v>
      </c>
      <c r="S491" s="49" t="s">
        <v>27</v>
      </c>
      <c r="T491" s="59"/>
      <c r="U491" s="49" t="s">
        <v>32</v>
      </c>
    </row>
    <row r="492" spans="2:21" s="49" customFormat="1" ht="18.75" hidden="1" customHeight="1">
      <c r="B492" s="1"/>
      <c r="C492" s="7"/>
      <c r="D492" s="1">
        <v>46058</v>
      </c>
      <c r="E492" s="29" t="s">
        <v>904</v>
      </c>
      <c r="F492" s="1"/>
      <c r="G492" s="1"/>
      <c r="H492" s="49" t="s">
        <v>69</v>
      </c>
      <c r="I492" s="2">
        <v>1442.22</v>
      </c>
      <c r="J492" s="2" t="s">
        <v>55</v>
      </c>
      <c r="K49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92" s="3"/>
      <c r="M492"/>
      <c r="N49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1442.22</v>
      </c>
      <c r="O492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492"/>
      <c r="Q492" t="s">
        <v>198</v>
      </c>
      <c r="R492" s="1"/>
      <c r="S492" s="24" t="s">
        <v>45</v>
      </c>
      <c r="T492"/>
      <c r="U492" t="s">
        <v>32</v>
      </c>
    </row>
    <row r="493" spans="2:21" s="49" customFormat="1" ht="18.75" hidden="1" customHeight="1">
      <c r="B493" s="1"/>
      <c r="C493" s="7"/>
      <c r="D493" s="1">
        <v>46058</v>
      </c>
      <c r="E493" s="29" t="s">
        <v>905</v>
      </c>
      <c r="F493" s="1"/>
      <c r="G493" s="1"/>
      <c r="H493" s="49" t="s">
        <v>69</v>
      </c>
      <c r="I493" s="2">
        <v>180</v>
      </c>
      <c r="J493" s="2" t="s">
        <v>55</v>
      </c>
      <c r="K49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93" s="3"/>
      <c r="M493"/>
      <c r="N49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180</v>
      </c>
      <c r="O493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493"/>
      <c r="Q493" t="s">
        <v>198</v>
      </c>
      <c r="R493" s="1"/>
      <c r="S493" s="24" t="s">
        <v>45</v>
      </c>
      <c r="T493"/>
      <c r="U493" t="s">
        <v>32</v>
      </c>
    </row>
    <row r="494" spans="2:21" s="49" customFormat="1" ht="18.75" hidden="1" customHeight="1">
      <c r="B494" s="1">
        <v>46034</v>
      </c>
      <c r="C494" s="7" t="s">
        <v>906</v>
      </c>
      <c r="D494" s="1">
        <v>46068</v>
      </c>
      <c r="E494" s="29" t="s">
        <v>907</v>
      </c>
      <c r="F494" s="1"/>
      <c r="G494" s="1"/>
      <c r="H494" t="s">
        <v>23</v>
      </c>
      <c r="I494" s="2">
        <v>13823.82</v>
      </c>
      <c r="J494" s="2" t="s">
        <v>24</v>
      </c>
      <c r="K49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4147.1459999999997</v>
      </c>
      <c r="L494" s="3">
        <v>46072</v>
      </c>
      <c r="M494" t="s">
        <v>25</v>
      </c>
      <c r="N49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9676.6739999999991</v>
      </c>
      <c r="O49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46128</v>
      </c>
      <c r="P494" s="49" t="s">
        <v>25</v>
      </c>
      <c r="Q494" t="s">
        <v>908</v>
      </c>
      <c r="R494" s="1">
        <v>46121</v>
      </c>
      <c r="S494" s="24" t="s">
        <v>27</v>
      </c>
      <c r="T494"/>
      <c r="U494" t="s">
        <v>32</v>
      </c>
    </row>
    <row r="495" spans="2:21" s="49" customFormat="1" ht="18.75" hidden="1" customHeight="1">
      <c r="B495" s="1">
        <v>46038</v>
      </c>
      <c r="C495" s="7" t="s">
        <v>909</v>
      </c>
      <c r="D495" s="1">
        <v>46068</v>
      </c>
      <c r="E495" s="29" t="s">
        <v>910</v>
      </c>
      <c r="F495" s="1"/>
      <c r="G495" s="1"/>
      <c r="H495" t="s">
        <v>23</v>
      </c>
      <c r="I495" s="2">
        <v>3744.08</v>
      </c>
      <c r="J495" s="2" t="s">
        <v>24</v>
      </c>
      <c r="K49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1123.2239999999999</v>
      </c>
      <c r="L495" s="3">
        <v>46072</v>
      </c>
      <c r="M495" t="s">
        <v>25</v>
      </c>
      <c r="N49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2620.8559999999998</v>
      </c>
      <c r="O49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46128</v>
      </c>
      <c r="P495" s="49" t="s">
        <v>25</v>
      </c>
      <c r="Q495" t="s">
        <v>217</v>
      </c>
      <c r="R495" s="1">
        <v>46121</v>
      </c>
      <c r="S495" s="24" t="s">
        <v>27</v>
      </c>
      <c r="T495"/>
      <c r="U495" t="s">
        <v>32</v>
      </c>
    </row>
    <row r="496" spans="2:21" s="63" customFormat="1" ht="18.75" hidden="1" customHeight="1">
      <c r="B496" s="1">
        <v>46038</v>
      </c>
      <c r="C496" s="7" t="s">
        <v>911</v>
      </c>
      <c r="D496" s="1">
        <v>46068</v>
      </c>
      <c r="E496" s="29" t="s">
        <v>912</v>
      </c>
      <c r="F496" s="1"/>
      <c r="G496" s="1"/>
      <c r="H496" t="s">
        <v>23</v>
      </c>
      <c r="I496" s="2">
        <v>3741.51</v>
      </c>
      <c r="J496" s="2" t="s">
        <v>24</v>
      </c>
      <c r="K49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1122.453</v>
      </c>
      <c r="L496" s="3">
        <v>46072</v>
      </c>
      <c r="M496" t="s">
        <v>25</v>
      </c>
      <c r="N49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2619.0569999999998</v>
      </c>
      <c r="O49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46128</v>
      </c>
      <c r="P496" s="49" t="s">
        <v>25</v>
      </c>
      <c r="Q496" t="s">
        <v>79</v>
      </c>
      <c r="R496" s="1">
        <v>46121</v>
      </c>
      <c r="S496" s="24" t="s">
        <v>27</v>
      </c>
      <c r="T496"/>
      <c r="U496" t="s">
        <v>32</v>
      </c>
    </row>
    <row r="497" spans="1:21" ht="18.75" hidden="1" customHeight="1">
      <c r="A497" s="49"/>
      <c r="B497" s="1">
        <v>46038</v>
      </c>
      <c r="C497" s="7" t="s">
        <v>913</v>
      </c>
      <c r="D497" s="1">
        <v>46068</v>
      </c>
      <c r="E497" s="29" t="s">
        <v>914</v>
      </c>
      <c r="F497" s="1"/>
      <c r="G497" s="1"/>
      <c r="H497" t="s">
        <v>23</v>
      </c>
      <c r="I497" s="2">
        <v>2289.87</v>
      </c>
      <c r="J497" s="2" t="s">
        <v>24</v>
      </c>
      <c r="K49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686.9609999999999</v>
      </c>
      <c r="L497" s="3">
        <v>46072</v>
      </c>
      <c r="M497" t="s">
        <v>25</v>
      </c>
      <c r="N49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1602.9089999999999</v>
      </c>
      <c r="O49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46128</v>
      </c>
      <c r="P497" s="49" t="s">
        <v>25</v>
      </c>
      <c r="Q497" t="s">
        <v>915</v>
      </c>
      <c r="R497" s="1">
        <v>46121</v>
      </c>
      <c r="S497" s="24" t="s">
        <v>27</v>
      </c>
      <c r="U497" t="s">
        <v>32</v>
      </c>
    </row>
    <row r="498" spans="1:21" s="49" customFormat="1" ht="18.75" hidden="1" customHeight="1">
      <c r="B498" s="1">
        <v>46038</v>
      </c>
      <c r="C498" s="7" t="s">
        <v>916</v>
      </c>
      <c r="D498" s="1">
        <v>46068</v>
      </c>
      <c r="E498" s="29" t="s">
        <v>917</v>
      </c>
      <c r="F498" s="1"/>
      <c r="G498" s="1"/>
      <c r="H498" t="s">
        <v>23</v>
      </c>
      <c r="I498" s="2">
        <v>4629.4399999999996</v>
      </c>
      <c r="J498" s="2" t="s">
        <v>24</v>
      </c>
      <c r="K49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1388.8319999999999</v>
      </c>
      <c r="L498" s="3">
        <v>46072</v>
      </c>
      <c r="M498" t="s">
        <v>25</v>
      </c>
      <c r="N49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3240.6079999999997</v>
      </c>
      <c r="O49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46128</v>
      </c>
      <c r="P498" s="49" t="s">
        <v>25</v>
      </c>
      <c r="Q498" t="s">
        <v>899</v>
      </c>
      <c r="R498" s="1">
        <v>46121</v>
      </c>
      <c r="S498" s="24" t="s">
        <v>27</v>
      </c>
      <c r="T498"/>
      <c r="U498" t="s">
        <v>32</v>
      </c>
    </row>
    <row r="499" spans="1:21" s="49" customFormat="1" ht="18.75" hidden="1" customHeight="1">
      <c r="B499" s="56"/>
      <c r="C499" s="57"/>
      <c r="D499" s="48">
        <v>46119</v>
      </c>
      <c r="E499" s="50" t="s">
        <v>918</v>
      </c>
      <c r="F499" s="48"/>
      <c r="G499" s="48"/>
      <c r="H499" s="49" t="s">
        <v>726</v>
      </c>
      <c r="I499" s="51">
        <v>3653.79</v>
      </c>
      <c r="J499" s="51" t="s">
        <v>43</v>
      </c>
      <c r="K49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499" s="52"/>
      <c r="M499" s="58"/>
      <c r="N49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3653.79</v>
      </c>
      <c r="O49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46119</v>
      </c>
      <c r="P499" s="49" t="s">
        <v>25</v>
      </c>
      <c r="Q499" s="49" t="s">
        <v>919</v>
      </c>
      <c r="R499" s="48">
        <v>46121</v>
      </c>
      <c r="S499" s="59" t="s">
        <v>27</v>
      </c>
    </row>
    <row r="500" spans="1:21" s="49" customFormat="1" ht="18.75" hidden="1" customHeight="1">
      <c r="B500" s="56"/>
      <c r="C500" s="57"/>
      <c r="D500" s="48">
        <v>46083</v>
      </c>
      <c r="E500" s="50" t="s">
        <v>920</v>
      </c>
      <c r="F500" s="48"/>
      <c r="G500" s="48"/>
      <c r="H500" s="49" t="s">
        <v>92</v>
      </c>
      <c r="I500" s="51">
        <v>56.58</v>
      </c>
      <c r="J500" s="51" t="s">
        <v>43</v>
      </c>
      <c r="K50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00" s="52"/>
      <c r="M500" s="58"/>
      <c r="N50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56.58</v>
      </c>
      <c r="O50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46083</v>
      </c>
      <c r="P500" s="49" t="s">
        <v>25</v>
      </c>
      <c r="Q500" s="49" t="s">
        <v>921</v>
      </c>
      <c r="R500" s="48">
        <v>46121</v>
      </c>
      <c r="S500" s="59" t="s">
        <v>94</v>
      </c>
    </row>
    <row r="501" spans="1:21" s="49" customFormat="1" ht="18.75" hidden="1" customHeight="1">
      <c r="B501" s="56">
        <v>46044</v>
      </c>
      <c r="C501" s="57" t="s">
        <v>922</v>
      </c>
      <c r="D501" s="48">
        <v>46086</v>
      </c>
      <c r="E501" s="50" t="s">
        <v>923</v>
      </c>
      <c r="F501" s="48"/>
      <c r="G501" s="48"/>
      <c r="H501" s="49" t="s">
        <v>23</v>
      </c>
      <c r="I501" s="51">
        <v>10806.76</v>
      </c>
      <c r="J501" s="51" t="s">
        <v>24</v>
      </c>
      <c r="K50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3242.0279999999998</v>
      </c>
      <c r="L501" s="52">
        <v>46121</v>
      </c>
      <c r="M501" t="s">
        <v>25</v>
      </c>
      <c r="N50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7564.732</v>
      </c>
      <c r="O50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46146</v>
      </c>
      <c r="P501" t="s">
        <v>25</v>
      </c>
      <c r="Q501" s="49" t="s">
        <v>235</v>
      </c>
      <c r="R501" s="48">
        <v>46142</v>
      </c>
      <c r="S501" s="59" t="s">
        <v>45</v>
      </c>
      <c r="U501" s="49" t="s">
        <v>32</v>
      </c>
    </row>
    <row r="502" spans="1:21" s="49" customFormat="1" ht="18.75" hidden="1" customHeight="1">
      <c r="B502" s="1">
        <v>45993</v>
      </c>
      <c r="C502" t="s">
        <v>924</v>
      </c>
      <c r="D502" s="1">
        <v>46031</v>
      </c>
      <c r="E502" s="36" t="s">
        <v>925</v>
      </c>
      <c r="F502" s="1">
        <v>46024</v>
      </c>
      <c r="G502" s="1"/>
      <c r="H502" t="s">
        <v>301</v>
      </c>
      <c r="I502" s="2">
        <v>62.96</v>
      </c>
      <c r="J502" s="2" t="s">
        <v>55</v>
      </c>
      <c r="K50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02" s="3"/>
      <c r="M502" s="11"/>
      <c r="N50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62.96</v>
      </c>
      <c r="O50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46024</v>
      </c>
      <c r="P502" t="s">
        <v>25</v>
      </c>
      <c r="Q502" t="s">
        <v>926</v>
      </c>
      <c r="R502" s="1"/>
      <c r="S502" t="s">
        <v>45</v>
      </c>
      <c r="T502" s="24"/>
      <c r="U502"/>
    </row>
    <row r="503" spans="1:21" s="49" customFormat="1" ht="18.75" hidden="1" customHeight="1">
      <c r="B503" s="1">
        <v>45993</v>
      </c>
      <c r="C503" t="s">
        <v>927</v>
      </c>
      <c r="D503" s="1">
        <v>46031</v>
      </c>
      <c r="E503" s="36" t="s">
        <v>928</v>
      </c>
      <c r="F503" s="1">
        <v>46024</v>
      </c>
      <c r="G503" s="1"/>
      <c r="H503" t="s">
        <v>301</v>
      </c>
      <c r="I503" s="2">
        <v>62.96</v>
      </c>
      <c r="J503" s="2" t="s">
        <v>55</v>
      </c>
      <c r="K50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03" s="3"/>
      <c r="M503" s="11"/>
      <c r="N50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62.96</v>
      </c>
      <c r="O50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46024</v>
      </c>
      <c r="P503" t="s">
        <v>25</v>
      </c>
      <c r="Q503" t="s">
        <v>138</v>
      </c>
      <c r="R503" s="1"/>
      <c r="S503" t="s">
        <v>45</v>
      </c>
      <c r="T503" s="24"/>
      <c r="U503"/>
    </row>
    <row r="504" spans="1:21" s="49" customFormat="1" ht="18.75" hidden="1" customHeight="1">
      <c r="B504" s="1">
        <v>45993</v>
      </c>
      <c r="C504" t="s">
        <v>929</v>
      </c>
      <c r="D504" s="1">
        <v>46031</v>
      </c>
      <c r="E504" s="36" t="s">
        <v>930</v>
      </c>
      <c r="F504" s="1">
        <v>46024</v>
      </c>
      <c r="G504" s="1"/>
      <c r="H504" t="s">
        <v>301</v>
      </c>
      <c r="I504" s="2">
        <v>62.96</v>
      </c>
      <c r="J504" s="2" t="s">
        <v>55</v>
      </c>
      <c r="K50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04" s="3"/>
      <c r="M504" s="11"/>
      <c r="N50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62.96</v>
      </c>
      <c r="O50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46024</v>
      </c>
      <c r="P504" t="s">
        <v>25</v>
      </c>
      <c r="Q504" t="s">
        <v>132</v>
      </c>
      <c r="R504" s="1"/>
      <c r="S504" t="s">
        <v>45</v>
      </c>
      <c r="T504" s="24"/>
      <c r="U504"/>
    </row>
    <row r="505" spans="1:21" s="49" customFormat="1" ht="18.75" hidden="1" customHeight="1">
      <c r="B505" s="56"/>
      <c r="C505" s="57"/>
      <c r="D505" s="48">
        <v>46149</v>
      </c>
      <c r="E505" s="50">
        <v>512</v>
      </c>
      <c r="F505" s="48"/>
      <c r="G505" s="48"/>
      <c r="H505" s="49" t="s">
        <v>301</v>
      </c>
      <c r="I505" s="51">
        <v>63.17</v>
      </c>
      <c r="J505" s="51" t="s">
        <v>55</v>
      </c>
      <c r="K50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05" s="52"/>
      <c r="M505" s="58"/>
      <c r="N50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63.17</v>
      </c>
      <c r="O505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505" s="49" t="s">
        <v>25</v>
      </c>
      <c r="Q505" s="49" t="s">
        <v>39</v>
      </c>
      <c r="R505" s="48">
        <v>46156</v>
      </c>
      <c r="S505" s="59" t="s">
        <v>45</v>
      </c>
      <c r="U505" s="49" t="s">
        <v>32</v>
      </c>
    </row>
    <row r="506" spans="1:21" s="49" customFormat="1" ht="18.75" hidden="1" customHeight="1">
      <c r="B506" s="1">
        <v>45993</v>
      </c>
      <c r="C506" t="s">
        <v>931</v>
      </c>
      <c r="D506" s="1">
        <v>46031</v>
      </c>
      <c r="E506" s="36" t="s">
        <v>932</v>
      </c>
      <c r="F506" s="1">
        <v>46024</v>
      </c>
      <c r="G506" s="1"/>
      <c r="H506" t="s">
        <v>301</v>
      </c>
      <c r="I506" s="2">
        <v>64.400000000000006</v>
      </c>
      <c r="J506" s="2" t="s">
        <v>55</v>
      </c>
      <c r="K50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06" s="3"/>
      <c r="M506" s="11"/>
      <c r="N50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64.400000000000006</v>
      </c>
      <c r="O50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46024</v>
      </c>
      <c r="P506" t="s">
        <v>25</v>
      </c>
      <c r="Q506" t="s">
        <v>190</v>
      </c>
      <c r="R506" s="1"/>
      <c r="S506" t="s">
        <v>45</v>
      </c>
      <c r="T506" s="24"/>
      <c r="U506"/>
    </row>
    <row r="507" spans="1:21" s="49" customFormat="1" ht="18.75" hidden="1" customHeight="1">
      <c r="B507" s="56"/>
      <c r="C507" s="57"/>
      <c r="D507" s="48">
        <v>46119</v>
      </c>
      <c r="E507" s="50" t="s">
        <v>933</v>
      </c>
      <c r="F507" s="48"/>
      <c r="G507" s="48"/>
      <c r="H507" s="49" t="s">
        <v>934</v>
      </c>
      <c r="I507" s="51">
        <v>700</v>
      </c>
      <c r="J507" s="51" t="s">
        <v>43</v>
      </c>
      <c r="K50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07" s="52"/>
      <c r="M507" s="58"/>
      <c r="N50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700</v>
      </c>
      <c r="O50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46119</v>
      </c>
      <c r="P507" t="s">
        <v>25</v>
      </c>
      <c r="Q507" s="49" t="s">
        <v>935</v>
      </c>
      <c r="R507" s="48">
        <v>46121</v>
      </c>
      <c r="S507" s="59" t="s">
        <v>183</v>
      </c>
    </row>
    <row r="508" spans="1:21" s="49" customFormat="1" ht="18.75" hidden="1" customHeight="1">
      <c r="B508" s="56"/>
      <c r="C508" s="57"/>
      <c r="D508" s="48">
        <v>46119</v>
      </c>
      <c r="E508" s="50" t="s">
        <v>936</v>
      </c>
      <c r="F508" s="48"/>
      <c r="G508" s="48"/>
      <c r="H508" s="49" t="s">
        <v>934</v>
      </c>
      <c r="I508" s="51">
        <v>1050</v>
      </c>
      <c r="J508" s="51" t="s">
        <v>43</v>
      </c>
      <c r="K50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08" s="52"/>
      <c r="M508" s="58"/>
      <c r="N50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1050</v>
      </c>
      <c r="O50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46119</v>
      </c>
      <c r="P508" t="s">
        <v>25</v>
      </c>
      <c r="Q508" s="49" t="s">
        <v>935</v>
      </c>
      <c r="R508" s="48">
        <v>46121</v>
      </c>
      <c r="S508" s="59" t="s">
        <v>183</v>
      </c>
    </row>
    <row r="509" spans="1:21" s="49" customFormat="1" ht="18.75" hidden="1" customHeight="1">
      <c r="B509" s="56"/>
      <c r="C509" s="57"/>
      <c r="D509" s="48">
        <v>46120</v>
      </c>
      <c r="E509" s="50" t="s">
        <v>937</v>
      </c>
      <c r="F509" s="48"/>
      <c r="G509" s="48"/>
      <c r="H509" s="49" t="s">
        <v>934</v>
      </c>
      <c r="I509" s="51">
        <v>1050</v>
      </c>
      <c r="J509" s="51" t="s">
        <v>43</v>
      </c>
      <c r="K50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09" s="52"/>
      <c r="M509" s="58"/>
      <c r="N50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1050</v>
      </c>
      <c r="O50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46120</v>
      </c>
      <c r="P509" t="s">
        <v>25</v>
      </c>
      <c r="Q509" s="49" t="s">
        <v>935</v>
      </c>
      <c r="R509" s="48">
        <v>46121</v>
      </c>
      <c r="S509" s="59" t="s">
        <v>183</v>
      </c>
    </row>
    <row r="510" spans="1:21" s="49" customFormat="1" ht="18.75" customHeight="1">
      <c r="B510" s="48">
        <v>45966</v>
      </c>
      <c r="C510" s="57" t="s">
        <v>938</v>
      </c>
      <c r="D510" s="48">
        <v>46066</v>
      </c>
      <c r="E510" s="50" t="s">
        <v>939</v>
      </c>
      <c r="F510" s="48"/>
      <c r="G510" s="48"/>
      <c r="H510" s="49" t="s">
        <v>196</v>
      </c>
      <c r="I510" s="51">
        <v>29329</v>
      </c>
      <c r="J510" s="51" t="s">
        <v>78</v>
      </c>
      <c r="K51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14664.5</v>
      </c>
      <c r="L510" s="52">
        <v>46059</v>
      </c>
      <c r="M510" s="58" t="s">
        <v>25</v>
      </c>
      <c r="N51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14664.5</v>
      </c>
      <c r="O51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46126</v>
      </c>
      <c r="P510" t="s">
        <v>25</v>
      </c>
      <c r="Q510" s="49" t="s">
        <v>120</v>
      </c>
      <c r="R510" s="48">
        <v>46121</v>
      </c>
      <c r="S510" s="49" t="s">
        <v>27</v>
      </c>
      <c r="T510" s="59"/>
      <c r="U510" s="49" t="s">
        <v>32</v>
      </c>
    </row>
    <row r="511" spans="1:21" s="49" customFormat="1" ht="18.75" hidden="1" customHeight="1">
      <c r="B511" s="56"/>
      <c r="C511" s="57"/>
      <c r="D511" s="48">
        <v>46118</v>
      </c>
      <c r="E511" s="50" t="s">
        <v>940</v>
      </c>
      <c r="F511" s="48"/>
      <c r="G511" s="48"/>
      <c r="H511" s="49" t="s">
        <v>740</v>
      </c>
      <c r="I511" s="51">
        <v>750</v>
      </c>
      <c r="J511" s="51" t="s">
        <v>55</v>
      </c>
      <c r="K51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11" s="52"/>
      <c r="M511" s="58"/>
      <c r="N51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750</v>
      </c>
      <c r="O511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511" s="49" t="s">
        <v>25</v>
      </c>
      <c r="Q511" s="49" t="s">
        <v>941</v>
      </c>
      <c r="R511" s="48">
        <v>46118</v>
      </c>
      <c r="S511" s="59" t="s">
        <v>27</v>
      </c>
    </row>
    <row r="512" spans="1:21" s="49" customFormat="1" ht="18.75" hidden="1" customHeight="1">
      <c r="B512" s="56"/>
      <c r="C512" s="57"/>
      <c r="D512" s="48">
        <v>46128</v>
      </c>
      <c r="E512" s="50" t="s">
        <v>942</v>
      </c>
      <c r="F512" s="48"/>
      <c r="G512" s="48"/>
      <c r="H512" s="49" t="s">
        <v>943</v>
      </c>
      <c r="I512" s="51">
        <v>1590</v>
      </c>
      <c r="J512" s="51" t="s">
        <v>43</v>
      </c>
      <c r="K51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12" s="52"/>
      <c r="M512" s="58"/>
      <c r="N51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1590</v>
      </c>
      <c r="O51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46128</v>
      </c>
      <c r="P512" s="49" t="s">
        <v>25</v>
      </c>
      <c r="Q512" s="49" t="s">
        <v>944</v>
      </c>
      <c r="R512" s="48">
        <v>46118</v>
      </c>
      <c r="S512" s="59"/>
    </row>
    <row r="513" spans="2:21" s="49" customFormat="1" ht="18.75" hidden="1" customHeight="1">
      <c r="B513" s="1"/>
      <c r="C513" s="7"/>
      <c r="D513" s="1">
        <v>46059</v>
      </c>
      <c r="E513" s="29" t="s">
        <v>945</v>
      </c>
      <c r="F513" s="1"/>
      <c r="G513" s="1"/>
      <c r="H513" s="9" t="s">
        <v>29</v>
      </c>
      <c r="I513" s="11">
        <v>31305.4</v>
      </c>
      <c r="J513" s="2" t="s">
        <v>30</v>
      </c>
      <c r="K51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13" s="3"/>
      <c r="M513"/>
      <c r="N51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31305.4</v>
      </c>
      <c r="O51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46119</v>
      </c>
      <c r="P513" t="s">
        <v>25</v>
      </c>
      <c r="Q513" t="s">
        <v>31</v>
      </c>
      <c r="R513" s="40">
        <v>46107</v>
      </c>
      <c r="S513" s="24" t="s">
        <v>27</v>
      </c>
      <c r="T513"/>
      <c r="U513" t="s">
        <v>32</v>
      </c>
    </row>
    <row r="514" spans="2:21" s="49" customFormat="1" ht="18.75" hidden="1" customHeight="1">
      <c r="B514" s="1"/>
      <c r="C514" s="7"/>
      <c r="D514" s="1">
        <v>46062</v>
      </c>
      <c r="E514" s="29" t="s">
        <v>946</v>
      </c>
      <c r="F514" s="1"/>
      <c r="G514" s="1"/>
      <c r="H514" t="s">
        <v>29</v>
      </c>
      <c r="I514" s="42">
        <v>27622.14</v>
      </c>
      <c r="J514" s="41" t="s">
        <v>30</v>
      </c>
      <c r="K51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14" s="43"/>
      <c r="M514"/>
      <c r="N51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27622.14</v>
      </c>
      <c r="O51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46122</v>
      </c>
      <c r="P514" t="s">
        <v>25</v>
      </c>
      <c r="Q514" t="s">
        <v>947</v>
      </c>
      <c r="R514" s="1">
        <v>46108</v>
      </c>
      <c r="S514" s="24" t="s">
        <v>27</v>
      </c>
      <c r="T514"/>
      <c r="U514" t="s">
        <v>32</v>
      </c>
    </row>
    <row r="515" spans="2:21" s="49" customFormat="1" ht="18.75" hidden="1" customHeight="1">
      <c r="B515" s="1"/>
      <c r="C515" s="7"/>
      <c r="D515" s="1">
        <v>46063</v>
      </c>
      <c r="E515" s="29" t="s">
        <v>948</v>
      </c>
      <c r="F515" s="1"/>
      <c r="G515" s="1"/>
      <c r="H515" t="s">
        <v>29</v>
      </c>
      <c r="I515" s="42">
        <v>44870.400000000001</v>
      </c>
      <c r="J515" s="41" t="s">
        <v>30</v>
      </c>
      <c r="K51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15" s="43"/>
      <c r="M515"/>
      <c r="N51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44870.400000000001</v>
      </c>
      <c r="O51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46123</v>
      </c>
      <c r="P515" t="s">
        <v>25</v>
      </c>
      <c r="Q515" t="s">
        <v>101</v>
      </c>
      <c r="R515" s="1">
        <v>46108</v>
      </c>
      <c r="S515" s="24" t="s">
        <v>27</v>
      </c>
      <c r="T515"/>
      <c r="U515" t="s">
        <v>32</v>
      </c>
    </row>
    <row r="516" spans="2:21" s="49" customFormat="1" ht="18.75" hidden="1" customHeight="1">
      <c r="B516" s="1"/>
      <c r="C516" s="7"/>
      <c r="D516" s="1">
        <v>46063</v>
      </c>
      <c r="E516" s="29" t="s">
        <v>949</v>
      </c>
      <c r="F516" s="1"/>
      <c r="G516" s="1"/>
      <c r="H516" t="s">
        <v>29</v>
      </c>
      <c r="I516" s="42">
        <v>32150.1</v>
      </c>
      <c r="J516" s="41" t="s">
        <v>30</v>
      </c>
      <c r="K51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16" s="43"/>
      <c r="M516"/>
      <c r="N51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32150.1</v>
      </c>
      <c r="O51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46123</v>
      </c>
      <c r="P516" t="s">
        <v>25</v>
      </c>
      <c r="Q516" t="s">
        <v>31</v>
      </c>
      <c r="R516" s="1">
        <v>46108</v>
      </c>
      <c r="S516" s="24" t="s">
        <v>27</v>
      </c>
      <c r="T516"/>
      <c r="U516" t="s">
        <v>32</v>
      </c>
    </row>
    <row r="517" spans="2:21" s="49" customFormat="1" ht="18.75" hidden="1" customHeight="1">
      <c r="B517" s="1"/>
      <c r="C517" s="7"/>
      <c r="D517" s="1">
        <v>46063</v>
      </c>
      <c r="E517" s="29" t="s">
        <v>950</v>
      </c>
      <c r="F517" s="1"/>
      <c r="G517" s="1"/>
      <c r="H517" t="s">
        <v>29</v>
      </c>
      <c r="I517" s="41">
        <v>37245.599999999999</v>
      </c>
      <c r="J517" s="41" t="s">
        <v>30</v>
      </c>
      <c r="K51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17" s="43"/>
      <c r="M517"/>
      <c r="N51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37245.599999999999</v>
      </c>
      <c r="O51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46123</v>
      </c>
      <c r="P517" t="s">
        <v>25</v>
      </c>
      <c r="Q517" t="s">
        <v>550</v>
      </c>
      <c r="R517" s="1">
        <v>46108</v>
      </c>
      <c r="S517" s="24" t="s">
        <v>27</v>
      </c>
      <c r="T517"/>
      <c r="U517" t="s">
        <v>32</v>
      </c>
    </row>
    <row r="518" spans="2:21" s="49" customFormat="1" ht="18.75" hidden="1" customHeight="1">
      <c r="B518" s="1"/>
      <c r="C518" s="7"/>
      <c r="D518" s="1">
        <v>46063</v>
      </c>
      <c r="E518" s="29" t="s">
        <v>951</v>
      </c>
      <c r="F518" s="1"/>
      <c r="G518" s="1"/>
      <c r="H518" t="s">
        <v>29</v>
      </c>
      <c r="I518" s="41">
        <v>35919.300000000003</v>
      </c>
      <c r="J518" s="41" t="s">
        <v>30</v>
      </c>
      <c r="K51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18" s="43"/>
      <c r="M518"/>
      <c r="N51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35919.300000000003</v>
      </c>
      <c r="O51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46123</v>
      </c>
      <c r="P518" t="s">
        <v>25</v>
      </c>
      <c r="Q518" t="s">
        <v>550</v>
      </c>
      <c r="R518" s="1">
        <v>46108</v>
      </c>
      <c r="S518" s="24" t="s">
        <v>27</v>
      </c>
      <c r="T518"/>
      <c r="U518" t="s">
        <v>32</v>
      </c>
    </row>
    <row r="519" spans="2:21" s="49" customFormat="1" ht="18.75" hidden="1" customHeight="1">
      <c r="B519" s="1"/>
      <c r="C519" s="7"/>
      <c r="D519" s="1">
        <v>46063</v>
      </c>
      <c r="E519" s="29" t="s">
        <v>952</v>
      </c>
      <c r="F519" s="1"/>
      <c r="G519" s="1"/>
      <c r="H519" t="s">
        <v>29</v>
      </c>
      <c r="I519" s="2">
        <v>3153.08</v>
      </c>
      <c r="J519" s="2" t="s">
        <v>30</v>
      </c>
      <c r="K51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19" s="3"/>
      <c r="M519"/>
      <c r="N51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3153.08</v>
      </c>
      <c r="O51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46123</v>
      </c>
      <c r="P519" t="s">
        <v>25</v>
      </c>
      <c r="Q519" t="s">
        <v>953</v>
      </c>
      <c r="R519" s="1">
        <v>46108</v>
      </c>
      <c r="S519" s="24" t="s">
        <v>27</v>
      </c>
      <c r="T519"/>
      <c r="U519" t="s">
        <v>32</v>
      </c>
    </row>
    <row r="520" spans="2:21" s="49" customFormat="1" ht="18.75" hidden="1" customHeight="1">
      <c r="B520" s="1"/>
      <c r="C520" s="7"/>
      <c r="D520" s="1">
        <v>46063</v>
      </c>
      <c r="E520" s="29" t="s">
        <v>954</v>
      </c>
      <c r="F520" s="1"/>
      <c r="G520" s="1"/>
      <c r="H520" t="s">
        <v>29</v>
      </c>
      <c r="I520" s="2">
        <v>2272.4</v>
      </c>
      <c r="J520" s="2" t="s">
        <v>30</v>
      </c>
      <c r="K52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20" s="3"/>
      <c r="M520"/>
      <c r="N52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2272.4</v>
      </c>
      <c r="O52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46123</v>
      </c>
      <c r="P520" t="s">
        <v>25</v>
      </c>
      <c r="Q520" t="s">
        <v>955</v>
      </c>
      <c r="R520" s="1">
        <v>46108</v>
      </c>
      <c r="S520" s="24" t="s">
        <v>27</v>
      </c>
      <c r="T520"/>
      <c r="U520" t="s">
        <v>32</v>
      </c>
    </row>
    <row r="521" spans="2:21" ht="18.75" hidden="1" customHeight="1">
      <c r="B521" s="1"/>
      <c r="D521" s="1">
        <v>46064</v>
      </c>
      <c r="E521" s="29" t="s">
        <v>956</v>
      </c>
      <c r="F521" s="1"/>
      <c r="G521" s="1"/>
      <c r="H521" t="s">
        <v>29</v>
      </c>
      <c r="I521" s="2">
        <v>25516.83</v>
      </c>
      <c r="J521" s="2" t="s">
        <v>30</v>
      </c>
      <c r="K52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21" s="3"/>
      <c r="N52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25516.83</v>
      </c>
      <c r="O52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46124</v>
      </c>
      <c r="P521" t="s">
        <v>25</v>
      </c>
      <c r="Q521" t="s">
        <v>190</v>
      </c>
      <c r="R521" s="1">
        <v>46108</v>
      </c>
      <c r="S521" s="24" t="s">
        <v>27</v>
      </c>
      <c r="U521" t="s">
        <v>32</v>
      </c>
    </row>
    <row r="522" spans="2:21" s="49" customFormat="1" ht="18.75" hidden="1" customHeight="1">
      <c r="B522" s="1"/>
      <c r="C522" s="7"/>
      <c r="D522" s="1">
        <v>46064</v>
      </c>
      <c r="E522" s="29" t="s">
        <v>957</v>
      </c>
      <c r="F522" s="1"/>
      <c r="G522" s="1"/>
      <c r="H522" t="s">
        <v>29</v>
      </c>
      <c r="I522" s="2">
        <v>34701.699999999997</v>
      </c>
      <c r="J522" s="2" t="s">
        <v>30</v>
      </c>
      <c r="K52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22" s="3"/>
      <c r="M522"/>
      <c r="N52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34701.699999999997</v>
      </c>
      <c r="O52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46124</v>
      </c>
      <c r="P522" t="s">
        <v>25</v>
      </c>
      <c r="Q522" t="s">
        <v>31</v>
      </c>
      <c r="R522" s="1">
        <v>46108</v>
      </c>
      <c r="S522" s="24" t="s">
        <v>27</v>
      </c>
      <c r="T522"/>
      <c r="U522" t="s">
        <v>32</v>
      </c>
    </row>
    <row r="523" spans="2:21" s="49" customFormat="1" ht="18.75" hidden="1" customHeight="1">
      <c r="B523" s="1"/>
      <c r="C523" s="7"/>
      <c r="D523" s="1">
        <v>46064</v>
      </c>
      <c r="E523" s="29" t="s">
        <v>958</v>
      </c>
      <c r="F523" s="1"/>
      <c r="G523" s="1"/>
      <c r="H523" t="s">
        <v>29</v>
      </c>
      <c r="I523" s="2">
        <v>48909.31</v>
      </c>
      <c r="J523" s="2" t="s">
        <v>30</v>
      </c>
      <c r="K52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23" s="3"/>
      <c r="M523"/>
      <c r="N52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48909.31</v>
      </c>
      <c r="O52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46124</v>
      </c>
      <c r="P523" t="s">
        <v>25</v>
      </c>
      <c r="Q523" t="s">
        <v>126</v>
      </c>
      <c r="R523" s="1">
        <v>46108</v>
      </c>
      <c r="S523" s="24" t="s">
        <v>27</v>
      </c>
      <c r="T523"/>
      <c r="U523" t="s">
        <v>32</v>
      </c>
    </row>
    <row r="524" spans="2:21" s="49" customFormat="1" ht="18.75" hidden="1" customHeight="1">
      <c r="B524" s="1"/>
      <c r="C524" s="7"/>
      <c r="D524" s="1">
        <v>46064</v>
      </c>
      <c r="E524" s="29" t="s">
        <v>959</v>
      </c>
      <c r="F524" s="1"/>
      <c r="G524" s="1"/>
      <c r="H524" t="s">
        <v>29</v>
      </c>
      <c r="I524" s="2">
        <v>7480.2</v>
      </c>
      <c r="J524" s="2" t="s">
        <v>30</v>
      </c>
      <c r="K52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24" s="3"/>
      <c r="M524"/>
      <c r="N52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7480.2</v>
      </c>
      <c r="O52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46124</v>
      </c>
      <c r="P524" t="s">
        <v>25</v>
      </c>
      <c r="Q524" t="s">
        <v>31</v>
      </c>
      <c r="R524" s="1">
        <v>46108</v>
      </c>
      <c r="S524" s="24" t="s">
        <v>27</v>
      </c>
      <c r="T524"/>
      <c r="U524" t="s">
        <v>32</v>
      </c>
    </row>
    <row r="525" spans="2:21" s="49" customFormat="1" ht="18.75" hidden="1" customHeight="1">
      <c r="B525" s="1"/>
      <c r="C525" s="7"/>
      <c r="D525" s="1">
        <v>46065</v>
      </c>
      <c r="E525" s="29" t="s">
        <v>960</v>
      </c>
      <c r="F525" s="1"/>
      <c r="G525" s="1"/>
      <c r="H525" t="s">
        <v>29</v>
      </c>
      <c r="I525" s="2">
        <v>29325</v>
      </c>
      <c r="J525" s="2" t="s">
        <v>30</v>
      </c>
      <c r="K52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25" s="3"/>
      <c r="M525"/>
      <c r="N52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29325</v>
      </c>
      <c r="O52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46125</v>
      </c>
      <c r="P525" t="s">
        <v>25</v>
      </c>
      <c r="Q525" t="s">
        <v>550</v>
      </c>
      <c r="R525" s="1">
        <v>46108</v>
      </c>
      <c r="S525" s="24" t="s">
        <v>27</v>
      </c>
      <c r="T525"/>
      <c r="U525" t="s">
        <v>32</v>
      </c>
    </row>
    <row r="526" spans="2:21" s="49" customFormat="1" ht="18.75" hidden="1" customHeight="1">
      <c r="B526" s="1"/>
      <c r="C526" s="7"/>
      <c r="D526" s="1">
        <v>46065</v>
      </c>
      <c r="E526" s="29" t="s">
        <v>961</v>
      </c>
      <c r="F526" s="1"/>
      <c r="G526" s="1"/>
      <c r="H526" t="s">
        <v>29</v>
      </c>
      <c r="I526" s="2">
        <v>29427.15</v>
      </c>
      <c r="J526" s="2" t="s">
        <v>30</v>
      </c>
      <c r="K52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26" s="3"/>
      <c r="M526"/>
      <c r="N52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29427.15</v>
      </c>
      <c r="O52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46125</v>
      </c>
      <c r="P526" t="s">
        <v>25</v>
      </c>
      <c r="Q526" t="s">
        <v>550</v>
      </c>
      <c r="R526" s="1">
        <v>46108</v>
      </c>
      <c r="S526" s="24" t="s">
        <v>27</v>
      </c>
      <c r="T526"/>
      <c r="U526" t="s">
        <v>32</v>
      </c>
    </row>
    <row r="527" spans="2:21" s="49" customFormat="1" ht="18.75" hidden="1" customHeight="1">
      <c r="B527" s="1"/>
      <c r="C527" s="7"/>
      <c r="D527" s="1">
        <v>46065</v>
      </c>
      <c r="E527" s="29" t="s">
        <v>962</v>
      </c>
      <c r="F527" s="1"/>
      <c r="G527" s="1"/>
      <c r="H527" t="s">
        <v>29</v>
      </c>
      <c r="I527" s="2">
        <v>21801</v>
      </c>
      <c r="J527" s="2" t="s">
        <v>30</v>
      </c>
      <c r="K52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27" s="3"/>
      <c r="M527"/>
      <c r="N52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21801</v>
      </c>
      <c r="O52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46125</v>
      </c>
      <c r="P527" t="s">
        <v>25</v>
      </c>
      <c r="Q527" t="s">
        <v>31</v>
      </c>
      <c r="R527" s="1">
        <v>46108</v>
      </c>
      <c r="S527" s="24" t="s">
        <v>27</v>
      </c>
      <c r="T527"/>
      <c r="U527" t="s">
        <v>32</v>
      </c>
    </row>
    <row r="528" spans="2:21" s="49" customFormat="1" ht="18.75" hidden="1" customHeight="1">
      <c r="B528" s="1"/>
      <c r="C528" s="7"/>
      <c r="D528" s="1">
        <v>46065</v>
      </c>
      <c r="E528" s="29" t="s">
        <v>963</v>
      </c>
      <c r="F528" s="1"/>
      <c r="G528" s="1"/>
      <c r="H528" t="s">
        <v>29</v>
      </c>
      <c r="I528" s="2">
        <v>184.09</v>
      </c>
      <c r="J528" s="2" t="s">
        <v>30</v>
      </c>
      <c r="K52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28" s="3"/>
      <c r="M528"/>
      <c r="N52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184.09</v>
      </c>
      <c r="O52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46125</v>
      </c>
      <c r="P528" t="s">
        <v>25</v>
      </c>
      <c r="Q528" t="s">
        <v>594</v>
      </c>
      <c r="R528" s="1">
        <v>46108</v>
      </c>
      <c r="S528" s="24" t="s">
        <v>27</v>
      </c>
      <c r="T528"/>
      <c r="U528" t="s">
        <v>32</v>
      </c>
    </row>
    <row r="529" spans="2:21" s="49" customFormat="1" ht="18.75" hidden="1" customHeight="1">
      <c r="B529" s="175"/>
      <c r="C529" s="176"/>
      <c r="D529" s="175">
        <v>46065</v>
      </c>
      <c r="E529" s="177" t="s">
        <v>964</v>
      </c>
      <c r="F529" s="175"/>
      <c r="G529" s="175"/>
      <c r="H529" s="174" t="s">
        <v>29</v>
      </c>
      <c r="I529" s="178">
        <v>35157.300000000003</v>
      </c>
      <c r="J529" s="178" t="s">
        <v>30</v>
      </c>
      <c r="K52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29" s="179"/>
      <c r="M529" s="174"/>
      <c r="N52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35157.300000000003</v>
      </c>
      <c r="O52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46125</v>
      </c>
      <c r="P529" t="s">
        <v>25</v>
      </c>
      <c r="Q529" s="174" t="s">
        <v>120</v>
      </c>
      <c r="R529" s="1">
        <v>46108</v>
      </c>
      <c r="S529" s="180" t="s">
        <v>27</v>
      </c>
      <c r="T529" s="174"/>
      <c r="U529" s="174" t="s">
        <v>32</v>
      </c>
    </row>
    <row r="530" spans="2:21" s="49" customFormat="1" ht="18.75" hidden="1" customHeight="1">
      <c r="B530" s="175"/>
      <c r="C530" s="176"/>
      <c r="D530" s="175">
        <v>46065</v>
      </c>
      <c r="E530" s="177" t="s">
        <v>965</v>
      </c>
      <c r="F530" s="175"/>
      <c r="G530" s="175"/>
      <c r="H530" s="174" t="s">
        <v>29</v>
      </c>
      <c r="I530" s="178">
        <v>28792.799999999999</v>
      </c>
      <c r="J530" s="178" t="s">
        <v>30</v>
      </c>
      <c r="K53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30" s="179"/>
      <c r="M530" s="174"/>
      <c r="N53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28792.799999999999</v>
      </c>
      <c r="O53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46125</v>
      </c>
      <c r="P530" t="s">
        <v>25</v>
      </c>
      <c r="Q530" s="174" t="s">
        <v>120</v>
      </c>
      <c r="R530" s="1">
        <v>46108</v>
      </c>
      <c r="S530" s="180" t="s">
        <v>27</v>
      </c>
      <c r="T530" s="174"/>
      <c r="U530" s="174" t="s">
        <v>32</v>
      </c>
    </row>
    <row r="531" spans="2:21" s="49" customFormat="1" ht="18.75" hidden="1" customHeight="1">
      <c r="B531" s="175"/>
      <c r="C531" s="176"/>
      <c r="D531" s="175">
        <v>46065</v>
      </c>
      <c r="E531" s="177" t="s">
        <v>966</v>
      </c>
      <c r="F531" s="175"/>
      <c r="G531" s="175"/>
      <c r="H531" s="174" t="s">
        <v>29</v>
      </c>
      <c r="I531" s="178">
        <v>35910.699999999997</v>
      </c>
      <c r="J531" s="178" t="s">
        <v>30</v>
      </c>
      <c r="K53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31" s="179"/>
      <c r="M531" s="174"/>
      <c r="N53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35910.699999999997</v>
      </c>
      <c r="O53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46125</v>
      </c>
      <c r="P531" t="s">
        <v>25</v>
      </c>
      <c r="Q531" s="174" t="s">
        <v>31</v>
      </c>
      <c r="R531" s="1">
        <v>46108</v>
      </c>
      <c r="S531" s="180" t="s">
        <v>27</v>
      </c>
      <c r="T531" s="174"/>
      <c r="U531" s="174" t="s">
        <v>32</v>
      </c>
    </row>
    <row r="532" spans="2:21" s="49" customFormat="1" ht="18.75" hidden="1" customHeight="1">
      <c r="B532" s="175"/>
      <c r="C532" s="176"/>
      <c r="D532" s="175">
        <v>46066</v>
      </c>
      <c r="E532" s="177" t="s">
        <v>967</v>
      </c>
      <c r="F532" s="175"/>
      <c r="G532" s="175"/>
      <c r="H532" s="174" t="s">
        <v>29</v>
      </c>
      <c r="I532" s="178">
        <v>47128.25</v>
      </c>
      <c r="J532" s="178" t="s">
        <v>30</v>
      </c>
      <c r="K53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32" s="179"/>
      <c r="M532" s="174"/>
      <c r="N53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47128.25</v>
      </c>
      <c r="O53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46126</v>
      </c>
      <c r="P532" t="s">
        <v>25</v>
      </c>
      <c r="Q532" s="174" t="s">
        <v>126</v>
      </c>
      <c r="R532" s="1">
        <v>46108</v>
      </c>
      <c r="S532" s="180" t="s">
        <v>27</v>
      </c>
      <c r="T532" s="174"/>
      <c r="U532" s="174" t="s">
        <v>32</v>
      </c>
    </row>
    <row r="533" spans="2:21" s="49" customFormat="1" ht="18.75" hidden="1" customHeight="1">
      <c r="B533" s="175"/>
      <c r="C533" s="176"/>
      <c r="D533" s="175">
        <v>46066</v>
      </c>
      <c r="E533" s="177" t="s">
        <v>968</v>
      </c>
      <c r="F533" s="175"/>
      <c r="G533" s="175"/>
      <c r="H533" s="174" t="s">
        <v>29</v>
      </c>
      <c r="I533" s="178">
        <v>27533.98</v>
      </c>
      <c r="J533" s="178" t="s">
        <v>30</v>
      </c>
      <c r="K53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33" s="179"/>
      <c r="M533" s="174"/>
      <c r="N53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27533.98</v>
      </c>
      <c r="O53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46126</v>
      </c>
      <c r="P533" t="s">
        <v>25</v>
      </c>
      <c r="Q533" s="174" t="s">
        <v>190</v>
      </c>
      <c r="R533" s="1">
        <v>46108</v>
      </c>
      <c r="S533" s="180" t="s">
        <v>27</v>
      </c>
      <c r="T533" s="174"/>
      <c r="U533" s="174" t="s">
        <v>32</v>
      </c>
    </row>
    <row r="534" spans="2:21" s="49" customFormat="1" ht="18.75" hidden="1" customHeight="1">
      <c r="B534" s="181"/>
      <c r="C534" s="176"/>
      <c r="D534" s="175">
        <v>46069</v>
      </c>
      <c r="E534" s="177" t="s">
        <v>969</v>
      </c>
      <c r="F534" s="175"/>
      <c r="G534" s="175"/>
      <c r="H534" s="174" t="s">
        <v>29</v>
      </c>
      <c r="I534" s="178">
        <v>30152.29</v>
      </c>
      <c r="J534" s="178" t="s">
        <v>30</v>
      </c>
      <c r="K53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34" s="179"/>
      <c r="M534" s="172"/>
      <c r="N53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30152.29</v>
      </c>
      <c r="O53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46129</v>
      </c>
      <c r="P534" t="s">
        <v>25</v>
      </c>
      <c r="Q534" s="174" t="s">
        <v>550</v>
      </c>
      <c r="R534" s="1">
        <v>46108</v>
      </c>
      <c r="S534" s="180" t="s">
        <v>27</v>
      </c>
      <c r="T534" s="174"/>
      <c r="U534" s="174" t="s">
        <v>32</v>
      </c>
    </row>
    <row r="535" spans="2:21" s="49" customFormat="1" ht="18.75" hidden="1" customHeight="1">
      <c r="B535" s="181"/>
      <c r="C535" s="176"/>
      <c r="D535" s="175">
        <v>46070</v>
      </c>
      <c r="E535" s="177" t="s">
        <v>970</v>
      </c>
      <c r="F535" s="175"/>
      <c r="G535" s="175"/>
      <c r="H535" s="174" t="s">
        <v>29</v>
      </c>
      <c r="I535" s="178">
        <v>30510.84</v>
      </c>
      <c r="J535" s="178" t="s">
        <v>30</v>
      </c>
      <c r="K53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35" s="179"/>
      <c r="M535" s="172"/>
      <c r="N53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30510.84</v>
      </c>
      <c r="O53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46130</v>
      </c>
      <c r="P535" t="s">
        <v>25</v>
      </c>
      <c r="Q535" s="174" t="s">
        <v>120</v>
      </c>
      <c r="R535" s="1">
        <v>46108</v>
      </c>
      <c r="S535" s="180" t="s">
        <v>27</v>
      </c>
      <c r="T535" s="174"/>
      <c r="U535" s="174" t="s">
        <v>32</v>
      </c>
    </row>
    <row r="536" spans="2:21" s="49" customFormat="1" ht="18.75" hidden="1" customHeight="1">
      <c r="B536" s="181"/>
      <c r="C536" s="176"/>
      <c r="D536" s="175">
        <v>46070</v>
      </c>
      <c r="E536" s="177" t="s">
        <v>971</v>
      </c>
      <c r="F536" s="175"/>
      <c r="G536" s="175"/>
      <c r="H536" s="174" t="s">
        <v>29</v>
      </c>
      <c r="I536" s="178">
        <v>18466.560000000001</v>
      </c>
      <c r="J536" s="178" t="s">
        <v>30</v>
      </c>
      <c r="K53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36" s="179"/>
      <c r="M536" s="172"/>
      <c r="N53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18466.560000000001</v>
      </c>
      <c r="O53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46130</v>
      </c>
      <c r="P536" t="s">
        <v>25</v>
      </c>
      <c r="Q536" s="174" t="s">
        <v>120</v>
      </c>
      <c r="R536" s="1">
        <v>46108</v>
      </c>
      <c r="S536" s="180" t="s">
        <v>27</v>
      </c>
      <c r="T536" s="174"/>
      <c r="U536" s="174" t="s">
        <v>32</v>
      </c>
    </row>
    <row r="537" spans="2:21" s="49" customFormat="1" ht="18.75" hidden="1" customHeight="1">
      <c r="B537" s="181"/>
      <c r="C537" s="176"/>
      <c r="D537" s="175">
        <v>46070</v>
      </c>
      <c r="E537" s="177" t="s">
        <v>972</v>
      </c>
      <c r="F537" s="175"/>
      <c r="G537" s="175"/>
      <c r="H537" s="174" t="s">
        <v>29</v>
      </c>
      <c r="I537" s="178">
        <v>3988.53</v>
      </c>
      <c r="J537" s="178" t="s">
        <v>30</v>
      </c>
      <c r="K53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37" s="179"/>
      <c r="M537" s="172"/>
      <c r="N53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3988.53</v>
      </c>
      <c r="O53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46130</v>
      </c>
      <c r="P537" t="s">
        <v>25</v>
      </c>
      <c r="Q537" s="174" t="s">
        <v>255</v>
      </c>
      <c r="R537" s="1">
        <v>46108</v>
      </c>
      <c r="S537" s="180" t="s">
        <v>27</v>
      </c>
      <c r="T537" s="174"/>
      <c r="U537" s="174" t="s">
        <v>32</v>
      </c>
    </row>
    <row r="538" spans="2:21" s="49" customFormat="1" ht="18.75" hidden="1" customHeight="1">
      <c r="B538" s="44"/>
      <c r="C538" s="7"/>
      <c r="D538" s="1">
        <v>46071</v>
      </c>
      <c r="E538" s="29" t="s">
        <v>973</v>
      </c>
      <c r="F538" s="1"/>
      <c r="G538" s="1"/>
      <c r="H538" t="s">
        <v>29</v>
      </c>
      <c r="I538" s="2">
        <v>24510.28</v>
      </c>
      <c r="J538" s="2" t="s">
        <v>30</v>
      </c>
      <c r="K53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38" s="3"/>
      <c r="M538" s="11"/>
      <c r="N53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24510.28</v>
      </c>
      <c r="O53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46131</v>
      </c>
      <c r="P538" t="s">
        <v>25</v>
      </c>
      <c r="Q538" t="s">
        <v>120</v>
      </c>
      <c r="R538" s="1">
        <v>46108</v>
      </c>
      <c r="S538" s="24" t="s">
        <v>27</v>
      </c>
      <c r="T538"/>
      <c r="U538" t="s">
        <v>32</v>
      </c>
    </row>
    <row r="539" spans="2:21" s="49" customFormat="1" ht="18.75" hidden="1" customHeight="1">
      <c r="B539" s="44"/>
      <c r="C539" s="7"/>
      <c r="D539" s="1">
        <v>46072</v>
      </c>
      <c r="E539" s="29" t="s">
        <v>974</v>
      </c>
      <c r="F539" s="1"/>
      <c r="G539" s="1"/>
      <c r="H539" t="s">
        <v>29</v>
      </c>
      <c r="I539" s="2">
        <v>37676.120000000003</v>
      </c>
      <c r="J539" s="2" t="s">
        <v>30</v>
      </c>
      <c r="K53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39" s="3"/>
      <c r="M539" s="11"/>
      <c r="N53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37676.120000000003</v>
      </c>
      <c r="O53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46132</v>
      </c>
      <c r="P539" t="s">
        <v>25</v>
      </c>
      <c r="Q539" t="s">
        <v>31</v>
      </c>
      <c r="R539" s="1">
        <v>46108</v>
      </c>
      <c r="S539" s="24" t="s">
        <v>27</v>
      </c>
      <c r="T539"/>
      <c r="U539" t="s">
        <v>32</v>
      </c>
    </row>
    <row r="540" spans="2:21" s="49" customFormat="1" ht="18.75" hidden="1" customHeight="1">
      <c r="B540" s="44"/>
      <c r="C540" s="7"/>
      <c r="D540" s="1">
        <v>46072</v>
      </c>
      <c r="E540" s="29" t="s">
        <v>975</v>
      </c>
      <c r="F540" s="1"/>
      <c r="G540" s="1"/>
      <c r="H540" t="s">
        <v>29</v>
      </c>
      <c r="I540" s="2">
        <v>12214.64</v>
      </c>
      <c r="J540" s="2" t="s">
        <v>30</v>
      </c>
      <c r="K54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40" s="3"/>
      <c r="M540" s="11"/>
      <c r="N54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12214.64</v>
      </c>
      <c r="O54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46132</v>
      </c>
      <c r="P540" t="s">
        <v>25</v>
      </c>
      <c r="Q540" t="s">
        <v>550</v>
      </c>
      <c r="R540" s="1">
        <v>46108</v>
      </c>
      <c r="S540" s="24" t="s">
        <v>27</v>
      </c>
      <c r="T540"/>
      <c r="U540" t="s">
        <v>32</v>
      </c>
    </row>
    <row r="541" spans="2:21" s="49" customFormat="1" ht="18.75" hidden="1" customHeight="1">
      <c r="B541" s="44"/>
      <c r="C541" s="7"/>
      <c r="D541" s="1">
        <v>46072</v>
      </c>
      <c r="E541" s="29" t="s">
        <v>976</v>
      </c>
      <c r="F541" s="1"/>
      <c r="G541" s="1"/>
      <c r="H541" t="s">
        <v>29</v>
      </c>
      <c r="I541" s="2">
        <v>18602.48</v>
      </c>
      <c r="J541" s="2" t="s">
        <v>30</v>
      </c>
      <c r="K54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41" s="3"/>
      <c r="M541" s="11"/>
      <c r="N54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18602.48</v>
      </c>
      <c r="O54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46132</v>
      </c>
      <c r="P541" t="s">
        <v>25</v>
      </c>
      <c r="Q541" t="s">
        <v>550</v>
      </c>
      <c r="R541" s="1">
        <v>46108</v>
      </c>
      <c r="S541" s="24" t="s">
        <v>27</v>
      </c>
      <c r="T541"/>
      <c r="U541" t="s">
        <v>32</v>
      </c>
    </row>
    <row r="542" spans="2:21" s="49" customFormat="1" ht="18.75" hidden="1" customHeight="1">
      <c r="B542" s="44"/>
      <c r="C542" s="7"/>
      <c r="D542" s="1">
        <v>46072</v>
      </c>
      <c r="E542" s="29" t="s">
        <v>977</v>
      </c>
      <c r="F542" s="1"/>
      <c r="G542" s="1"/>
      <c r="H542" t="s">
        <v>29</v>
      </c>
      <c r="I542" s="2">
        <v>18597.45</v>
      </c>
      <c r="J542" s="2" t="s">
        <v>30</v>
      </c>
      <c r="K54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42" s="3"/>
      <c r="M542" s="11"/>
      <c r="N54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18597.45</v>
      </c>
      <c r="O54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46132</v>
      </c>
      <c r="P542" t="s">
        <v>25</v>
      </c>
      <c r="Q542" t="s">
        <v>915</v>
      </c>
      <c r="R542" s="1">
        <v>46108</v>
      </c>
      <c r="S542" s="24" t="s">
        <v>27</v>
      </c>
      <c r="T542"/>
      <c r="U542" t="s">
        <v>32</v>
      </c>
    </row>
    <row r="543" spans="2:21" ht="18.75" hidden="1" customHeight="1">
      <c r="B543" s="44"/>
      <c r="D543" s="1">
        <v>46073</v>
      </c>
      <c r="E543" s="29" t="s">
        <v>978</v>
      </c>
      <c r="F543" s="1"/>
      <c r="G543" s="1"/>
      <c r="H543" t="s">
        <v>29</v>
      </c>
      <c r="I543" s="2">
        <v>12074.4</v>
      </c>
      <c r="J543" s="2" t="s">
        <v>30</v>
      </c>
      <c r="K54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43" s="3"/>
      <c r="M543" s="11"/>
      <c r="N54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12074.4</v>
      </c>
      <c r="O54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46133</v>
      </c>
      <c r="P543" t="s">
        <v>25</v>
      </c>
      <c r="Q543" t="s">
        <v>31</v>
      </c>
      <c r="R543" s="1">
        <v>46108</v>
      </c>
      <c r="S543" s="24" t="s">
        <v>27</v>
      </c>
      <c r="U543" t="s">
        <v>32</v>
      </c>
    </row>
    <row r="544" spans="2:21" s="49" customFormat="1" ht="18.75" hidden="1" customHeight="1">
      <c r="B544" s="44"/>
      <c r="C544" s="7"/>
      <c r="D544" s="1">
        <v>46073</v>
      </c>
      <c r="E544" s="29" t="s">
        <v>979</v>
      </c>
      <c r="F544" s="1"/>
      <c r="G544" s="1"/>
      <c r="H544" t="s">
        <v>29</v>
      </c>
      <c r="I544" s="2">
        <v>40237.089999999997</v>
      </c>
      <c r="J544" s="2" t="s">
        <v>30</v>
      </c>
      <c r="K54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44" s="3"/>
      <c r="M544" s="11"/>
      <c r="N54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40237.089999999997</v>
      </c>
      <c r="O54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46133</v>
      </c>
      <c r="P544" t="s">
        <v>25</v>
      </c>
      <c r="Q544" t="s">
        <v>126</v>
      </c>
      <c r="R544" s="1">
        <v>46108</v>
      </c>
      <c r="S544" s="24" t="s">
        <v>27</v>
      </c>
      <c r="T544"/>
      <c r="U544" t="s">
        <v>32</v>
      </c>
    </row>
    <row r="545" spans="2:21" s="49" customFormat="1" ht="18.75" hidden="1" customHeight="1">
      <c r="B545" s="44"/>
      <c r="C545" s="7"/>
      <c r="D545" s="1">
        <v>46076</v>
      </c>
      <c r="E545" s="29" t="s">
        <v>980</v>
      </c>
      <c r="F545" s="1"/>
      <c r="G545" s="1"/>
      <c r="H545" t="s">
        <v>29</v>
      </c>
      <c r="I545" s="2">
        <v>39868.57</v>
      </c>
      <c r="J545" s="2" t="s">
        <v>30</v>
      </c>
      <c r="K54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45" s="3"/>
      <c r="M545" s="11"/>
      <c r="N54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39868.57</v>
      </c>
      <c r="O54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46136</v>
      </c>
      <c r="P545" t="s">
        <v>25</v>
      </c>
      <c r="Q545" t="s">
        <v>126</v>
      </c>
      <c r="R545" s="1">
        <v>46108</v>
      </c>
      <c r="S545" s="24" t="s">
        <v>27</v>
      </c>
      <c r="T545"/>
      <c r="U545" t="s">
        <v>32</v>
      </c>
    </row>
    <row r="546" spans="2:21" s="49" customFormat="1" ht="18.75" hidden="1" customHeight="1">
      <c r="B546" s="44"/>
      <c r="C546" s="7"/>
      <c r="D546" s="1">
        <v>46076</v>
      </c>
      <c r="E546" s="29" t="s">
        <v>981</v>
      </c>
      <c r="F546" s="1"/>
      <c r="G546" s="1"/>
      <c r="H546" t="s">
        <v>29</v>
      </c>
      <c r="I546" s="2">
        <v>30268.1</v>
      </c>
      <c r="J546" s="2" t="s">
        <v>30</v>
      </c>
      <c r="K54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46" s="3"/>
      <c r="M546" s="11"/>
      <c r="N54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30268.1</v>
      </c>
      <c r="O54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46136</v>
      </c>
      <c r="P546" t="s">
        <v>25</v>
      </c>
      <c r="Q546" t="s">
        <v>381</v>
      </c>
      <c r="R546" s="1">
        <v>46108</v>
      </c>
      <c r="S546" s="24" t="s">
        <v>27</v>
      </c>
      <c r="T546"/>
      <c r="U546" t="s">
        <v>32</v>
      </c>
    </row>
    <row r="547" spans="2:21" s="49" customFormat="1" ht="18.75" hidden="1" customHeight="1">
      <c r="B547" s="44"/>
      <c r="C547" s="7"/>
      <c r="D547" s="1">
        <v>46077</v>
      </c>
      <c r="E547" s="29" t="s">
        <v>982</v>
      </c>
      <c r="F547" s="1"/>
      <c r="G547" s="1"/>
      <c r="H547" t="s">
        <v>29</v>
      </c>
      <c r="I547" s="2">
        <v>24611.599999999999</v>
      </c>
      <c r="J547" s="2" t="s">
        <v>30</v>
      </c>
      <c r="K54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47" s="3"/>
      <c r="M547" s="11"/>
      <c r="N54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24611.599999999999</v>
      </c>
      <c r="O54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46137</v>
      </c>
      <c r="P547" t="s">
        <v>25</v>
      </c>
      <c r="Q547" t="s">
        <v>381</v>
      </c>
      <c r="R547" s="1">
        <v>46108</v>
      </c>
      <c r="S547" s="24" t="s">
        <v>27</v>
      </c>
      <c r="T547"/>
      <c r="U547" t="s">
        <v>32</v>
      </c>
    </row>
    <row r="548" spans="2:21" s="49" customFormat="1" ht="18.75" hidden="1" customHeight="1">
      <c r="B548" s="44"/>
      <c r="C548" s="7"/>
      <c r="D548" s="1">
        <v>46078</v>
      </c>
      <c r="E548" s="29" t="s">
        <v>983</v>
      </c>
      <c r="F548" s="1"/>
      <c r="G548" s="1"/>
      <c r="H548" t="s">
        <v>29</v>
      </c>
      <c r="I548" s="2">
        <v>25892.19</v>
      </c>
      <c r="J548" s="2" t="s">
        <v>30</v>
      </c>
      <c r="K54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48" s="3"/>
      <c r="M548" s="11"/>
      <c r="N54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25892.19</v>
      </c>
      <c r="O54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46138</v>
      </c>
      <c r="P548" t="s">
        <v>25</v>
      </c>
      <c r="Q548" t="s">
        <v>915</v>
      </c>
      <c r="R548" s="1">
        <v>46108</v>
      </c>
      <c r="S548" s="24" t="s">
        <v>27</v>
      </c>
      <c r="T548"/>
      <c r="U548" t="s">
        <v>32</v>
      </c>
    </row>
    <row r="549" spans="2:21" s="49" customFormat="1" ht="18.75" hidden="1" customHeight="1">
      <c r="B549" s="44"/>
      <c r="C549" s="7"/>
      <c r="D549" s="1">
        <v>46078</v>
      </c>
      <c r="E549" s="29" t="s">
        <v>984</v>
      </c>
      <c r="F549" s="1"/>
      <c r="G549" s="1"/>
      <c r="H549" t="s">
        <v>29</v>
      </c>
      <c r="I549" s="2">
        <v>122.3</v>
      </c>
      <c r="J549" s="2" t="s">
        <v>30</v>
      </c>
      <c r="K54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49" s="3"/>
      <c r="M549" s="11"/>
      <c r="N54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122.3</v>
      </c>
      <c r="O54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46138</v>
      </c>
      <c r="P549" t="s">
        <v>25</v>
      </c>
      <c r="Q549" t="s">
        <v>594</v>
      </c>
      <c r="R549" s="1">
        <v>46108</v>
      </c>
      <c r="S549" s="24" t="s">
        <v>27</v>
      </c>
      <c r="T549"/>
      <c r="U549" t="s">
        <v>32</v>
      </c>
    </row>
    <row r="550" spans="2:21" ht="18.75" hidden="1" customHeight="1">
      <c r="B550" s="44"/>
      <c r="D550" s="1">
        <v>46079</v>
      </c>
      <c r="E550" s="29" t="s">
        <v>985</v>
      </c>
      <c r="F550" s="1"/>
      <c r="G550" s="1"/>
      <c r="H550" t="s">
        <v>29</v>
      </c>
      <c r="I550" s="2">
        <v>50970.9</v>
      </c>
      <c r="J550" s="2" t="s">
        <v>30</v>
      </c>
      <c r="K55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50" s="3"/>
      <c r="M550" s="11"/>
      <c r="N55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50970.9</v>
      </c>
      <c r="O55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46139</v>
      </c>
      <c r="P550" t="s">
        <v>25</v>
      </c>
      <c r="Q550" t="s">
        <v>126</v>
      </c>
      <c r="R550" s="1">
        <v>46108</v>
      </c>
      <c r="S550" s="24" t="s">
        <v>27</v>
      </c>
      <c r="U550" t="s">
        <v>32</v>
      </c>
    </row>
    <row r="551" spans="2:21" ht="18.75" hidden="1" customHeight="1">
      <c r="B551" s="56"/>
      <c r="C551" s="57"/>
      <c r="D551" s="48">
        <v>46080</v>
      </c>
      <c r="E551" s="50" t="s">
        <v>986</v>
      </c>
      <c r="F551" s="48"/>
      <c r="G551" s="48"/>
      <c r="H551" s="49" t="s">
        <v>29</v>
      </c>
      <c r="I551" s="51">
        <v>43513.38</v>
      </c>
      <c r="J551" s="51" t="s">
        <v>30</v>
      </c>
      <c r="K551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51" s="52"/>
      <c r="M551" s="58"/>
      <c r="N551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43513.38</v>
      </c>
      <c r="O551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46140</v>
      </c>
      <c r="P551" s="49" t="s">
        <v>25</v>
      </c>
      <c r="Q551" s="49" t="s">
        <v>522</v>
      </c>
      <c r="R551" s="48">
        <v>46108</v>
      </c>
      <c r="S551" s="59" t="s">
        <v>27</v>
      </c>
      <c r="T551" s="49"/>
      <c r="U551" s="49" t="s">
        <v>32</v>
      </c>
    </row>
    <row r="552" spans="2:21" s="49" customFormat="1" ht="18.75" hidden="1" customHeight="1">
      <c r="B552" s="56"/>
      <c r="C552" s="57"/>
      <c r="D552" s="48">
        <v>46083</v>
      </c>
      <c r="E552" s="50" t="s">
        <v>987</v>
      </c>
      <c r="F552" s="48"/>
      <c r="G552" s="48"/>
      <c r="H552" s="49" t="s">
        <v>29</v>
      </c>
      <c r="I552" s="51">
        <v>22267.21</v>
      </c>
      <c r="J552" s="51" t="s">
        <v>30</v>
      </c>
      <c r="K552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52" s="52"/>
      <c r="M552" s="58"/>
      <c r="N552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22267.21</v>
      </c>
      <c r="O552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46143</v>
      </c>
      <c r="P552" s="49" t="s">
        <v>25</v>
      </c>
      <c r="Q552" s="49" t="s">
        <v>666</v>
      </c>
      <c r="R552" s="48">
        <v>46142</v>
      </c>
      <c r="S552" s="59" t="s">
        <v>27</v>
      </c>
      <c r="U552" s="49" t="s">
        <v>32</v>
      </c>
    </row>
    <row r="553" spans="2:21" s="49" customFormat="1" ht="18.75" hidden="1" customHeight="1">
      <c r="B553" s="56"/>
      <c r="C553" s="57"/>
      <c r="D553" s="48">
        <v>46083</v>
      </c>
      <c r="E553" s="50" t="s">
        <v>988</v>
      </c>
      <c r="F553" s="48"/>
      <c r="G553" s="48"/>
      <c r="H553" s="49" t="s">
        <v>29</v>
      </c>
      <c r="I553" s="51">
        <v>28484.1</v>
      </c>
      <c r="J553" s="51" t="s">
        <v>30</v>
      </c>
      <c r="K553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53" s="52"/>
      <c r="M553" s="58"/>
      <c r="N553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28484.1</v>
      </c>
      <c r="O553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46143</v>
      </c>
      <c r="P553" s="49" t="s">
        <v>25</v>
      </c>
      <c r="Q553" s="49" t="s">
        <v>666</v>
      </c>
      <c r="R553" s="48">
        <v>46142</v>
      </c>
      <c r="S553" s="59" t="s">
        <v>27</v>
      </c>
      <c r="U553" s="49" t="s">
        <v>32</v>
      </c>
    </row>
    <row r="554" spans="2:21" s="49" customFormat="1" ht="18.75" hidden="1" customHeight="1">
      <c r="B554" s="56"/>
      <c r="C554" s="57"/>
      <c r="D554" s="48">
        <v>46083</v>
      </c>
      <c r="E554" s="50" t="s">
        <v>989</v>
      </c>
      <c r="F554" s="48"/>
      <c r="G554" s="48"/>
      <c r="H554" s="49" t="s">
        <v>29</v>
      </c>
      <c r="I554" s="51">
        <v>38893.96</v>
      </c>
      <c r="J554" s="51" t="s">
        <v>30</v>
      </c>
      <c r="K554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54" s="52"/>
      <c r="M554" s="58"/>
      <c r="N554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38893.96</v>
      </c>
      <c r="O554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46143</v>
      </c>
      <c r="P554" s="49" t="s">
        <v>25</v>
      </c>
      <c r="Q554" s="49" t="s">
        <v>522</v>
      </c>
      <c r="R554" s="48">
        <v>46142</v>
      </c>
      <c r="S554" s="59" t="s">
        <v>27</v>
      </c>
      <c r="U554" s="49" t="s">
        <v>32</v>
      </c>
    </row>
    <row r="555" spans="2:21" s="49" customFormat="1" ht="18.75" hidden="1" customHeight="1">
      <c r="B555" s="56"/>
      <c r="C555" s="57"/>
      <c r="D555" s="48">
        <v>46085</v>
      </c>
      <c r="E555" s="50" t="s">
        <v>990</v>
      </c>
      <c r="F555" s="48"/>
      <c r="G555" s="48"/>
      <c r="H555" s="49" t="s">
        <v>29</v>
      </c>
      <c r="I555" s="51">
        <v>1613.6</v>
      </c>
      <c r="J555" s="51" t="s">
        <v>30</v>
      </c>
      <c r="K555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55" s="52"/>
      <c r="M555" s="58"/>
      <c r="N555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1613.6</v>
      </c>
      <c r="O555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46145</v>
      </c>
      <c r="P555" s="49" t="s">
        <v>25</v>
      </c>
      <c r="Q555" s="49" t="s">
        <v>144</v>
      </c>
      <c r="R555" s="48">
        <v>46142</v>
      </c>
      <c r="S555" s="59" t="s">
        <v>27</v>
      </c>
      <c r="U555" s="49" t="s">
        <v>32</v>
      </c>
    </row>
    <row r="556" spans="2:21" s="49" customFormat="1" ht="18.75" hidden="1" customHeight="1">
      <c r="B556" s="56"/>
      <c r="C556" s="57"/>
      <c r="D556" s="48">
        <v>46087</v>
      </c>
      <c r="E556" s="50" t="s">
        <v>991</v>
      </c>
      <c r="F556" s="48"/>
      <c r="G556" s="48"/>
      <c r="H556" s="49" t="s">
        <v>29</v>
      </c>
      <c r="I556" s="51">
        <v>54915.3</v>
      </c>
      <c r="J556" s="51" t="s">
        <v>30</v>
      </c>
      <c r="K556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56" s="52"/>
      <c r="M556" s="58"/>
      <c r="N556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54915.3</v>
      </c>
      <c r="O556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46147</v>
      </c>
      <c r="P556" s="49" t="s">
        <v>25</v>
      </c>
      <c r="Q556" s="49" t="s">
        <v>126</v>
      </c>
      <c r="R556" s="48">
        <v>46142</v>
      </c>
      <c r="S556" s="59" t="s">
        <v>27</v>
      </c>
      <c r="U556" s="49" t="s">
        <v>32</v>
      </c>
    </row>
    <row r="557" spans="2:21" s="49" customFormat="1" ht="18.75" hidden="1" customHeight="1">
      <c r="B557" s="56"/>
      <c r="C557" s="57"/>
      <c r="D557" s="48">
        <v>46087</v>
      </c>
      <c r="E557" s="50" t="s">
        <v>992</v>
      </c>
      <c r="F557" s="48"/>
      <c r="G557" s="48"/>
      <c r="H557" s="49" t="s">
        <v>29</v>
      </c>
      <c r="I557" s="51">
        <v>47426</v>
      </c>
      <c r="J557" s="51" t="s">
        <v>30</v>
      </c>
      <c r="K557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57" s="52"/>
      <c r="M557" s="58"/>
      <c r="N557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47426</v>
      </c>
      <c r="O557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46147</v>
      </c>
      <c r="P557" s="49" t="s">
        <v>25</v>
      </c>
      <c r="Q557" s="49" t="s">
        <v>126</v>
      </c>
      <c r="R557" s="48">
        <v>46142</v>
      </c>
      <c r="S557" s="59" t="s">
        <v>27</v>
      </c>
      <c r="U557" s="49" t="s">
        <v>32</v>
      </c>
    </row>
    <row r="558" spans="2:21" s="49" customFormat="1" ht="18.75" hidden="1" customHeight="1">
      <c r="B558" s="56"/>
      <c r="C558" s="57"/>
      <c r="D558" s="48">
        <v>46087</v>
      </c>
      <c r="E558" s="50" t="s">
        <v>993</v>
      </c>
      <c r="F558" s="48"/>
      <c r="G558" s="48"/>
      <c r="H558" s="49" t="s">
        <v>29</v>
      </c>
      <c r="I558" s="66">
        <v>38483.01</v>
      </c>
      <c r="J558" s="66" t="s">
        <v>30</v>
      </c>
      <c r="K558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58" s="67"/>
      <c r="M558" s="95"/>
      <c r="N558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38483.01</v>
      </c>
      <c r="O558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46147</v>
      </c>
      <c r="P558" s="49" t="s">
        <v>25</v>
      </c>
      <c r="Q558" s="49" t="s">
        <v>994</v>
      </c>
      <c r="R558" s="48">
        <v>46142</v>
      </c>
      <c r="S558" s="59" t="s">
        <v>27</v>
      </c>
      <c r="U558" s="49" t="s">
        <v>32</v>
      </c>
    </row>
    <row r="559" spans="2:21" s="49" customFormat="1" ht="18.75" hidden="1" customHeight="1">
      <c r="B559" s="56"/>
      <c r="C559" s="57"/>
      <c r="D559" s="48">
        <v>46087</v>
      </c>
      <c r="E559" s="50" t="s">
        <v>995</v>
      </c>
      <c r="F559" s="48"/>
      <c r="G559" s="48"/>
      <c r="H559" s="49" t="s">
        <v>29</v>
      </c>
      <c r="I559" s="66">
        <v>38934.699999999997</v>
      </c>
      <c r="J559" s="66" t="s">
        <v>30</v>
      </c>
      <c r="K559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59" s="67"/>
      <c r="M559" s="95"/>
      <c r="N559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38934.699999999997</v>
      </c>
      <c r="O559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46147</v>
      </c>
      <c r="P559" s="49" t="s">
        <v>25</v>
      </c>
      <c r="Q559" s="49" t="s">
        <v>996</v>
      </c>
      <c r="R559" s="48">
        <v>46142</v>
      </c>
      <c r="S559" s="59" t="s">
        <v>27</v>
      </c>
      <c r="U559" s="49" t="s">
        <v>32</v>
      </c>
    </row>
    <row r="560" spans="2:21" s="49" customFormat="1" ht="18.75" hidden="1" customHeight="1">
      <c r="B560" s="56"/>
      <c r="C560" s="57"/>
      <c r="D560" s="48">
        <v>46090</v>
      </c>
      <c r="E560" s="145" t="s">
        <v>997</v>
      </c>
      <c r="F560" s="48"/>
      <c r="G560" s="48"/>
      <c r="H560" s="49" t="s">
        <v>29</v>
      </c>
      <c r="I560" s="51">
        <v>18485.88</v>
      </c>
      <c r="J560" s="51" t="s">
        <v>30</v>
      </c>
      <c r="K560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60" s="52"/>
      <c r="M560" s="51"/>
      <c r="N560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18485.88</v>
      </c>
      <c r="O560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46150</v>
      </c>
      <c r="P560" s="49" t="s">
        <v>25</v>
      </c>
      <c r="Q560" s="49" t="s">
        <v>996</v>
      </c>
      <c r="R560" s="48">
        <v>46149</v>
      </c>
      <c r="S560" s="59" t="s">
        <v>27</v>
      </c>
      <c r="U560" s="49" t="s">
        <v>32</v>
      </c>
    </row>
    <row r="561" spans="2:21" ht="18.75" hidden="1" customHeight="1">
      <c r="B561" s="56"/>
      <c r="C561" s="57"/>
      <c r="D561" s="48">
        <v>46090</v>
      </c>
      <c r="E561" s="145" t="s">
        <v>998</v>
      </c>
      <c r="F561" s="48"/>
      <c r="G561" s="48"/>
      <c r="H561" s="49" t="s">
        <v>29</v>
      </c>
      <c r="I561" s="51">
        <v>7960.1</v>
      </c>
      <c r="J561" s="51" t="s">
        <v>30</v>
      </c>
      <c r="K561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61" s="52"/>
      <c r="M561" s="51"/>
      <c r="N561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7960.1</v>
      </c>
      <c r="O561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46150</v>
      </c>
      <c r="P561" s="49" t="s">
        <v>25</v>
      </c>
      <c r="Q561" s="49" t="s">
        <v>996</v>
      </c>
      <c r="R561" s="48">
        <v>46149</v>
      </c>
      <c r="S561" s="59" t="s">
        <v>27</v>
      </c>
      <c r="T561" s="49"/>
      <c r="U561" s="49" t="s">
        <v>32</v>
      </c>
    </row>
    <row r="562" spans="2:21" ht="18.75" hidden="1" customHeight="1">
      <c r="B562" s="56"/>
      <c r="C562" s="57"/>
      <c r="D562" s="48">
        <v>46090</v>
      </c>
      <c r="E562" s="145" t="s">
        <v>999</v>
      </c>
      <c r="F562" s="48"/>
      <c r="G562" s="48"/>
      <c r="H562" s="49" t="s">
        <v>29</v>
      </c>
      <c r="I562" s="51">
        <v>32974.269999999997</v>
      </c>
      <c r="J562" s="51" t="s">
        <v>30</v>
      </c>
      <c r="K562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62" s="52"/>
      <c r="M562" s="51"/>
      <c r="N562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32974.269999999997</v>
      </c>
      <c r="O562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46150</v>
      </c>
      <c r="P562" s="49" t="s">
        <v>25</v>
      </c>
      <c r="Q562" s="49" t="s">
        <v>994</v>
      </c>
      <c r="R562" s="48">
        <v>46149</v>
      </c>
      <c r="S562" s="59" t="s">
        <v>27</v>
      </c>
      <c r="T562" s="49"/>
      <c r="U562" s="49" t="s">
        <v>32</v>
      </c>
    </row>
    <row r="563" spans="2:21" ht="18.75" hidden="1" customHeight="1">
      <c r="B563" s="1"/>
      <c r="D563" s="1">
        <v>46052</v>
      </c>
      <c r="E563" s="29" t="s">
        <v>1000</v>
      </c>
      <c r="F563" s="1"/>
      <c r="G563" s="1"/>
      <c r="H563" s="9" t="s">
        <v>108</v>
      </c>
      <c r="I563" s="11">
        <v>24605.200000000001</v>
      </c>
      <c r="J563" s="2" t="s">
        <v>30</v>
      </c>
      <c r="K56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63" s="3"/>
      <c r="M563" s="11"/>
      <c r="N56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24605.200000000001</v>
      </c>
      <c r="O56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46112</v>
      </c>
      <c r="P563" t="s">
        <v>25</v>
      </c>
      <c r="Q563" t="s">
        <v>1001</v>
      </c>
      <c r="R563" s="1">
        <v>46107</v>
      </c>
      <c r="S563" t="s">
        <v>27</v>
      </c>
    </row>
    <row r="564" spans="2:21" s="49" customFormat="1" ht="18.75" hidden="1" customHeight="1">
      <c r="B564" s="56">
        <v>46048</v>
      </c>
      <c r="C564" s="57" t="s">
        <v>1002</v>
      </c>
      <c r="D564" s="48">
        <v>46122</v>
      </c>
      <c r="E564" s="50">
        <v>404</v>
      </c>
      <c r="F564" s="48"/>
      <c r="G564" s="48"/>
      <c r="H564" s="49" t="s">
        <v>301</v>
      </c>
      <c r="I564" s="51">
        <v>65.84</v>
      </c>
      <c r="J564" s="51" t="s">
        <v>55</v>
      </c>
      <c r="K56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64" s="52"/>
      <c r="M564" s="58"/>
      <c r="N56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65.84</v>
      </c>
      <c r="O564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564" s="49" t="s">
        <v>25</v>
      </c>
      <c r="Q564" s="49" t="s">
        <v>1003</v>
      </c>
      <c r="R564" s="48">
        <v>46121</v>
      </c>
      <c r="S564" s="59" t="s">
        <v>45</v>
      </c>
      <c r="U564" s="49" t="s">
        <v>32</v>
      </c>
    </row>
    <row r="565" spans="2:21" s="49" customFormat="1" ht="18.75" hidden="1" customHeight="1">
      <c r="B565" s="48">
        <v>46031</v>
      </c>
      <c r="C565" s="49" t="s">
        <v>1004</v>
      </c>
      <c r="D565" s="48">
        <v>46076</v>
      </c>
      <c r="E565" s="50">
        <v>200</v>
      </c>
      <c r="F565" s="48"/>
      <c r="G565" s="48"/>
      <c r="H565" s="49" t="s">
        <v>301</v>
      </c>
      <c r="I565" s="51">
        <v>65.84</v>
      </c>
      <c r="J565" s="51" t="s">
        <v>55</v>
      </c>
      <c r="K56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65" s="52"/>
      <c r="M565" s="58"/>
      <c r="N56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65.84</v>
      </c>
      <c r="O565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565" s="49" t="s">
        <v>25</v>
      </c>
      <c r="Q565" s="49" t="s">
        <v>1005</v>
      </c>
      <c r="R565" s="48">
        <v>46072</v>
      </c>
      <c r="S565" s="49" t="s">
        <v>45</v>
      </c>
      <c r="U565" s="49" t="s">
        <v>32</v>
      </c>
    </row>
    <row r="566" spans="2:21" s="49" customFormat="1" ht="18.75" hidden="1" customHeight="1">
      <c r="B566" s="56">
        <v>46146</v>
      </c>
      <c r="C566" s="57" t="s">
        <v>1006</v>
      </c>
      <c r="D566" s="48">
        <v>46168</v>
      </c>
      <c r="E566" s="50">
        <v>600</v>
      </c>
      <c r="F566" s="48"/>
      <c r="G566" s="48"/>
      <c r="H566" s="49" t="s">
        <v>301</v>
      </c>
      <c r="I566" s="51">
        <v>67.64</v>
      </c>
      <c r="J566" s="51" t="s">
        <v>55</v>
      </c>
      <c r="K566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66" s="52"/>
      <c r="M566" s="58"/>
      <c r="N566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67.64</v>
      </c>
      <c r="O566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566" s="49" t="s">
        <v>25</v>
      </c>
      <c r="Q566" s="49" t="s">
        <v>115</v>
      </c>
      <c r="R566" s="48">
        <v>46170</v>
      </c>
      <c r="S566" s="59" t="s">
        <v>45</v>
      </c>
      <c r="U566" s="49" t="s">
        <v>32</v>
      </c>
    </row>
    <row r="567" spans="2:21" s="49" customFormat="1" ht="18.75" hidden="1" customHeight="1">
      <c r="B567" s="1">
        <v>45982</v>
      </c>
      <c r="C567" t="s">
        <v>1007</v>
      </c>
      <c r="D567" s="1">
        <v>46031</v>
      </c>
      <c r="E567" s="1" t="s">
        <v>1008</v>
      </c>
      <c r="F567" s="1">
        <v>46024</v>
      </c>
      <c r="G567" s="1"/>
      <c r="H567" t="s">
        <v>301</v>
      </c>
      <c r="I567" s="2">
        <v>68.72</v>
      </c>
      <c r="J567" s="2" t="s">
        <v>55</v>
      </c>
      <c r="K56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67" s="3"/>
      <c r="M567" s="11"/>
      <c r="N56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68.72</v>
      </c>
      <c r="O56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46024</v>
      </c>
      <c r="P567" t="s">
        <v>25</v>
      </c>
      <c r="Q567" t="s">
        <v>659</v>
      </c>
      <c r="R567" s="1"/>
      <c r="S567" t="s">
        <v>45</v>
      </c>
      <c r="T567" s="24"/>
      <c r="U567"/>
    </row>
    <row r="568" spans="2:21" s="49" customFormat="1" ht="18.75" hidden="1" customHeight="1">
      <c r="B568" s="48">
        <v>46062</v>
      </c>
      <c r="C568" s="57" t="s">
        <v>1009</v>
      </c>
      <c r="D568" s="48">
        <v>46108</v>
      </c>
      <c r="E568" s="50">
        <v>354</v>
      </c>
      <c r="F568" s="48"/>
      <c r="G568" s="48"/>
      <c r="H568" s="49" t="s">
        <v>301</v>
      </c>
      <c r="I568" s="58">
        <v>71.599999999999994</v>
      </c>
      <c r="J568" s="51" t="s">
        <v>55</v>
      </c>
      <c r="K56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68" s="52"/>
      <c r="N56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71.599999999999994</v>
      </c>
      <c r="O568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568" s="49" t="s">
        <v>25</v>
      </c>
      <c r="Q568" s="49" t="s">
        <v>705</v>
      </c>
      <c r="R568" s="48">
        <v>46107</v>
      </c>
      <c r="S568" s="59" t="s">
        <v>45</v>
      </c>
      <c r="U568" s="49" t="s">
        <v>32</v>
      </c>
    </row>
    <row r="569" spans="2:21" s="49" customFormat="1" ht="18.75" hidden="1" customHeight="1">
      <c r="B569" s="56">
        <v>46072</v>
      </c>
      <c r="C569" s="57" t="s">
        <v>1010</v>
      </c>
      <c r="D569" s="48">
        <v>46108</v>
      </c>
      <c r="E569" s="50">
        <v>357</v>
      </c>
      <c r="F569" s="48"/>
      <c r="G569" s="48"/>
      <c r="H569" s="49" t="s">
        <v>301</v>
      </c>
      <c r="I569" s="58">
        <v>71.599999999999994</v>
      </c>
      <c r="J569" s="51" t="s">
        <v>55</v>
      </c>
      <c r="K56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69" s="52"/>
      <c r="M569" s="58"/>
      <c r="N56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71.599999999999994</v>
      </c>
      <c r="O569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569" s="49" t="s">
        <v>25</v>
      </c>
      <c r="Q569" s="49" t="s">
        <v>112</v>
      </c>
      <c r="R569" s="48">
        <v>46107</v>
      </c>
      <c r="S569" s="59" t="s">
        <v>45</v>
      </c>
      <c r="U569" s="49" t="s">
        <v>32</v>
      </c>
    </row>
    <row r="570" spans="2:21" s="49" customFormat="1" ht="18.75" customHeight="1">
      <c r="B570" s="48">
        <v>45953</v>
      </c>
      <c r="C570" s="57" t="s">
        <v>1011</v>
      </c>
      <c r="D570" s="48">
        <v>46066</v>
      </c>
      <c r="E570" s="50" t="s">
        <v>1012</v>
      </c>
      <c r="F570" s="48"/>
      <c r="G570" s="48"/>
      <c r="H570" s="49" t="s">
        <v>196</v>
      </c>
      <c r="I570" s="51">
        <v>38263</v>
      </c>
      <c r="J570" s="51" t="s">
        <v>78</v>
      </c>
      <c r="K57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19131.5</v>
      </c>
      <c r="L570" s="52">
        <v>46051</v>
      </c>
      <c r="M570" s="49" t="s">
        <v>25</v>
      </c>
      <c r="N57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19131.5</v>
      </c>
      <c r="O57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46126</v>
      </c>
      <c r="P570" t="s">
        <v>25</v>
      </c>
      <c r="Q570" s="49" t="s">
        <v>123</v>
      </c>
      <c r="R570" s="48">
        <v>46121</v>
      </c>
      <c r="S570" s="49" t="s">
        <v>27</v>
      </c>
      <c r="U570" s="49" t="s">
        <v>32</v>
      </c>
    </row>
    <row r="571" spans="2:21" s="49" customFormat="1" ht="18.75" customHeight="1">
      <c r="B571" s="48">
        <v>45945</v>
      </c>
      <c r="C571" s="57" t="s">
        <v>1013</v>
      </c>
      <c r="D571" s="48">
        <v>46070</v>
      </c>
      <c r="E571" s="50" t="s">
        <v>1014</v>
      </c>
      <c r="F571" s="48"/>
      <c r="G571" s="48"/>
      <c r="H571" s="49" t="s">
        <v>196</v>
      </c>
      <c r="I571" s="51">
        <v>23869</v>
      </c>
      <c r="J571" s="51" t="s">
        <v>78</v>
      </c>
      <c r="K57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11934.5</v>
      </c>
      <c r="L571" s="52">
        <v>46072</v>
      </c>
      <c r="M571" s="49" t="s">
        <v>25</v>
      </c>
      <c r="N57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11934.5</v>
      </c>
      <c r="O57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46130</v>
      </c>
      <c r="P571" s="49" t="s">
        <v>25</v>
      </c>
      <c r="Q571" s="49" t="s">
        <v>1015</v>
      </c>
      <c r="R571" s="48">
        <v>46128</v>
      </c>
      <c r="S571" s="49" t="s">
        <v>27</v>
      </c>
      <c r="U571" s="49" t="s">
        <v>32</v>
      </c>
    </row>
    <row r="572" spans="2:21" s="49" customFormat="1" ht="18.75" customHeight="1">
      <c r="B572" s="48"/>
      <c r="C572" s="57"/>
      <c r="D572" s="48">
        <v>46071</v>
      </c>
      <c r="E572" s="50" t="s">
        <v>1016</v>
      </c>
      <c r="F572" s="48"/>
      <c r="G572" s="48"/>
      <c r="H572" s="49" t="s">
        <v>196</v>
      </c>
      <c r="I572" s="51">
        <v>250</v>
      </c>
      <c r="J572" s="51" t="s">
        <v>55</v>
      </c>
      <c r="K57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72" s="52"/>
      <c r="N57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250</v>
      </c>
      <c r="O572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572" s="49" t="s">
        <v>25</v>
      </c>
      <c r="Q572" s="49" t="s">
        <v>1017</v>
      </c>
      <c r="R572" s="48">
        <v>46072</v>
      </c>
      <c r="S572" s="59" t="s">
        <v>45</v>
      </c>
      <c r="U572" s="49" t="s">
        <v>32</v>
      </c>
    </row>
    <row r="573" spans="2:21" s="49" customFormat="1" ht="18.75" customHeight="1">
      <c r="B573" s="56">
        <v>45952</v>
      </c>
      <c r="C573" s="57" t="s">
        <v>1018</v>
      </c>
      <c r="D573" s="48">
        <v>46076</v>
      </c>
      <c r="E573" s="50" t="s">
        <v>1019</v>
      </c>
      <c r="F573" s="48"/>
      <c r="G573" s="48"/>
      <c r="H573" s="49" t="s">
        <v>196</v>
      </c>
      <c r="I573" s="51">
        <v>19139</v>
      </c>
      <c r="J573" s="51" t="s">
        <v>78</v>
      </c>
      <c r="K57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9569.5</v>
      </c>
      <c r="L573" s="52">
        <v>46079</v>
      </c>
      <c r="M573" s="58" t="s">
        <v>25</v>
      </c>
      <c r="N57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9569.5</v>
      </c>
      <c r="O57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46136</v>
      </c>
      <c r="P573" s="49" t="s">
        <v>25</v>
      </c>
      <c r="Q573" s="49" t="s">
        <v>381</v>
      </c>
      <c r="R573" s="48">
        <v>46128</v>
      </c>
      <c r="S573" s="59" t="s">
        <v>27</v>
      </c>
      <c r="T573" s="49" t="s">
        <v>1020</v>
      </c>
      <c r="U573" s="49" t="s">
        <v>32</v>
      </c>
    </row>
    <row r="574" spans="2:21" s="49" customFormat="1" ht="18.75" customHeight="1">
      <c r="B574" s="48">
        <v>45946</v>
      </c>
      <c r="C574" s="57" t="s">
        <v>1021</v>
      </c>
      <c r="D574" s="48">
        <v>46078</v>
      </c>
      <c r="E574" s="50" t="s">
        <v>1022</v>
      </c>
      <c r="F574" s="48"/>
      <c r="G574" s="48"/>
      <c r="H574" s="49" t="s">
        <v>196</v>
      </c>
      <c r="I574" s="51">
        <v>76240</v>
      </c>
      <c r="J574" s="51" t="s">
        <v>78</v>
      </c>
      <c r="K57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38120</v>
      </c>
      <c r="L574" s="52">
        <v>46059</v>
      </c>
      <c r="M574" s="58" t="s">
        <v>25</v>
      </c>
      <c r="N57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38120</v>
      </c>
      <c r="O57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46138</v>
      </c>
      <c r="P574" s="49" t="s">
        <v>25</v>
      </c>
      <c r="Q574" s="49" t="s">
        <v>492</v>
      </c>
      <c r="R574" s="48">
        <v>46128</v>
      </c>
      <c r="S574" s="49" t="s">
        <v>27</v>
      </c>
      <c r="T574" s="59"/>
      <c r="U574" s="49" t="s">
        <v>32</v>
      </c>
    </row>
    <row r="575" spans="2:21" s="49" customFormat="1" ht="18.75" customHeight="1">
      <c r="B575" s="48">
        <v>45946</v>
      </c>
      <c r="C575" s="57" t="s">
        <v>1023</v>
      </c>
      <c r="D575" s="48">
        <v>46083</v>
      </c>
      <c r="E575" s="50" t="s">
        <v>1024</v>
      </c>
      <c r="F575" s="48"/>
      <c r="G575" s="48"/>
      <c r="H575" s="49" t="s">
        <v>196</v>
      </c>
      <c r="I575" s="51">
        <v>147796</v>
      </c>
      <c r="J575" s="51" t="s">
        <v>78</v>
      </c>
      <c r="K57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73898</v>
      </c>
      <c r="L575" s="52">
        <v>46079</v>
      </c>
      <c r="M575" s="51" t="s">
        <v>25</v>
      </c>
      <c r="N57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73898</v>
      </c>
      <c r="O57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46143</v>
      </c>
      <c r="P575" t="s">
        <v>25</v>
      </c>
      <c r="Q575" s="49" t="s">
        <v>31</v>
      </c>
      <c r="R575" s="48">
        <v>46142</v>
      </c>
      <c r="S575" s="49" t="s">
        <v>45</v>
      </c>
      <c r="U575" s="49" t="s">
        <v>32</v>
      </c>
    </row>
    <row r="576" spans="2:21" s="49" customFormat="1" ht="18.75" customHeight="1">
      <c r="B576" s="56"/>
      <c r="C576" s="57"/>
      <c r="D576" s="48">
        <v>46090</v>
      </c>
      <c r="E576" s="50" t="s">
        <v>1025</v>
      </c>
      <c r="F576" s="48"/>
      <c r="G576" s="48"/>
      <c r="H576" s="49" t="s">
        <v>196</v>
      </c>
      <c r="I576" s="51">
        <v>16165</v>
      </c>
      <c r="J576" s="51" t="s">
        <v>78</v>
      </c>
      <c r="K57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8082.5</v>
      </c>
      <c r="L576" s="52">
        <v>46093</v>
      </c>
      <c r="M576" s="51" t="s">
        <v>25</v>
      </c>
      <c r="N57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8082.5</v>
      </c>
      <c r="O57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46150</v>
      </c>
      <c r="P576" s="49" t="s">
        <v>25</v>
      </c>
      <c r="Q576" s="49" t="s">
        <v>1026</v>
      </c>
      <c r="R576" s="48">
        <v>46156</v>
      </c>
      <c r="S576" s="59" t="s">
        <v>27</v>
      </c>
      <c r="U576" s="49" t="s">
        <v>32</v>
      </c>
    </row>
    <row r="577" spans="2:21" s="49" customFormat="1" ht="18.75" customHeight="1">
      <c r="B577" s="56"/>
      <c r="C577" s="57"/>
      <c r="D577" s="48">
        <v>46090</v>
      </c>
      <c r="E577" s="50" t="s">
        <v>1027</v>
      </c>
      <c r="F577" s="48"/>
      <c r="G577" s="48"/>
      <c r="H577" s="49" t="s">
        <v>196</v>
      </c>
      <c r="I577" s="51">
        <v>12068</v>
      </c>
      <c r="J577" s="51" t="s">
        <v>78</v>
      </c>
      <c r="K57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6034</v>
      </c>
      <c r="L577" s="52">
        <v>46093</v>
      </c>
      <c r="M577" s="58" t="s">
        <v>25</v>
      </c>
      <c r="N57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6034</v>
      </c>
      <c r="O57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46150</v>
      </c>
      <c r="P577" s="49" t="s">
        <v>25</v>
      </c>
      <c r="Q577" s="49" t="s">
        <v>996</v>
      </c>
      <c r="R577" s="48">
        <v>46156</v>
      </c>
      <c r="S577" s="59" t="s">
        <v>27</v>
      </c>
      <c r="U577" s="49" t="s">
        <v>32</v>
      </c>
    </row>
    <row r="578" spans="2:21" s="49" customFormat="1" ht="18.75" customHeight="1">
      <c r="B578" s="56"/>
      <c r="C578" s="57"/>
      <c r="D578" s="48">
        <v>46107</v>
      </c>
      <c r="E578" s="50" t="s">
        <v>1028</v>
      </c>
      <c r="F578" s="48"/>
      <c r="G578" s="48"/>
      <c r="H578" s="49" t="s">
        <v>196</v>
      </c>
      <c r="I578" s="51">
        <v>843</v>
      </c>
      <c r="J578" s="51" t="s">
        <v>55</v>
      </c>
      <c r="K57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78" s="52">
        <v>46107</v>
      </c>
      <c r="M578" s="58"/>
      <c r="N57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843</v>
      </c>
      <c r="O578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578" t="s">
        <v>25</v>
      </c>
      <c r="Q578" s="49" t="s">
        <v>772</v>
      </c>
      <c r="R578" s="48">
        <v>46121</v>
      </c>
      <c r="S578" s="59" t="s">
        <v>27</v>
      </c>
      <c r="U578" s="49" t="s">
        <v>32</v>
      </c>
    </row>
    <row r="579" spans="2:21" s="49" customFormat="1" ht="18.75" hidden="1" customHeight="1">
      <c r="B579" s="56"/>
      <c r="C579" s="57"/>
      <c r="D579" s="48">
        <v>46085</v>
      </c>
      <c r="E579" s="50" t="s">
        <v>1029</v>
      </c>
      <c r="F579" s="48"/>
      <c r="G579" s="48"/>
      <c r="H579" s="49" t="s">
        <v>329</v>
      </c>
      <c r="I579" s="66">
        <v>363.07</v>
      </c>
      <c r="J579" s="66" t="s">
        <v>330</v>
      </c>
      <c r="K57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79" s="67">
        <v>46116</v>
      </c>
      <c r="M579" s="95"/>
      <c r="N57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363.07</v>
      </c>
      <c r="O57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46115</v>
      </c>
      <c r="P579" s="49" t="s">
        <v>25</v>
      </c>
      <c r="Q579" s="49" t="s">
        <v>514</v>
      </c>
      <c r="R579" s="48">
        <v>46107</v>
      </c>
      <c r="S579" s="59" t="s">
        <v>27</v>
      </c>
      <c r="U579" s="49" t="s">
        <v>32</v>
      </c>
    </row>
    <row r="580" spans="2:21" s="49" customFormat="1" ht="18.75" hidden="1" customHeight="1">
      <c r="B580" s="56"/>
      <c r="C580" s="57"/>
      <c r="D580" s="48">
        <v>46085</v>
      </c>
      <c r="E580" s="50" t="s">
        <v>1030</v>
      </c>
      <c r="F580" s="48"/>
      <c r="G580" s="48"/>
      <c r="H580" s="49" t="s">
        <v>329</v>
      </c>
      <c r="I580" s="51">
        <v>668.55</v>
      </c>
      <c r="J580" s="51" t="s">
        <v>330</v>
      </c>
      <c r="K58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80" s="52">
        <v>46116</v>
      </c>
      <c r="M580" s="58"/>
      <c r="N58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668.55</v>
      </c>
      <c r="O58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46115</v>
      </c>
      <c r="P580" s="49" t="s">
        <v>25</v>
      </c>
      <c r="Q580" s="49" t="s">
        <v>1031</v>
      </c>
      <c r="R580" s="48">
        <v>46107</v>
      </c>
      <c r="S580" s="59" t="s">
        <v>27</v>
      </c>
      <c r="U580" s="49" t="s">
        <v>32</v>
      </c>
    </row>
    <row r="581" spans="2:21" s="49" customFormat="1" ht="18.75" hidden="1" customHeight="1">
      <c r="B581" s="56">
        <v>46156</v>
      </c>
      <c r="C581" s="57" t="s">
        <v>1032</v>
      </c>
      <c r="D581" s="48">
        <v>46160</v>
      </c>
      <c r="E581" s="50" t="s">
        <v>1033</v>
      </c>
      <c r="F581" s="48"/>
      <c r="G581" s="48"/>
      <c r="H581" s="49" t="s">
        <v>42</v>
      </c>
      <c r="I581" s="51">
        <v>290</v>
      </c>
      <c r="J581" s="51" t="s">
        <v>43</v>
      </c>
      <c r="K58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81" s="52"/>
      <c r="M581" s="58"/>
      <c r="N58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290</v>
      </c>
      <c r="O58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46160</v>
      </c>
      <c r="P581" s="49" t="s">
        <v>25</v>
      </c>
      <c r="Q581" s="49" t="s">
        <v>1034</v>
      </c>
      <c r="R581" s="48">
        <v>46163</v>
      </c>
      <c r="S581" s="59" t="s">
        <v>45</v>
      </c>
    </row>
    <row r="582" spans="2:21" s="49" customFormat="1" ht="18.75" hidden="1" customHeight="1">
      <c r="B582" s="56"/>
      <c r="C582" s="57"/>
      <c r="D582" s="48">
        <v>46127</v>
      </c>
      <c r="E582" s="50" t="s">
        <v>1035</v>
      </c>
      <c r="F582" s="48"/>
      <c r="G582" s="48"/>
      <c r="H582" s="49" t="s">
        <v>29</v>
      </c>
      <c r="I582" s="51">
        <v>4994.72</v>
      </c>
      <c r="J582" s="51" t="s">
        <v>30</v>
      </c>
      <c r="K582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82" s="52"/>
      <c r="M582" s="58"/>
      <c r="N582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4994.72</v>
      </c>
      <c r="O582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46187</v>
      </c>
      <c r="P582" s="49" t="s">
        <v>25</v>
      </c>
      <c r="Q582" s="49" t="s">
        <v>1036</v>
      </c>
      <c r="R582" s="48"/>
      <c r="S582" s="59"/>
      <c r="U582" s="49" t="s">
        <v>32</v>
      </c>
    </row>
    <row r="583" spans="2:21" s="49" customFormat="1" ht="18.75" hidden="1" customHeight="1">
      <c r="B583" s="56"/>
      <c r="C583" s="57"/>
      <c r="D583" s="48">
        <v>46132</v>
      </c>
      <c r="E583" s="50" t="s">
        <v>1037</v>
      </c>
      <c r="F583" s="48"/>
      <c r="G583" s="48"/>
      <c r="H583" s="49" t="s">
        <v>69</v>
      </c>
      <c r="I583" s="51">
        <v>17059.7</v>
      </c>
      <c r="J583" s="51" t="s">
        <v>55</v>
      </c>
      <c r="K583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83" s="52"/>
      <c r="M583" s="58"/>
      <c r="N583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17059.7</v>
      </c>
      <c r="O583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Q583" s="49" t="s">
        <v>1038</v>
      </c>
      <c r="S583" s="59" t="s">
        <v>45</v>
      </c>
      <c r="U583" s="49" t="s">
        <v>32</v>
      </c>
    </row>
    <row r="584" spans="2:21" s="49" customFormat="1" ht="18.75" hidden="1" customHeight="1">
      <c r="B584" s="56"/>
      <c r="C584" s="57"/>
      <c r="D584" s="48">
        <v>46157</v>
      </c>
      <c r="E584" s="50" t="s">
        <v>1039</v>
      </c>
      <c r="F584" s="48"/>
      <c r="G584" s="48"/>
      <c r="H584" s="49" t="s">
        <v>69</v>
      </c>
      <c r="I584" s="51">
        <v>8157.35</v>
      </c>
      <c r="J584" s="51" t="s">
        <v>55</v>
      </c>
      <c r="K584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84" s="52"/>
      <c r="M584" s="58"/>
      <c r="N584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8157.35</v>
      </c>
      <c r="O584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Q584" s="49" t="s">
        <v>537</v>
      </c>
      <c r="S584" s="59" t="s">
        <v>45</v>
      </c>
      <c r="U584" s="49" t="s">
        <v>32</v>
      </c>
    </row>
    <row r="585" spans="2:21" s="49" customFormat="1" ht="18.75" hidden="1" customHeight="1">
      <c r="B585" s="56"/>
      <c r="C585" s="57"/>
      <c r="D585" s="48">
        <v>46098</v>
      </c>
      <c r="E585" s="50" t="s">
        <v>1040</v>
      </c>
      <c r="F585" s="48"/>
      <c r="G585" s="48"/>
      <c r="H585" s="49" t="s">
        <v>364</v>
      </c>
      <c r="I585" s="58">
        <v>4060.25</v>
      </c>
      <c r="J585" s="51" t="s">
        <v>43</v>
      </c>
      <c r="K58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85" s="52"/>
      <c r="M585" s="58"/>
      <c r="N58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4060.25</v>
      </c>
      <c r="O58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46098</v>
      </c>
      <c r="P585" s="49" t="s">
        <v>25</v>
      </c>
      <c r="Q585" s="49" t="s">
        <v>1041</v>
      </c>
      <c r="R585" s="48">
        <v>46107</v>
      </c>
      <c r="S585" s="59" t="s">
        <v>27</v>
      </c>
    </row>
    <row r="586" spans="2:21" s="49" customFormat="1" ht="18.75" hidden="1" customHeight="1">
      <c r="B586" s="56">
        <v>46049</v>
      </c>
      <c r="C586" s="57" t="s">
        <v>1042</v>
      </c>
      <c r="D586" s="48">
        <v>46086</v>
      </c>
      <c r="E586" s="50" t="s">
        <v>1043</v>
      </c>
      <c r="F586" s="48"/>
      <c r="G586" s="48"/>
      <c r="H586" s="49" t="s">
        <v>23</v>
      </c>
      <c r="I586" s="51">
        <v>12292.83</v>
      </c>
      <c r="J586" s="51" t="s">
        <v>24</v>
      </c>
      <c r="K58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3687.8489999999997</v>
      </c>
      <c r="L586" s="48">
        <v>46107</v>
      </c>
      <c r="M586" t="s">
        <v>25</v>
      </c>
      <c r="N58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8604.9809999999998</v>
      </c>
      <c r="O58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46146</v>
      </c>
      <c r="P586" t="s">
        <v>25</v>
      </c>
      <c r="Q586" s="49" t="s">
        <v>36</v>
      </c>
      <c r="R586" s="48">
        <v>46142</v>
      </c>
      <c r="S586" s="59" t="s">
        <v>45</v>
      </c>
      <c r="U586" s="49" t="s">
        <v>32</v>
      </c>
    </row>
    <row r="587" spans="2:21" s="49" customFormat="1" ht="18.75" hidden="1" customHeight="1">
      <c r="B587" s="56"/>
      <c r="C587" s="57"/>
      <c r="D587" s="48">
        <v>46157</v>
      </c>
      <c r="E587" s="50" t="s">
        <v>1044</v>
      </c>
      <c r="F587" s="48"/>
      <c r="G587" s="48"/>
      <c r="H587" s="49" t="s">
        <v>69</v>
      </c>
      <c r="I587" s="51">
        <v>16276.1</v>
      </c>
      <c r="J587" s="51" t="s">
        <v>55</v>
      </c>
      <c r="K587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87" s="52"/>
      <c r="M587" s="58"/>
      <c r="N587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16276.1</v>
      </c>
      <c r="O587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Q587" s="49" t="s">
        <v>705</v>
      </c>
      <c r="S587" s="59" t="s">
        <v>45</v>
      </c>
      <c r="U587" s="49" t="s">
        <v>32</v>
      </c>
    </row>
    <row r="588" spans="2:21" s="49" customFormat="1" ht="18.75" hidden="1" customHeight="1">
      <c r="B588" s="56"/>
      <c r="C588" s="57"/>
      <c r="D588" s="48">
        <v>46206</v>
      </c>
      <c r="E588" s="50" t="s">
        <v>1045</v>
      </c>
      <c r="F588" s="48"/>
      <c r="G588" s="48"/>
      <c r="H588" s="49" t="s">
        <v>1046</v>
      </c>
      <c r="I588" s="51">
        <v>660</v>
      </c>
      <c r="J588" s="51" t="s">
        <v>43</v>
      </c>
      <c r="K588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88" s="52"/>
      <c r="M588" s="58"/>
      <c r="N588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660</v>
      </c>
      <c r="O588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46206</v>
      </c>
      <c r="P588" s="49" t="s">
        <v>25</v>
      </c>
      <c r="Q588" s="49" t="s">
        <v>1047</v>
      </c>
      <c r="R588" s="48">
        <v>46212</v>
      </c>
      <c r="S588" s="59" t="s">
        <v>45</v>
      </c>
    </row>
    <row r="589" spans="2:21" s="63" customFormat="1" ht="18.75" hidden="1" customHeight="1">
      <c r="B589" s="56"/>
      <c r="C589" s="57"/>
      <c r="D589" s="48">
        <v>46104</v>
      </c>
      <c r="E589" s="50" t="s">
        <v>1048</v>
      </c>
      <c r="F589" s="48"/>
      <c r="G589" s="48"/>
      <c r="H589" s="49" t="s">
        <v>364</v>
      </c>
      <c r="I589" s="58">
        <v>-135</v>
      </c>
      <c r="J589" s="51" t="s">
        <v>43</v>
      </c>
      <c r="K58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89" s="52"/>
      <c r="M589" s="58"/>
      <c r="N58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-135</v>
      </c>
      <c r="O58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46104</v>
      </c>
      <c r="P589" s="49" t="s">
        <v>25</v>
      </c>
      <c r="Q589" s="49" t="s">
        <v>1049</v>
      </c>
      <c r="R589" s="48">
        <v>46107</v>
      </c>
      <c r="S589" s="59" t="s">
        <v>27</v>
      </c>
      <c r="T589" s="49"/>
      <c r="U589" s="49"/>
    </row>
    <row r="590" spans="2:21" s="63" customFormat="1" ht="18.75" hidden="1" customHeight="1">
      <c r="B590" s="56"/>
      <c r="C590" s="57"/>
      <c r="D590" s="48">
        <v>46100</v>
      </c>
      <c r="E590" s="50" t="s">
        <v>1050</v>
      </c>
      <c r="F590" s="48"/>
      <c r="G590" s="48"/>
      <c r="H590" s="49" t="s">
        <v>178</v>
      </c>
      <c r="I590" s="58">
        <v>1377.45</v>
      </c>
      <c r="J590" s="51" t="s">
        <v>43</v>
      </c>
      <c r="K59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90" s="52"/>
      <c r="M590" s="58"/>
      <c r="N59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1377.45</v>
      </c>
      <c r="O59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46100</v>
      </c>
      <c r="P590" s="49" t="s">
        <v>25</v>
      </c>
      <c r="Q590" s="49" t="s">
        <v>179</v>
      </c>
      <c r="R590" s="48">
        <v>46107</v>
      </c>
      <c r="S590" s="59" t="s">
        <v>27</v>
      </c>
      <c r="T590" s="49"/>
      <c r="U590" s="49"/>
    </row>
    <row r="591" spans="2:21" s="49" customFormat="1" ht="18.75" hidden="1" customHeight="1">
      <c r="B591" s="110">
        <v>46107</v>
      </c>
      <c r="C591" s="111"/>
      <c r="D591" s="112">
        <v>46114</v>
      </c>
      <c r="E591" s="113" t="s">
        <v>1051</v>
      </c>
      <c r="F591" s="112"/>
      <c r="G591" s="112"/>
      <c r="H591" s="109" t="s">
        <v>148</v>
      </c>
      <c r="I591" s="114">
        <v>2702</v>
      </c>
      <c r="J591" s="114" t="s">
        <v>43</v>
      </c>
      <c r="K591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91" s="92"/>
      <c r="M591" s="114"/>
      <c r="N591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2702</v>
      </c>
      <c r="O591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46114</v>
      </c>
      <c r="P591" s="109" t="s">
        <v>25</v>
      </c>
      <c r="Q591" s="109" t="s">
        <v>1052</v>
      </c>
      <c r="R591" s="112">
        <v>46107</v>
      </c>
      <c r="S591" s="115" t="s">
        <v>27</v>
      </c>
      <c r="T591" s="109" t="s">
        <v>1053</v>
      </c>
      <c r="U591" s="109"/>
    </row>
    <row r="592" spans="2:21" s="49" customFormat="1" ht="18.75" hidden="1" customHeight="1">
      <c r="B592" s="110">
        <v>46107</v>
      </c>
      <c r="C592" s="111"/>
      <c r="D592" s="112"/>
      <c r="E592" s="113"/>
      <c r="F592" s="112"/>
      <c r="G592" s="112"/>
      <c r="H592" s="109" t="s">
        <v>155</v>
      </c>
      <c r="I592" s="114">
        <v>2000</v>
      </c>
      <c r="J592" s="114" t="s">
        <v>55</v>
      </c>
      <c r="K59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92" s="92"/>
      <c r="M592" s="114"/>
      <c r="N59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2000</v>
      </c>
      <c r="O592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592" s="109" t="s">
        <v>25</v>
      </c>
      <c r="Q592" s="109" t="s">
        <v>1054</v>
      </c>
      <c r="R592" s="112">
        <v>46107</v>
      </c>
      <c r="S592" s="115" t="s">
        <v>27</v>
      </c>
      <c r="T592" s="109" t="s">
        <v>1055</v>
      </c>
      <c r="U592" s="109"/>
    </row>
    <row r="593" spans="2:21" s="49" customFormat="1" ht="18.75" hidden="1" customHeight="1">
      <c r="B593" s="110">
        <v>46107</v>
      </c>
      <c r="C593" s="111"/>
      <c r="D593" s="112">
        <v>46119</v>
      </c>
      <c r="E593" s="113" t="s">
        <v>1056</v>
      </c>
      <c r="F593" s="112"/>
      <c r="G593" s="112"/>
      <c r="H593" s="49" t="s">
        <v>162</v>
      </c>
      <c r="I593" s="114">
        <v>1300</v>
      </c>
      <c r="J593" s="114" t="s">
        <v>55</v>
      </c>
      <c r="K59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93" s="92"/>
      <c r="M593" s="114"/>
      <c r="N59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1300</v>
      </c>
      <c r="O593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593" s="109" t="s">
        <v>25</v>
      </c>
      <c r="Q593" s="109" t="s">
        <v>1057</v>
      </c>
      <c r="R593" s="112">
        <v>46107</v>
      </c>
      <c r="S593" s="115" t="s">
        <v>27</v>
      </c>
      <c r="T593" s="109"/>
      <c r="U593" s="109"/>
    </row>
    <row r="594" spans="2:21" s="49" customFormat="1" ht="18.75" hidden="1" customHeight="1">
      <c r="B594" s="110">
        <v>46107</v>
      </c>
      <c r="C594" s="111"/>
      <c r="D594" s="112">
        <v>46108</v>
      </c>
      <c r="E594" s="113" t="s">
        <v>1058</v>
      </c>
      <c r="F594" s="112"/>
      <c r="G594" s="112"/>
      <c r="H594" s="109" t="s">
        <v>171</v>
      </c>
      <c r="I594" s="114">
        <v>3000</v>
      </c>
      <c r="J594" s="114" t="s">
        <v>55</v>
      </c>
      <c r="K59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94" s="92"/>
      <c r="M594" s="114"/>
      <c r="N59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3000</v>
      </c>
      <c r="O594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594" s="109" t="s">
        <v>25</v>
      </c>
      <c r="Q594" s="109" t="s">
        <v>1059</v>
      </c>
      <c r="R594" s="112">
        <v>46107</v>
      </c>
      <c r="S594" s="115" t="s">
        <v>27</v>
      </c>
      <c r="T594" s="109"/>
      <c r="U594" s="109"/>
    </row>
    <row r="595" spans="2:21" s="49" customFormat="1" ht="18.75" hidden="1" customHeight="1">
      <c r="B595" s="110">
        <v>46107</v>
      </c>
      <c r="C595" s="111"/>
      <c r="D595" s="112"/>
      <c r="E595" s="113"/>
      <c r="F595" s="112"/>
      <c r="G595" s="112"/>
      <c r="H595" s="109" t="s">
        <v>145</v>
      </c>
      <c r="I595" s="114">
        <v>498.71</v>
      </c>
      <c r="J595" s="114" t="s">
        <v>55</v>
      </c>
      <c r="K59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95" s="92"/>
      <c r="M595" s="114"/>
      <c r="N59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498.71</v>
      </c>
      <c r="O595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595" s="109" t="s">
        <v>25</v>
      </c>
      <c r="Q595" s="109" t="s">
        <v>1060</v>
      </c>
      <c r="R595" s="112">
        <v>46107</v>
      </c>
      <c r="S595" s="115" t="s">
        <v>27</v>
      </c>
      <c r="T595" s="109" t="s">
        <v>732</v>
      </c>
      <c r="U595" s="109"/>
    </row>
    <row r="596" spans="2:21" s="49" customFormat="1" ht="18.75" hidden="1" customHeight="1">
      <c r="B596" s="48">
        <v>46031</v>
      </c>
      <c r="C596" s="49" t="s">
        <v>1061</v>
      </c>
      <c r="D596" s="48">
        <v>46076</v>
      </c>
      <c r="E596" s="50">
        <v>201</v>
      </c>
      <c r="F596" s="48"/>
      <c r="G596" s="48"/>
      <c r="H596" s="49" t="s">
        <v>301</v>
      </c>
      <c r="I596" s="51">
        <v>71.599999999999994</v>
      </c>
      <c r="J596" s="51" t="s">
        <v>55</v>
      </c>
      <c r="K59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96" s="52"/>
      <c r="M596" s="58"/>
      <c r="N59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71.599999999999994</v>
      </c>
      <c r="O596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596" s="49" t="s">
        <v>25</v>
      </c>
      <c r="Q596" s="49" t="s">
        <v>1062</v>
      </c>
      <c r="R596" s="48">
        <v>46072</v>
      </c>
      <c r="S596" s="49" t="s">
        <v>45</v>
      </c>
      <c r="U596" s="49" t="s">
        <v>32</v>
      </c>
    </row>
    <row r="597" spans="2:21" s="49" customFormat="1" ht="18.75" hidden="1" customHeight="1">
      <c r="B597" s="56">
        <v>46106</v>
      </c>
      <c r="C597" s="57" t="s">
        <v>1063</v>
      </c>
      <c r="D597" s="48"/>
      <c r="E597" s="50"/>
      <c r="F597" s="48"/>
      <c r="G597" s="48"/>
      <c r="H597" s="49" t="s">
        <v>1064</v>
      </c>
      <c r="I597" s="51">
        <v>130.97999999999999</v>
      </c>
      <c r="J597" s="51" t="s">
        <v>43</v>
      </c>
      <c r="K59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97" s="52"/>
      <c r="M597" s="58"/>
      <c r="N59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130.97999999999999</v>
      </c>
      <c r="O597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597" s="49" t="s">
        <v>25</v>
      </c>
      <c r="Q597" s="49" t="s">
        <v>1065</v>
      </c>
      <c r="R597" s="48">
        <v>46106</v>
      </c>
      <c r="S597" s="59"/>
    </row>
    <row r="598" spans="2:21" s="49" customFormat="1" ht="18.75" hidden="1" customHeight="1">
      <c r="B598" s="56"/>
      <c r="C598" s="57"/>
      <c r="D598" s="48">
        <v>46106</v>
      </c>
      <c r="E598" s="50" t="s">
        <v>1066</v>
      </c>
      <c r="F598" s="48"/>
      <c r="G598" s="48"/>
      <c r="H598" s="49" t="s">
        <v>1067</v>
      </c>
      <c r="I598" s="51">
        <v>7.89</v>
      </c>
      <c r="J598" s="51" t="s">
        <v>43</v>
      </c>
      <c r="K59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98" s="52"/>
      <c r="M598" s="58"/>
      <c r="N59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7.89</v>
      </c>
      <c r="O59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46106</v>
      </c>
      <c r="P598" s="49" t="s">
        <v>25</v>
      </c>
      <c r="Q598" s="49" t="s">
        <v>1068</v>
      </c>
      <c r="R598" s="48">
        <v>46106</v>
      </c>
      <c r="S598" s="59"/>
    </row>
    <row r="599" spans="2:21" s="49" customFormat="1" ht="18.75" hidden="1" customHeight="1">
      <c r="B599" s="56"/>
      <c r="C599" s="57"/>
      <c r="D599" s="48">
        <v>46105</v>
      </c>
      <c r="E599" s="50" t="s">
        <v>1069</v>
      </c>
      <c r="F599" s="48"/>
      <c r="G599" s="48"/>
      <c r="H599" s="49" t="s">
        <v>1067</v>
      </c>
      <c r="I599" s="51">
        <v>7.49</v>
      </c>
      <c r="J599" s="51" t="s">
        <v>43</v>
      </c>
      <c r="K59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599" s="52"/>
      <c r="M599" s="58"/>
      <c r="N59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7.49</v>
      </c>
      <c r="O59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46105</v>
      </c>
      <c r="P599" s="49" t="s">
        <v>25</v>
      </c>
      <c r="Q599" s="49" t="s">
        <v>1070</v>
      </c>
      <c r="R599" s="48">
        <v>46105</v>
      </c>
      <c r="S599" s="59"/>
    </row>
    <row r="600" spans="2:21" s="49" customFormat="1" ht="18.75" hidden="1" customHeight="1">
      <c r="B600" s="56">
        <v>46104</v>
      </c>
      <c r="C600" s="57"/>
      <c r="D600" s="48">
        <v>46106</v>
      </c>
      <c r="E600" s="50" t="s">
        <v>1071</v>
      </c>
      <c r="F600" s="48"/>
      <c r="G600" s="48"/>
      <c r="H600" s="49" t="s">
        <v>1072</v>
      </c>
      <c r="I600" s="51">
        <v>350</v>
      </c>
      <c r="J600" s="51" t="s">
        <v>43</v>
      </c>
      <c r="K60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00" s="52"/>
      <c r="M600" s="58"/>
      <c r="N60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350</v>
      </c>
      <c r="O60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46106</v>
      </c>
      <c r="P600" s="49" t="s">
        <v>25</v>
      </c>
      <c r="Q600" s="49" t="s">
        <v>1073</v>
      </c>
      <c r="R600" s="48">
        <v>46104</v>
      </c>
      <c r="S600" s="59"/>
    </row>
    <row r="601" spans="2:21" s="49" customFormat="1" ht="18.75" hidden="1" customHeight="1">
      <c r="B601" s="56">
        <v>46104</v>
      </c>
      <c r="C601" s="57" t="s">
        <v>1074</v>
      </c>
      <c r="D601" s="48"/>
      <c r="E601" s="50"/>
      <c r="F601" s="48"/>
      <c r="G601" s="48"/>
      <c r="H601" s="49" t="s">
        <v>1067</v>
      </c>
      <c r="I601" s="51">
        <v>112.55</v>
      </c>
      <c r="J601" s="51" t="s">
        <v>43</v>
      </c>
      <c r="K60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01" s="52"/>
      <c r="M601" s="58"/>
      <c r="N60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112.55</v>
      </c>
      <c r="O601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601" s="49" t="s">
        <v>25</v>
      </c>
      <c r="Q601" s="49" t="s">
        <v>1075</v>
      </c>
      <c r="R601" s="48">
        <v>46104</v>
      </c>
      <c r="S601" s="59"/>
    </row>
    <row r="602" spans="2:21" s="49" customFormat="1" ht="18.75" hidden="1" customHeight="1">
      <c r="B602" s="56"/>
      <c r="C602" s="57"/>
      <c r="D602" s="48">
        <v>46104</v>
      </c>
      <c r="E602" s="50" t="s">
        <v>1076</v>
      </c>
      <c r="F602" s="48"/>
      <c r="G602" s="48"/>
      <c r="H602" s="49" t="s">
        <v>1067</v>
      </c>
      <c r="I602" s="51">
        <v>30.71</v>
      </c>
      <c r="J602" s="51" t="s">
        <v>43</v>
      </c>
      <c r="K60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02" s="52"/>
      <c r="M602" s="58"/>
      <c r="N60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30.71</v>
      </c>
      <c r="O60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46104</v>
      </c>
      <c r="P602" s="49" t="s">
        <v>25</v>
      </c>
      <c r="Q602" s="49" t="s">
        <v>1077</v>
      </c>
      <c r="R602" s="48">
        <v>46104</v>
      </c>
      <c r="S602" s="59"/>
    </row>
    <row r="603" spans="2:21" s="49" customFormat="1" ht="18.75" hidden="1" customHeight="1">
      <c r="B603" s="56"/>
      <c r="C603" s="57"/>
      <c r="D603" s="48">
        <v>46104</v>
      </c>
      <c r="E603" s="50" t="s">
        <v>1078</v>
      </c>
      <c r="F603" s="48"/>
      <c r="G603" s="48"/>
      <c r="H603" s="49" t="s">
        <v>1072</v>
      </c>
      <c r="I603" s="51">
        <v>60</v>
      </c>
      <c r="J603" s="51" t="s">
        <v>43</v>
      </c>
      <c r="K60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03" s="52"/>
      <c r="M603" s="58"/>
      <c r="N60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60</v>
      </c>
      <c r="O60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46104</v>
      </c>
      <c r="P603" s="49" t="s">
        <v>25</v>
      </c>
      <c r="Q603" s="49" t="s">
        <v>1073</v>
      </c>
      <c r="R603" s="48">
        <v>46101</v>
      </c>
      <c r="S603" s="59"/>
    </row>
    <row r="604" spans="2:21" s="49" customFormat="1" ht="18.75" hidden="1" customHeight="1">
      <c r="B604" s="48"/>
      <c r="C604" s="57"/>
      <c r="D604" s="48">
        <v>46052</v>
      </c>
      <c r="E604" s="50" t="s">
        <v>1079</v>
      </c>
      <c r="F604" s="48"/>
      <c r="G604" s="48"/>
      <c r="H604" s="49" t="s">
        <v>1080</v>
      </c>
      <c r="I604" s="66">
        <v>3000</v>
      </c>
      <c r="J604" s="66" t="s">
        <v>43</v>
      </c>
      <c r="K60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04" s="67"/>
      <c r="M604" s="95"/>
      <c r="N60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3000</v>
      </c>
      <c r="O60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46052</v>
      </c>
      <c r="P604" s="49" t="s">
        <v>25</v>
      </c>
      <c r="Q604" s="49" t="s">
        <v>1081</v>
      </c>
      <c r="R604" s="48">
        <v>46100</v>
      </c>
      <c r="S604" s="49" t="s">
        <v>45</v>
      </c>
      <c r="T604" s="59"/>
    </row>
    <row r="605" spans="2:21" s="49" customFormat="1" ht="18.75" hidden="1" customHeight="1">
      <c r="B605" s="1"/>
      <c r="C605"/>
      <c r="D605" s="1">
        <v>46041</v>
      </c>
      <c r="E605" s="29" t="s">
        <v>1082</v>
      </c>
      <c r="F605" s="1"/>
      <c r="G605" s="1"/>
      <c r="H605" t="s">
        <v>108</v>
      </c>
      <c r="I605" s="41">
        <v>3055.1</v>
      </c>
      <c r="J605" s="41" t="s">
        <v>30</v>
      </c>
      <c r="K60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05" s="43"/>
      <c r="M605" s="42"/>
      <c r="N60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3055.1</v>
      </c>
      <c r="O60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46101</v>
      </c>
      <c r="P605" s="49" t="s">
        <v>25</v>
      </c>
      <c r="Q605" t="s">
        <v>594</v>
      </c>
      <c r="R605" s="1">
        <v>46100</v>
      </c>
      <c r="S605" t="s">
        <v>27</v>
      </c>
      <c r="T605"/>
      <c r="U605"/>
    </row>
    <row r="606" spans="2:21" s="63" customFormat="1" ht="18.75" hidden="1" customHeight="1">
      <c r="B606" s="1"/>
      <c r="C606"/>
      <c r="D606" s="1">
        <v>46041</v>
      </c>
      <c r="E606" s="29" t="s">
        <v>1083</v>
      </c>
      <c r="F606" s="1"/>
      <c r="G606" s="1"/>
      <c r="H606" s="9" t="s">
        <v>108</v>
      </c>
      <c r="I606" s="41">
        <v>4247</v>
      </c>
      <c r="J606" s="41" t="s">
        <v>30</v>
      </c>
      <c r="K60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06" s="43"/>
      <c r="M606" s="42"/>
      <c r="N60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4247</v>
      </c>
      <c r="O60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46101</v>
      </c>
      <c r="P606" s="49" t="s">
        <v>25</v>
      </c>
      <c r="Q606" t="s">
        <v>602</v>
      </c>
      <c r="R606" s="40">
        <v>46100</v>
      </c>
      <c r="S606" t="s">
        <v>27</v>
      </c>
      <c r="T606"/>
      <c r="U606"/>
    </row>
    <row r="607" spans="2:21" s="49" customFormat="1" ht="18.75" hidden="1" customHeight="1">
      <c r="B607" s="1"/>
      <c r="C607"/>
      <c r="D607" s="1">
        <v>46041</v>
      </c>
      <c r="E607" s="29" t="s">
        <v>1084</v>
      </c>
      <c r="F607" s="1"/>
      <c r="G607" s="1"/>
      <c r="H607" s="9" t="s">
        <v>108</v>
      </c>
      <c r="I607" s="41">
        <v>3219.5</v>
      </c>
      <c r="J607" s="41" t="s">
        <v>30</v>
      </c>
      <c r="K60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07" s="43"/>
      <c r="M607" s="42"/>
      <c r="N60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3219.5</v>
      </c>
      <c r="O60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46101</v>
      </c>
      <c r="P607" s="49" t="s">
        <v>25</v>
      </c>
      <c r="Q607" t="s">
        <v>70</v>
      </c>
      <c r="R607" s="40">
        <v>46100</v>
      </c>
      <c r="S607" t="s">
        <v>27</v>
      </c>
      <c r="T607"/>
      <c r="U607"/>
    </row>
    <row r="608" spans="2:21" s="49" customFormat="1" ht="18.75" hidden="1" customHeight="1">
      <c r="B608" s="1"/>
      <c r="C608"/>
      <c r="D608" s="1">
        <v>46041</v>
      </c>
      <c r="E608" s="29" t="s">
        <v>1085</v>
      </c>
      <c r="F608" s="1"/>
      <c r="G608" s="1"/>
      <c r="H608" s="9" t="s">
        <v>108</v>
      </c>
      <c r="I608" s="2">
        <v>3503.65</v>
      </c>
      <c r="J608" s="2" t="s">
        <v>30</v>
      </c>
      <c r="K60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08" s="3"/>
      <c r="M608" s="11"/>
      <c r="N60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3503.65</v>
      </c>
      <c r="O60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46101</v>
      </c>
      <c r="P608" s="49" t="s">
        <v>25</v>
      </c>
      <c r="Q608" t="s">
        <v>91</v>
      </c>
      <c r="R608" s="40">
        <v>46100</v>
      </c>
      <c r="S608" t="s">
        <v>27</v>
      </c>
      <c r="T608"/>
      <c r="U608"/>
    </row>
    <row r="609" spans="2:21" s="49" customFormat="1" ht="18.75" hidden="1" customHeight="1">
      <c r="B609" s="1"/>
      <c r="C609" s="7"/>
      <c r="D609" s="1">
        <v>46048</v>
      </c>
      <c r="E609" s="29" t="s">
        <v>1086</v>
      </c>
      <c r="F609" s="1"/>
      <c r="G609" s="1"/>
      <c r="H609" s="9" t="s">
        <v>108</v>
      </c>
      <c r="I609" s="2">
        <v>24534</v>
      </c>
      <c r="J609" s="2" t="s">
        <v>30</v>
      </c>
      <c r="K60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09" s="3"/>
      <c r="M609" s="11"/>
      <c r="N60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24534</v>
      </c>
      <c r="O60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46108</v>
      </c>
      <c r="P609" s="49" t="s">
        <v>25</v>
      </c>
      <c r="Q609" t="s">
        <v>31</v>
      </c>
      <c r="R609" s="1">
        <v>46100</v>
      </c>
      <c r="S609" t="s">
        <v>27</v>
      </c>
      <c r="T609"/>
      <c r="U609"/>
    </row>
    <row r="610" spans="2:21" s="49" customFormat="1" ht="18.75" hidden="1" customHeight="1">
      <c r="B610" s="1"/>
      <c r="C610" s="7"/>
      <c r="D610" s="1">
        <v>46048</v>
      </c>
      <c r="E610" s="29" t="s">
        <v>1087</v>
      </c>
      <c r="F610" s="1"/>
      <c r="G610" s="1"/>
      <c r="H610" s="9" t="s">
        <v>108</v>
      </c>
      <c r="I610" s="2">
        <v>11631.3</v>
      </c>
      <c r="J610" s="2" t="s">
        <v>30</v>
      </c>
      <c r="K61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10" s="3"/>
      <c r="M610" s="11"/>
      <c r="N61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11631.3</v>
      </c>
      <c r="O61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46108</v>
      </c>
      <c r="P610" s="49" t="s">
        <v>25</v>
      </c>
      <c r="Q610" t="s">
        <v>1088</v>
      </c>
      <c r="R610" s="1">
        <v>46100</v>
      </c>
      <c r="S610" t="s">
        <v>27</v>
      </c>
      <c r="T610"/>
      <c r="U610"/>
    </row>
    <row r="611" spans="2:21" s="49" customFormat="1" ht="18.75" hidden="1" customHeight="1">
      <c r="B611" s="48">
        <v>46037</v>
      </c>
      <c r="C611" s="49" t="s">
        <v>1089</v>
      </c>
      <c r="D611" s="48">
        <v>46076</v>
      </c>
      <c r="E611" s="50">
        <v>204</v>
      </c>
      <c r="F611" s="48"/>
      <c r="G611" s="48"/>
      <c r="H611" s="49" t="s">
        <v>301</v>
      </c>
      <c r="I611" s="51">
        <v>71.599999999999994</v>
      </c>
      <c r="J611" s="51" t="s">
        <v>55</v>
      </c>
      <c r="K61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11" s="52"/>
      <c r="M611" s="58"/>
      <c r="N61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71.599999999999994</v>
      </c>
      <c r="O611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611" s="49" t="s">
        <v>25</v>
      </c>
      <c r="Q611" s="49" t="s">
        <v>1090</v>
      </c>
      <c r="R611" s="48">
        <v>46072</v>
      </c>
      <c r="S611" s="49" t="s">
        <v>45</v>
      </c>
      <c r="U611" s="49" t="s">
        <v>32</v>
      </c>
    </row>
    <row r="612" spans="2:21" s="49" customFormat="1" ht="18.75" customHeight="1">
      <c r="B612" s="56">
        <v>46034</v>
      </c>
      <c r="C612" s="57" t="s">
        <v>1091</v>
      </c>
      <c r="D612" s="48">
        <v>46107</v>
      </c>
      <c r="E612" s="50" t="s">
        <v>1092</v>
      </c>
      <c r="F612" s="48"/>
      <c r="G612" s="48"/>
      <c r="H612" s="49" t="s">
        <v>196</v>
      </c>
      <c r="I612" s="51">
        <v>37990</v>
      </c>
      <c r="J612" s="51" t="s">
        <v>78</v>
      </c>
      <c r="K61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18995</v>
      </c>
      <c r="L612" s="52">
        <v>46107</v>
      </c>
      <c r="M612" s="58" t="s">
        <v>25</v>
      </c>
      <c r="N61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18995</v>
      </c>
      <c r="O61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46167</v>
      </c>
      <c r="P612" s="49" t="s">
        <v>25</v>
      </c>
      <c r="Q612" s="49" t="s">
        <v>522</v>
      </c>
      <c r="R612" s="48">
        <v>46163</v>
      </c>
      <c r="S612" s="59" t="s">
        <v>45</v>
      </c>
      <c r="U612" s="49" t="s">
        <v>32</v>
      </c>
    </row>
    <row r="613" spans="2:21" s="49" customFormat="1" ht="18.75" customHeight="1">
      <c r="B613" s="56">
        <v>46052</v>
      </c>
      <c r="C613" s="57" t="s">
        <v>1093</v>
      </c>
      <c r="D613" s="48">
        <v>46121</v>
      </c>
      <c r="E613" s="50" t="s">
        <v>1094</v>
      </c>
      <c r="F613" s="48"/>
      <c r="G613" s="48"/>
      <c r="H613" s="49" t="s">
        <v>196</v>
      </c>
      <c r="I613" s="51">
        <v>11957</v>
      </c>
      <c r="J613" s="51" t="s">
        <v>78</v>
      </c>
      <c r="K61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5978.5</v>
      </c>
      <c r="L613" s="52">
        <v>46121</v>
      </c>
      <c r="M613" t="s">
        <v>25</v>
      </c>
      <c r="N613" s="10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5978.5</v>
      </c>
      <c r="O61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46181</v>
      </c>
      <c r="P613" s="49" t="s">
        <v>25</v>
      </c>
      <c r="Q613" s="49" t="s">
        <v>1038</v>
      </c>
      <c r="R613" s="48">
        <v>46178</v>
      </c>
      <c r="S613" s="59" t="s">
        <v>45</v>
      </c>
      <c r="U613" s="49" t="s">
        <v>32</v>
      </c>
    </row>
    <row r="614" spans="2:21" s="49" customFormat="1" ht="18.75" customHeight="1">
      <c r="B614" s="56"/>
      <c r="C614" s="57"/>
      <c r="D614" s="48">
        <v>46122</v>
      </c>
      <c r="E614" s="50" t="s">
        <v>1095</v>
      </c>
      <c r="F614" s="48"/>
      <c r="G614" s="48"/>
      <c r="H614" s="49" t="s">
        <v>196</v>
      </c>
      <c r="I614" s="51">
        <v>760</v>
      </c>
      <c r="J614" s="51" t="s">
        <v>55</v>
      </c>
      <c r="K61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14" s="52"/>
      <c r="M614" s="58"/>
      <c r="N61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760</v>
      </c>
      <c r="O614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614" s="49" t="s">
        <v>25</v>
      </c>
      <c r="Q614" s="49" t="s">
        <v>1026</v>
      </c>
      <c r="R614" s="48">
        <v>46134</v>
      </c>
      <c r="S614" s="59" t="s">
        <v>45</v>
      </c>
      <c r="U614" s="49" t="s">
        <v>32</v>
      </c>
    </row>
    <row r="615" spans="2:21" s="49" customFormat="1" ht="18.75" customHeight="1">
      <c r="B615" s="56"/>
      <c r="C615" s="57"/>
      <c r="D615" s="48">
        <v>46125</v>
      </c>
      <c r="E615" s="50" t="s">
        <v>1096</v>
      </c>
      <c r="F615" s="48"/>
      <c r="G615" s="48"/>
      <c r="H615" s="49" t="s">
        <v>196</v>
      </c>
      <c r="I615" s="51">
        <v>6000</v>
      </c>
      <c r="J615" s="51" t="s">
        <v>78</v>
      </c>
      <c r="K615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3000</v>
      </c>
      <c r="L615" s="52">
        <v>46128</v>
      </c>
      <c r="M615" s="58" t="s">
        <v>25</v>
      </c>
      <c r="N615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3000</v>
      </c>
      <c r="O615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46185</v>
      </c>
      <c r="P615" s="49" t="s">
        <v>25</v>
      </c>
      <c r="Q615" s="49" t="s">
        <v>1097</v>
      </c>
      <c r="R615" s="48">
        <v>46184</v>
      </c>
      <c r="S615" s="59" t="s">
        <v>27</v>
      </c>
      <c r="U615" s="49" t="s">
        <v>32</v>
      </c>
    </row>
    <row r="616" spans="2:21" s="49" customFormat="1" ht="18.75" hidden="1" customHeight="1">
      <c r="B616" s="96"/>
      <c r="C616" s="97"/>
      <c r="D616" s="76">
        <v>46072</v>
      </c>
      <c r="E616" s="78" t="s">
        <v>1098</v>
      </c>
      <c r="F616" s="76"/>
      <c r="G616" s="76"/>
      <c r="H616" s="63" t="s">
        <v>329</v>
      </c>
      <c r="I616" s="79">
        <v>689.9</v>
      </c>
      <c r="J616" s="79" t="s">
        <v>330</v>
      </c>
      <c r="K61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16" s="80">
        <v>46100</v>
      </c>
      <c r="M616" s="81"/>
      <c r="N61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689.9</v>
      </c>
      <c r="O61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46102</v>
      </c>
      <c r="P616" s="49" t="s">
        <v>25</v>
      </c>
      <c r="Q616" s="63" t="s">
        <v>1099</v>
      </c>
      <c r="R616" s="76">
        <v>46100</v>
      </c>
      <c r="S616" s="59" t="s">
        <v>27</v>
      </c>
    </row>
    <row r="617" spans="2:21" s="49" customFormat="1" ht="18.75" hidden="1" customHeight="1">
      <c r="B617" s="96"/>
      <c r="C617" s="97"/>
      <c r="D617" s="76">
        <v>46072</v>
      </c>
      <c r="E617" s="78" t="s">
        <v>1100</v>
      </c>
      <c r="F617" s="76"/>
      <c r="G617" s="76"/>
      <c r="H617" s="63" t="s">
        <v>329</v>
      </c>
      <c r="I617" s="79">
        <v>941.27</v>
      </c>
      <c r="J617" s="79" t="s">
        <v>330</v>
      </c>
      <c r="K61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17" s="80">
        <v>46100</v>
      </c>
      <c r="M617" s="81"/>
      <c r="N61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941.27</v>
      </c>
      <c r="O61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46102</v>
      </c>
      <c r="P617" s="49" t="s">
        <v>25</v>
      </c>
      <c r="Q617" s="63" t="s">
        <v>1101</v>
      </c>
      <c r="R617" s="76">
        <v>46100</v>
      </c>
      <c r="S617" s="59" t="s">
        <v>27</v>
      </c>
    </row>
    <row r="618" spans="2:21" s="49" customFormat="1" ht="18.75" hidden="1" customHeight="1">
      <c r="B618" s="56">
        <v>46056</v>
      </c>
      <c r="C618" s="57" t="s">
        <v>1102</v>
      </c>
      <c r="D618" s="48">
        <v>46099</v>
      </c>
      <c r="E618" s="50">
        <v>309</v>
      </c>
      <c r="F618" s="48"/>
      <c r="G618" s="48"/>
      <c r="H618" s="49" t="s">
        <v>301</v>
      </c>
      <c r="I618" s="51">
        <v>75.92</v>
      </c>
      <c r="J618" s="51" t="s">
        <v>55</v>
      </c>
      <c r="K61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18" s="52"/>
      <c r="M618" s="58"/>
      <c r="N61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75.92</v>
      </c>
      <c r="O618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618" s="49" t="s">
        <v>25</v>
      </c>
      <c r="Q618" s="49" t="s">
        <v>1038</v>
      </c>
      <c r="R618" s="48">
        <v>46100</v>
      </c>
      <c r="S618" s="59" t="s">
        <v>45</v>
      </c>
      <c r="U618" s="49" t="s">
        <v>32</v>
      </c>
    </row>
    <row r="619" spans="2:21" s="49" customFormat="1" ht="18.75" hidden="1" customHeight="1">
      <c r="B619" s="56">
        <v>46049</v>
      </c>
      <c r="C619" s="57" t="s">
        <v>1103</v>
      </c>
      <c r="D619" s="48">
        <v>46122</v>
      </c>
      <c r="E619" s="50" t="s">
        <v>1104</v>
      </c>
      <c r="F619" s="48"/>
      <c r="G619" s="48"/>
      <c r="H619" s="49" t="s">
        <v>23</v>
      </c>
      <c r="I619" s="51">
        <v>3803.76</v>
      </c>
      <c r="J619" s="51" t="s">
        <v>24</v>
      </c>
      <c r="K619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1141.1279999999999</v>
      </c>
      <c r="L619" s="52">
        <v>46121</v>
      </c>
      <c r="M619" s="49" t="s">
        <v>25</v>
      </c>
      <c r="N619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2662.6320000000001</v>
      </c>
      <c r="O619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46182</v>
      </c>
      <c r="P619" s="49" t="s">
        <v>25</v>
      </c>
      <c r="Q619" s="49" t="s">
        <v>1105</v>
      </c>
      <c r="R619" s="48">
        <v>46178</v>
      </c>
      <c r="S619" s="59" t="s">
        <v>27</v>
      </c>
      <c r="U619" s="49" t="s">
        <v>32</v>
      </c>
    </row>
    <row r="620" spans="2:21" s="49" customFormat="1" ht="18.75" hidden="1" customHeight="1">
      <c r="B620" s="56"/>
      <c r="C620" s="57"/>
      <c r="D620" s="48">
        <v>46093</v>
      </c>
      <c r="E620" s="61">
        <v>46093</v>
      </c>
      <c r="F620" s="48"/>
      <c r="G620" s="48"/>
      <c r="H620" s="49" t="s">
        <v>432</v>
      </c>
      <c r="I620" s="51">
        <v>2000</v>
      </c>
      <c r="J620" s="51" t="s">
        <v>43</v>
      </c>
      <c r="K62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20" s="52"/>
      <c r="M620" s="58"/>
      <c r="N62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2000</v>
      </c>
      <c r="O62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46093</v>
      </c>
      <c r="P620" s="49" t="s">
        <v>25</v>
      </c>
      <c r="Q620" s="49" t="s">
        <v>1106</v>
      </c>
      <c r="R620" s="48">
        <v>46100</v>
      </c>
      <c r="S620" s="59" t="s">
        <v>45</v>
      </c>
    </row>
    <row r="621" spans="2:21" s="49" customFormat="1" ht="18.75" hidden="1" customHeight="1">
      <c r="B621" s="56"/>
      <c r="C621" s="57"/>
      <c r="D621" s="48">
        <v>46095</v>
      </c>
      <c r="E621" s="50" t="s">
        <v>1107</v>
      </c>
      <c r="F621" s="48"/>
      <c r="G621" s="48"/>
      <c r="H621" s="49" t="s">
        <v>42</v>
      </c>
      <c r="I621" s="51">
        <v>65.97</v>
      </c>
      <c r="J621" s="51" t="s">
        <v>43</v>
      </c>
      <c r="K62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21" s="52"/>
      <c r="M621" s="58"/>
      <c r="N62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65.97</v>
      </c>
      <c r="O62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46095</v>
      </c>
      <c r="P621" s="49" t="s">
        <v>25</v>
      </c>
      <c r="Q621" s="49" t="s">
        <v>1108</v>
      </c>
      <c r="R621" s="48">
        <v>46100</v>
      </c>
      <c r="S621" s="59" t="s">
        <v>45</v>
      </c>
    </row>
    <row r="622" spans="2:21" s="49" customFormat="1" ht="18.75" hidden="1" customHeight="1">
      <c r="B622" s="56"/>
      <c r="C622" s="57"/>
      <c r="D622" s="48">
        <v>46080</v>
      </c>
      <c r="E622" s="50" t="s">
        <v>1109</v>
      </c>
      <c r="F622" s="48"/>
      <c r="G622" s="48"/>
      <c r="H622" s="49" t="s">
        <v>1080</v>
      </c>
      <c r="I622" s="51">
        <v>12350</v>
      </c>
      <c r="J622" s="51" t="s">
        <v>43</v>
      </c>
      <c r="K62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22" s="52"/>
      <c r="M622" s="58"/>
      <c r="N62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12350</v>
      </c>
      <c r="O62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46080</v>
      </c>
      <c r="P622" s="49" t="s">
        <v>25</v>
      </c>
      <c r="Q622" s="49" t="s">
        <v>1110</v>
      </c>
      <c r="R622" s="48">
        <v>46100</v>
      </c>
      <c r="S622" s="59" t="s">
        <v>45</v>
      </c>
    </row>
    <row r="623" spans="2:21" s="49" customFormat="1" ht="18.75" hidden="1" customHeight="1">
      <c r="B623" s="56"/>
      <c r="C623" s="57"/>
      <c r="D623" s="48">
        <v>46091</v>
      </c>
      <c r="E623" s="50" t="s">
        <v>1111</v>
      </c>
      <c r="F623" s="48"/>
      <c r="G623" s="48"/>
      <c r="H623" s="49" t="s">
        <v>1080</v>
      </c>
      <c r="I623" s="51">
        <v>-1500</v>
      </c>
      <c r="J623" s="51" t="s">
        <v>43</v>
      </c>
      <c r="K62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23" s="52"/>
      <c r="M623" s="58"/>
      <c r="N62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-1500</v>
      </c>
      <c r="O62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46091</v>
      </c>
      <c r="P623" s="49" t="s">
        <v>25</v>
      </c>
      <c r="Q623" s="49" t="s">
        <v>1112</v>
      </c>
      <c r="R623" s="48">
        <v>46100</v>
      </c>
      <c r="S623" s="59" t="s">
        <v>45</v>
      </c>
    </row>
    <row r="624" spans="2:21" s="49" customFormat="1" ht="18.75" hidden="1" customHeight="1">
      <c r="B624" s="56">
        <v>46073</v>
      </c>
      <c r="C624" s="57" t="s">
        <v>1113</v>
      </c>
      <c r="D624" s="48">
        <v>46108</v>
      </c>
      <c r="E624" s="50">
        <v>359</v>
      </c>
      <c r="F624" s="48"/>
      <c r="G624" s="48"/>
      <c r="H624" s="49" t="s">
        <v>301</v>
      </c>
      <c r="I624" s="58">
        <v>77.36</v>
      </c>
      <c r="J624" s="51" t="s">
        <v>55</v>
      </c>
      <c r="K62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24" s="52"/>
      <c r="M624" s="58"/>
      <c r="N62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77.36</v>
      </c>
      <c r="O624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624" s="49" t="s">
        <v>25</v>
      </c>
      <c r="Q624" s="49" t="s">
        <v>1114</v>
      </c>
      <c r="R624" s="48">
        <v>46107</v>
      </c>
      <c r="S624" s="59" t="s">
        <v>45</v>
      </c>
      <c r="U624" s="49" t="s">
        <v>32</v>
      </c>
    </row>
    <row r="625" spans="2:21" s="49" customFormat="1" ht="18.75" hidden="1" customHeight="1">
      <c r="B625" s="56"/>
      <c r="C625" s="57"/>
      <c r="D625" s="48">
        <v>46206</v>
      </c>
      <c r="E625" s="50" t="s">
        <v>1115</v>
      </c>
      <c r="F625" s="48"/>
      <c r="G625" s="48"/>
      <c r="H625" s="49" t="s">
        <v>1046</v>
      </c>
      <c r="I625" s="51">
        <v>660</v>
      </c>
      <c r="J625" s="51" t="s">
        <v>43</v>
      </c>
      <c r="K625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25" s="52"/>
      <c r="M625" s="58"/>
      <c r="N625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660</v>
      </c>
      <c r="O625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46206</v>
      </c>
      <c r="P625" s="49" t="s">
        <v>25</v>
      </c>
      <c r="Q625" s="49" t="s">
        <v>1116</v>
      </c>
      <c r="R625" s="48">
        <v>46212</v>
      </c>
      <c r="S625" s="59" t="s">
        <v>45</v>
      </c>
    </row>
    <row r="626" spans="2:21" s="49" customFormat="1" ht="18.75" hidden="1" customHeight="1">
      <c r="B626" s="56"/>
      <c r="C626" s="57"/>
      <c r="D626" s="48">
        <v>46127</v>
      </c>
      <c r="E626" s="50" t="s">
        <v>1117</v>
      </c>
      <c r="F626" s="48"/>
      <c r="G626" s="48"/>
      <c r="H626" s="49" t="s">
        <v>1118</v>
      </c>
      <c r="I626" s="51">
        <v>703.23</v>
      </c>
      <c r="J626" s="51" t="s">
        <v>43</v>
      </c>
      <c r="K62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26" s="52"/>
      <c r="M626" s="58"/>
      <c r="N62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703.23</v>
      </c>
      <c r="O62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46127</v>
      </c>
      <c r="P626" s="49" t="s">
        <v>25</v>
      </c>
      <c r="Q626" s="49" t="s">
        <v>1119</v>
      </c>
      <c r="R626" s="48">
        <v>46095</v>
      </c>
      <c r="S626" s="59"/>
    </row>
    <row r="627" spans="2:21" ht="18.75" hidden="1" customHeight="1">
      <c r="B627" s="56"/>
      <c r="C627" s="57"/>
      <c r="D627" s="48">
        <v>46091</v>
      </c>
      <c r="E627" s="145" t="s">
        <v>1120</v>
      </c>
      <c r="F627" s="48"/>
      <c r="G627" s="48"/>
      <c r="H627" s="49" t="s">
        <v>29</v>
      </c>
      <c r="I627" s="51">
        <v>23906.61</v>
      </c>
      <c r="J627" s="51" t="s">
        <v>30</v>
      </c>
      <c r="K627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27" s="52"/>
      <c r="M627" s="51"/>
      <c r="N627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23906.61</v>
      </c>
      <c r="O627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46151</v>
      </c>
      <c r="P627" s="49" t="s">
        <v>25</v>
      </c>
      <c r="Q627" s="49" t="s">
        <v>994</v>
      </c>
      <c r="R627" s="48">
        <v>46149</v>
      </c>
      <c r="S627" s="59" t="s">
        <v>27</v>
      </c>
      <c r="T627" s="49"/>
      <c r="U627" s="49" t="s">
        <v>32</v>
      </c>
    </row>
    <row r="628" spans="2:21" ht="18.75" hidden="1" customHeight="1">
      <c r="B628" s="56"/>
      <c r="C628" s="57"/>
      <c r="D628" s="48">
        <v>46092</v>
      </c>
      <c r="E628" s="145" t="s">
        <v>1121</v>
      </c>
      <c r="F628" s="48"/>
      <c r="G628" s="48"/>
      <c r="H628" s="49" t="s">
        <v>29</v>
      </c>
      <c r="I628" s="51">
        <v>29776.15</v>
      </c>
      <c r="J628" s="51" t="s">
        <v>30</v>
      </c>
      <c r="K628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28" s="52"/>
      <c r="M628" s="51"/>
      <c r="N628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29776.15</v>
      </c>
      <c r="O628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46152</v>
      </c>
      <c r="P628" s="49" t="s">
        <v>25</v>
      </c>
      <c r="Q628" s="49" t="s">
        <v>126</v>
      </c>
      <c r="R628" s="48">
        <v>46149</v>
      </c>
      <c r="S628" s="59" t="s">
        <v>27</v>
      </c>
      <c r="T628" s="49"/>
      <c r="U628" s="49" t="s">
        <v>32</v>
      </c>
    </row>
    <row r="629" spans="2:21" s="49" customFormat="1" ht="18.75" hidden="1" customHeight="1">
      <c r="B629" s="56"/>
      <c r="C629" s="57"/>
      <c r="D629" s="48">
        <v>46093</v>
      </c>
      <c r="E629" s="145" t="s">
        <v>1122</v>
      </c>
      <c r="F629" s="48"/>
      <c r="G629" s="48"/>
      <c r="H629" s="49" t="s">
        <v>29</v>
      </c>
      <c r="I629" s="51">
        <v>36903.19</v>
      </c>
      <c r="J629" s="51" t="s">
        <v>30</v>
      </c>
      <c r="K629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29" s="52"/>
      <c r="M629" s="51"/>
      <c r="N629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36903.19</v>
      </c>
      <c r="O629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46153</v>
      </c>
      <c r="P629" s="49" t="s">
        <v>25</v>
      </c>
      <c r="Q629" s="49" t="s">
        <v>830</v>
      </c>
      <c r="R629" s="48">
        <v>46149</v>
      </c>
      <c r="S629" s="59" t="s">
        <v>27</v>
      </c>
      <c r="U629" s="49" t="s">
        <v>32</v>
      </c>
    </row>
    <row r="630" spans="2:21" s="49" customFormat="1" ht="18.75" hidden="1" customHeight="1">
      <c r="B630" s="56"/>
      <c r="C630" s="57"/>
      <c r="D630" s="48">
        <v>46093</v>
      </c>
      <c r="E630" s="145" t="s">
        <v>1123</v>
      </c>
      <c r="F630" s="48"/>
      <c r="G630" s="48"/>
      <c r="H630" s="49" t="s">
        <v>29</v>
      </c>
      <c r="I630" s="51">
        <v>34149.72</v>
      </c>
      <c r="J630" s="51" t="s">
        <v>30</v>
      </c>
      <c r="K630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30" s="52"/>
      <c r="M630" s="51"/>
      <c r="N630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34149.72</v>
      </c>
      <c r="O630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46153</v>
      </c>
      <c r="P630" s="49" t="s">
        <v>25</v>
      </c>
      <c r="Q630" s="49" t="s">
        <v>292</v>
      </c>
      <c r="R630" s="48">
        <v>46149</v>
      </c>
      <c r="S630" s="59" t="s">
        <v>27</v>
      </c>
      <c r="U630" s="49" t="s">
        <v>32</v>
      </c>
    </row>
    <row r="631" spans="2:21" s="49" customFormat="1" ht="18.75" hidden="1" customHeight="1">
      <c r="B631" s="56"/>
      <c r="C631" s="57"/>
      <c r="D631" s="48">
        <v>46094</v>
      </c>
      <c r="E631" s="145" t="s">
        <v>1124</v>
      </c>
      <c r="F631" s="48"/>
      <c r="G631" s="48"/>
      <c r="H631" s="49" t="s">
        <v>29</v>
      </c>
      <c r="I631" s="51">
        <v>34988.15</v>
      </c>
      <c r="J631" s="51" t="s">
        <v>30</v>
      </c>
      <c r="K631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31" s="52"/>
      <c r="M631" s="51"/>
      <c r="N631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34988.15</v>
      </c>
      <c r="O631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46154</v>
      </c>
      <c r="P631" s="49" t="s">
        <v>25</v>
      </c>
      <c r="Q631" s="49" t="s">
        <v>522</v>
      </c>
      <c r="R631" s="48">
        <v>46149</v>
      </c>
      <c r="S631" s="59" t="s">
        <v>27</v>
      </c>
      <c r="U631" s="49" t="s">
        <v>32</v>
      </c>
    </row>
    <row r="632" spans="2:21" s="49" customFormat="1" ht="18.75" hidden="1" customHeight="1">
      <c r="B632" s="56"/>
      <c r="C632" s="57"/>
      <c r="D632" s="48">
        <v>46097</v>
      </c>
      <c r="E632" s="50" t="s">
        <v>1125</v>
      </c>
      <c r="F632" s="48"/>
      <c r="G632" s="48"/>
      <c r="H632" s="49" t="s">
        <v>29</v>
      </c>
      <c r="I632" s="51">
        <v>36197.78</v>
      </c>
      <c r="J632" s="51" t="s">
        <v>30</v>
      </c>
      <c r="K632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32" s="52"/>
      <c r="M632" s="58"/>
      <c r="N632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36197.78</v>
      </c>
      <c r="O632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46157</v>
      </c>
      <c r="P632" s="49" t="s">
        <v>25</v>
      </c>
      <c r="Q632" s="49" t="s">
        <v>292</v>
      </c>
      <c r="R632" s="94">
        <v>46154</v>
      </c>
      <c r="S632" s="59" t="s">
        <v>27</v>
      </c>
      <c r="U632" s="49" t="s">
        <v>32</v>
      </c>
    </row>
    <row r="633" spans="2:21" s="49" customFormat="1" ht="18.75" hidden="1" customHeight="1">
      <c r="B633" s="56"/>
      <c r="C633" s="57"/>
      <c r="D633" s="48">
        <v>46098</v>
      </c>
      <c r="E633" s="50" t="s">
        <v>1126</v>
      </c>
      <c r="F633" s="48"/>
      <c r="G633" s="48"/>
      <c r="H633" s="49" t="s">
        <v>29</v>
      </c>
      <c r="I633" s="66">
        <v>32354.959999999999</v>
      </c>
      <c r="J633" s="66" t="s">
        <v>30</v>
      </c>
      <c r="K633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33" s="67"/>
      <c r="M633" s="95"/>
      <c r="N633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32354.959999999999</v>
      </c>
      <c r="O633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46158</v>
      </c>
      <c r="P633" s="49" t="s">
        <v>25</v>
      </c>
      <c r="Q633" s="49" t="s">
        <v>292</v>
      </c>
      <c r="R633" s="94">
        <v>46154</v>
      </c>
      <c r="S633" s="59" t="s">
        <v>27</v>
      </c>
      <c r="U633" s="49" t="s">
        <v>32</v>
      </c>
    </row>
    <row r="634" spans="2:21" s="49" customFormat="1" ht="18.75" hidden="1" customHeight="1">
      <c r="B634" s="56"/>
      <c r="C634" s="57"/>
      <c r="D634" s="48">
        <v>46098</v>
      </c>
      <c r="E634" s="50" t="s">
        <v>1127</v>
      </c>
      <c r="F634" s="48"/>
      <c r="G634" s="48"/>
      <c r="H634" s="49" t="s">
        <v>29</v>
      </c>
      <c r="I634" s="66">
        <v>44052.72</v>
      </c>
      <c r="J634" s="66" t="s">
        <v>30</v>
      </c>
      <c r="K634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34" s="67"/>
      <c r="M634" s="95"/>
      <c r="N634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44052.72</v>
      </c>
      <c r="O634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46158</v>
      </c>
      <c r="P634" s="49" t="s">
        <v>25</v>
      </c>
      <c r="Q634" s="49" t="s">
        <v>522</v>
      </c>
      <c r="R634" s="141">
        <v>46154</v>
      </c>
      <c r="S634" s="59" t="s">
        <v>27</v>
      </c>
      <c r="U634" s="49" t="s">
        <v>32</v>
      </c>
    </row>
    <row r="635" spans="2:21" s="49" customFormat="1" ht="18.75" hidden="1" customHeight="1">
      <c r="B635" s="56"/>
      <c r="C635" s="57"/>
      <c r="D635" s="48">
        <v>46099</v>
      </c>
      <c r="E635" s="50" t="s">
        <v>1128</v>
      </c>
      <c r="F635" s="48"/>
      <c r="G635" s="48"/>
      <c r="H635" s="49" t="s">
        <v>29</v>
      </c>
      <c r="I635" s="51">
        <v>774.75</v>
      </c>
      <c r="J635" s="51" t="s">
        <v>30</v>
      </c>
      <c r="K635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35" s="52"/>
      <c r="M635" s="58"/>
      <c r="N635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774.75</v>
      </c>
      <c r="O635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46159</v>
      </c>
      <c r="P635" s="49" t="s">
        <v>25</v>
      </c>
      <c r="Q635" s="49" t="s">
        <v>1129</v>
      </c>
      <c r="R635" s="141">
        <v>46154</v>
      </c>
      <c r="S635" s="59" t="s">
        <v>27</v>
      </c>
      <c r="U635" s="49" t="s">
        <v>32</v>
      </c>
    </row>
    <row r="636" spans="2:21" s="49" customFormat="1" ht="18.75" hidden="1" customHeight="1">
      <c r="B636" s="56"/>
      <c r="C636" s="57"/>
      <c r="D636" s="48">
        <v>46099</v>
      </c>
      <c r="E636" s="50" t="s">
        <v>1130</v>
      </c>
      <c r="F636" s="48"/>
      <c r="G636" s="48"/>
      <c r="H636" s="49" t="s">
        <v>29</v>
      </c>
      <c r="I636" s="51">
        <v>995</v>
      </c>
      <c r="J636" s="51" t="s">
        <v>30</v>
      </c>
      <c r="K636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36" s="52"/>
      <c r="M636" s="58"/>
      <c r="N636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995</v>
      </c>
      <c r="O636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46159</v>
      </c>
      <c r="P636" s="49" t="s">
        <v>25</v>
      </c>
      <c r="Q636" s="49" t="s">
        <v>1129</v>
      </c>
      <c r="R636" s="141">
        <v>46154</v>
      </c>
      <c r="S636" s="59" t="s">
        <v>27</v>
      </c>
      <c r="U636" s="49" t="s">
        <v>32</v>
      </c>
    </row>
    <row r="637" spans="2:21" s="49" customFormat="1" ht="18.75" hidden="1" customHeight="1">
      <c r="B637" s="56"/>
      <c r="C637" s="57"/>
      <c r="D637" s="48">
        <v>46100</v>
      </c>
      <c r="E637" s="50" t="s">
        <v>1131</v>
      </c>
      <c r="F637" s="48"/>
      <c r="G637" s="48"/>
      <c r="H637" s="49" t="s">
        <v>29</v>
      </c>
      <c r="I637" s="51">
        <v>32354.959999999999</v>
      </c>
      <c r="J637" s="51" t="s">
        <v>30</v>
      </c>
      <c r="K637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37" s="52"/>
      <c r="M637" s="58"/>
      <c r="N637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32354.959999999999</v>
      </c>
      <c r="O637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46160</v>
      </c>
      <c r="P637" s="49" t="s">
        <v>25</v>
      </c>
      <c r="Q637" s="49" t="s">
        <v>292</v>
      </c>
      <c r="R637" s="141">
        <v>46154</v>
      </c>
      <c r="S637" s="59" t="s">
        <v>27</v>
      </c>
      <c r="U637" s="49" t="s">
        <v>32</v>
      </c>
    </row>
    <row r="638" spans="2:21" s="49" customFormat="1" ht="18.75" hidden="1" customHeight="1">
      <c r="B638" s="56"/>
      <c r="C638" s="57"/>
      <c r="D638" s="48">
        <v>46100</v>
      </c>
      <c r="E638" s="50" t="s">
        <v>1132</v>
      </c>
      <c r="F638" s="48"/>
      <c r="G638" s="48"/>
      <c r="H638" s="49" t="s">
        <v>29</v>
      </c>
      <c r="I638" s="51">
        <v>52125.83</v>
      </c>
      <c r="J638" s="51" t="s">
        <v>30</v>
      </c>
      <c r="K638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38" s="52"/>
      <c r="M638" s="58"/>
      <c r="N638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52125.83</v>
      </c>
      <c r="O638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46160</v>
      </c>
      <c r="P638" s="49" t="s">
        <v>25</v>
      </c>
      <c r="Q638" s="49" t="s">
        <v>292</v>
      </c>
      <c r="R638" s="141">
        <v>46154</v>
      </c>
      <c r="S638" s="59" t="s">
        <v>27</v>
      </c>
      <c r="U638" s="49" t="s">
        <v>32</v>
      </c>
    </row>
    <row r="639" spans="2:21" s="49" customFormat="1" ht="18.75" hidden="1" customHeight="1">
      <c r="B639" s="56"/>
      <c r="C639" s="57"/>
      <c r="D639" s="48">
        <v>46100</v>
      </c>
      <c r="E639" s="50" t="s">
        <v>1133</v>
      </c>
      <c r="F639" s="48"/>
      <c r="G639" s="48"/>
      <c r="H639" s="49" t="s">
        <v>29</v>
      </c>
      <c r="I639" s="51">
        <v>34838.92</v>
      </c>
      <c r="J639" s="51" t="s">
        <v>30</v>
      </c>
      <c r="K639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39" s="52"/>
      <c r="M639" s="58"/>
      <c r="N639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34838.92</v>
      </c>
      <c r="O639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46160</v>
      </c>
      <c r="P639" s="49" t="s">
        <v>25</v>
      </c>
      <c r="Q639" s="49" t="s">
        <v>344</v>
      </c>
      <c r="R639" s="141">
        <v>46154</v>
      </c>
      <c r="S639" s="59" t="s">
        <v>27</v>
      </c>
      <c r="U639" s="49" t="s">
        <v>32</v>
      </c>
    </row>
    <row r="640" spans="2:21" s="49" customFormat="1" ht="18.75" hidden="1" customHeight="1">
      <c r="B640" s="56"/>
      <c r="C640" s="57"/>
      <c r="D640" s="48">
        <v>46101</v>
      </c>
      <c r="E640" s="50" t="s">
        <v>1134</v>
      </c>
      <c r="F640" s="48"/>
      <c r="G640" s="48"/>
      <c r="H640" s="49" t="s">
        <v>29</v>
      </c>
      <c r="I640" s="51">
        <v>27817.360000000001</v>
      </c>
      <c r="J640" s="51" t="s">
        <v>30</v>
      </c>
      <c r="K640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40" s="52"/>
      <c r="M640" s="58"/>
      <c r="N640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27817.360000000001</v>
      </c>
      <c r="O640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46161</v>
      </c>
      <c r="P640" s="49" t="s">
        <v>25</v>
      </c>
      <c r="Q640" s="49" t="s">
        <v>344</v>
      </c>
      <c r="R640" s="141">
        <v>46154</v>
      </c>
      <c r="S640" s="59" t="s">
        <v>27</v>
      </c>
      <c r="U640" s="49" t="s">
        <v>32</v>
      </c>
    </row>
    <row r="641" spans="2:21" s="49" customFormat="1" ht="18.75" hidden="1" customHeight="1">
      <c r="B641" s="56"/>
      <c r="C641" s="57"/>
      <c r="D641" s="48">
        <v>46101</v>
      </c>
      <c r="E641" s="50" t="s">
        <v>1135</v>
      </c>
      <c r="F641" s="48"/>
      <c r="G641" s="48"/>
      <c r="H641" s="49" t="s">
        <v>29</v>
      </c>
      <c r="I641" s="51">
        <v>51563.199999999997</v>
      </c>
      <c r="J641" s="51" t="s">
        <v>30</v>
      </c>
      <c r="K641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41" s="52"/>
      <c r="M641" s="58"/>
      <c r="N641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51563.199999999997</v>
      </c>
      <c r="O641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46161</v>
      </c>
      <c r="P641" s="49" t="s">
        <v>25</v>
      </c>
      <c r="Q641" s="49" t="s">
        <v>126</v>
      </c>
      <c r="R641" s="141">
        <v>46154</v>
      </c>
      <c r="S641" s="59" t="s">
        <v>27</v>
      </c>
      <c r="U641" s="49" t="s">
        <v>32</v>
      </c>
    </row>
    <row r="642" spans="2:21" s="49" customFormat="1" ht="18.75" hidden="1" customHeight="1">
      <c r="B642" s="56"/>
      <c r="C642" s="57"/>
      <c r="D642" s="48">
        <v>46104</v>
      </c>
      <c r="E642" s="50" t="s">
        <v>1136</v>
      </c>
      <c r="F642" s="48"/>
      <c r="G642" s="48"/>
      <c r="H642" s="49" t="s">
        <v>29</v>
      </c>
      <c r="I642" s="51">
        <v>32023.57</v>
      </c>
      <c r="J642" s="51" t="s">
        <v>30</v>
      </c>
      <c r="K642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42" s="52"/>
      <c r="M642" s="58"/>
      <c r="N642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32023.57</v>
      </c>
      <c r="O642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46164</v>
      </c>
      <c r="P642" s="49" t="s">
        <v>25</v>
      </c>
      <c r="Q642" s="49" t="s">
        <v>1038</v>
      </c>
      <c r="R642" s="94">
        <v>46154</v>
      </c>
      <c r="S642" s="59" t="s">
        <v>27</v>
      </c>
      <c r="U642" s="49" t="s">
        <v>32</v>
      </c>
    </row>
    <row r="643" spans="2:21" ht="18.75" hidden="1" customHeight="1">
      <c r="B643" s="1"/>
      <c r="D643" s="1">
        <v>46059</v>
      </c>
      <c r="E643" s="29">
        <v>1009</v>
      </c>
      <c r="F643" s="1"/>
      <c r="G643" s="1">
        <v>46093</v>
      </c>
      <c r="H643" t="s">
        <v>1137</v>
      </c>
      <c r="I643" s="2">
        <v>840</v>
      </c>
      <c r="J643" s="2" t="s">
        <v>552</v>
      </c>
      <c r="K64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420</v>
      </c>
      <c r="L643" s="3">
        <v>46072</v>
      </c>
      <c r="M643" t="s">
        <v>25</v>
      </c>
      <c r="N64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420</v>
      </c>
      <c r="O64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46093</v>
      </c>
      <c r="P643" t="s">
        <v>25</v>
      </c>
      <c r="Q643" t="s">
        <v>1138</v>
      </c>
      <c r="R643" s="1">
        <v>46093</v>
      </c>
      <c r="S643" s="24" t="s">
        <v>27</v>
      </c>
    </row>
    <row r="644" spans="2:21" s="49" customFormat="1" ht="18.75" hidden="1" customHeight="1">
      <c r="B644" s="1"/>
      <c r="C644" s="7"/>
      <c r="D644" s="1">
        <v>46058</v>
      </c>
      <c r="E644" s="29">
        <v>63</v>
      </c>
      <c r="F644" s="40">
        <v>46059</v>
      </c>
      <c r="G644" s="40">
        <v>46093</v>
      </c>
      <c r="H644" t="s">
        <v>551</v>
      </c>
      <c r="I644" s="2">
        <v>900</v>
      </c>
      <c r="J644" s="2" t="s">
        <v>552</v>
      </c>
      <c r="K64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450</v>
      </c>
      <c r="L644" s="3">
        <v>46059</v>
      </c>
      <c r="M644" s="11" t="s">
        <v>25</v>
      </c>
      <c r="N64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450</v>
      </c>
      <c r="O64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46093</v>
      </c>
      <c r="P644" t="s">
        <v>25</v>
      </c>
      <c r="Q644" t="s">
        <v>1139</v>
      </c>
      <c r="R644" s="1">
        <v>46093</v>
      </c>
      <c r="S644" t="s">
        <v>27</v>
      </c>
      <c r="T644" s="24"/>
      <c r="U644"/>
    </row>
    <row r="645" spans="2:21" s="49" customFormat="1" ht="18.75" hidden="1" customHeight="1">
      <c r="B645" s="56">
        <v>46049</v>
      </c>
      <c r="C645" s="57" t="s">
        <v>1140</v>
      </c>
      <c r="D645" s="48">
        <v>46122</v>
      </c>
      <c r="E645" s="50" t="s">
        <v>1141</v>
      </c>
      <c r="F645" s="48"/>
      <c r="G645" s="48"/>
      <c r="H645" s="49" t="s">
        <v>23</v>
      </c>
      <c r="I645" s="51">
        <v>15483.72</v>
      </c>
      <c r="J645" s="51" t="s">
        <v>24</v>
      </c>
      <c r="K645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4645.116</v>
      </c>
      <c r="L645" s="52">
        <v>46121</v>
      </c>
      <c r="M645" s="49" t="s">
        <v>25</v>
      </c>
      <c r="N645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10838.603999999999</v>
      </c>
      <c r="O645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46182</v>
      </c>
      <c r="P645" s="49" t="s">
        <v>25</v>
      </c>
      <c r="Q645" s="49" t="s">
        <v>222</v>
      </c>
      <c r="R645" s="48">
        <v>46178</v>
      </c>
      <c r="S645" s="59" t="s">
        <v>27</v>
      </c>
      <c r="U645" s="49" t="s">
        <v>32</v>
      </c>
    </row>
    <row r="646" spans="2:21" s="49" customFormat="1" ht="18.75" hidden="1" customHeight="1">
      <c r="B646" s="56">
        <v>46051</v>
      </c>
      <c r="C646" s="57" t="s">
        <v>1142</v>
      </c>
      <c r="D646" s="48">
        <v>46086</v>
      </c>
      <c r="E646" s="50" t="s">
        <v>1143</v>
      </c>
      <c r="F646" s="48"/>
      <c r="G646" s="48"/>
      <c r="H646" s="49" t="s">
        <v>23</v>
      </c>
      <c r="I646" s="51">
        <v>4224.76</v>
      </c>
      <c r="J646" s="51" t="s">
        <v>24</v>
      </c>
      <c r="K64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1267.4280000000001</v>
      </c>
      <c r="L646" s="52">
        <v>46100</v>
      </c>
      <c r="M646" s="49" t="s">
        <v>25</v>
      </c>
      <c r="N64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2957.3319999999999</v>
      </c>
      <c r="O64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46146</v>
      </c>
      <c r="P646" t="s">
        <v>25</v>
      </c>
      <c r="Q646" s="49" t="s">
        <v>1038</v>
      </c>
      <c r="R646" s="48">
        <v>46142</v>
      </c>
      <c r="S646" s="59" t="s">
        <v>45</v>
      </c>
      <c r="U646" s="49" t="s">
        <v>32</v>
      </c>
    </row>
    <row r="647" spans="2:21" s="49" customFormat="1" ht="18.75" hidden="1" customHeight="1">
      <c r="B647" s="76"/>
      <c r="C647" s="77"/>
      <c r="D647" s="76">
        <v>46071</v>
      </c>
      <c r="E647" s="78" t="s">
        <v>1144</v>
      </c>
      <c r="F647" s="76"/>
      <c r="G647" s="76"/>
      <c r="H647" s="63" t="s">
        <v>329</v>
      </c>
      <c r="I647" s="79">
        <v>1133.42</v>
      </c>
      <c r="J647" s="79" t="s">
        <v>330</v>
      </c>
      <c r="K64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47" s="80"/>
      <c r="M647" s="63"/>
      <c r="N64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1133.42</v>
      </c>
      <c r="O64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46101</v>
      </c>
      <c r="P647" s="63" t="s">
        <v>25</v>
      </c>
      <c r="Q647" s="63" t="s">
        <v>101</v>
      </c>
      <c r="R647" s="76">
        <v>46093</v>
      </c>
      <c r="S647" s="82" t="s">
        <v>27</v>
      </c>
      <c r="T647" s="63"/>
      <c r="U647" s="63" t="s">
        <v>32</v>
      </c>
    </row>
    <row r="648" spans="2:21" s="49" customFormat="1" ht="18.75" hidden="1" customHeight="1">
      <c r="B648" s="76"/>
      <c r="C648" s="77"/>
      <c r="D648" s="76">
        <v>46071</v>
      </c>
      <c r="E648" s="78" t="s">
        <v>1145</v>
      </c>
      <c r="F648" s="76"/>
      <c r="G648" s="76"/>
      <c r="H648" s="63" t="s">
        <v>329</v>
      </c>
      <c r="I648" s="79">
        <v>304.98</v>
      </c>
      <c r="J648" s="79" t="s">
        <v>330</v>
      </c>
      <c r="K64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48" s="80"/>
      <c r="M648" s="63"/>
      <c r="N64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304.98</v>
      </c>
      <c r="O64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46101</v>
      </c>
      <c r="P648" s="63" t="s">
        <v>25</v>
      </c>
      <c r="Q648" s="63" t="s">
        <v>1146</v>
      </c>
      <c r="R648" s="76">
        <v>46093</v>
      </c>
      <c r="S648" s="82" t="s">
        <v>27</v>
      </c>
      <c r="T648" s="63"/>
      <c r="U648" s="63" t="s">
        <v>32</v>
      </c>
    </row>
    <row r="649" spans="2:21" s="49" customFormat="1" ht="18.75" hidden="1" customHeight="1">
      <c r="B649" s="76"/>
      <c r="C649" s="77"/>
      <c r="D649" s="76">
        <v>46071</v>
      </c>
      <c r="E649" s="78" t="s">
        <v>1147</v>
      </c>
      <c r="F649" s="76"/>
      <c r="G649" s="76"/>
      <c r="H649" s="63" t="s">
        <v>329</v>
      </c>
      <c r="I649" s="79">
        <v>455.2</v>
      </c>
      <c r="J649" s="79" t="s">
        <v>330</v>
      </c>
      <c r="K64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49" s="80"/>
      <c r="M649" s="63"/>
      <c r="N64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455.2</v>
      </c>
      <c r="O64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46101</v>
      </c>
      <c r="P649" s="63" t="s">
        <v>25</v>
      </c>
      <c r="Q649" s="63" t="s">
        <v>129</v>
      </c>
      <c r="R649" s="76">
        <v>46093</v>
      </c>
      <c r="S649" s="82" t="s">
        <v>27</v>
      </c>
      <c r="T649" s="63"/>
      <c r="U649" s="63" t="s">
        <v>32</v>
      </c>
    </row>
    <row r="650" spans="2:21" s="49" customFormat="1" ht="18.75" hidden="1" customHeight="1">
      <c r="B650" s="76"/>
      <c r="C650" s="77"/>
      <c r="D650" s="76">
        <v>46071</v>
      </c>
      <c r="E650" s="78" t="s">
        <v>1148</v>
      </c>
      <c r="F650" s="76"/>
      <c r="G650" s="76"/>
      <c r="H650" s="63" t="s">
        <v>329</v>
      </c>
      <c r="I650" s="79">
        <v>349.27</v>
      </c>
      <c r="J650" s="79" t="s">
        <v>330</v>
      </c>
      <c r="K65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50" s="80"/>
      <c r="M650" s="63"/>
      <c r="N65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349.27</v>
      </c>
      <c r="O65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46101</v>
      </c>
      <c r="P650" s="63" t="s">
        <v>25</v>
      </c>
      <c r="Q650" s="63" t="s">
        <v>132</v>
      </c>
      <c r="R650" s="76">
        <v>46093</v>
      </c>
      <c r="S650" s="82" t="s">
        <v>27</v>
      </c>
      <c r="T650" s="63"/>
      <c r="U650" s="63" t="s">
        <v>32</v>
      </c>
    </row>
    <row r="651" spans="2:21" s="49" customFormat="1" ht="18.75" hidden="1" customHeight="1">
      <c r="B651" s="76"/>
      <c r="C651" s="77"/>
      <c r="D651" s="76">
        <v>46071</v>
      </c>
      <c r="E651" s="78" t="s">
        <v>1149</v>
      </c>
      <c r="F651" s="76"/>
      <c r="G651" s="76"/>
      <c r="H651" s="63" t="s">
        <v>329</v>
      </c>
      <c r="I651" s="79">
        <v>304.98</v>
      </c>
      <c r="J651" s="79" t="s">
        <v>330</v>
      </c>
      <c r="K65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51" s="80"/>
      <c r="M651" s="63"/>
      <c r="N65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304.98</v>
      </c>
      <c r="O65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46101</v>
      </c>
      <c r="P651" s="63" t="s">
        <v>25</v>
      </c>
      <c r="Q651" s="63" t="s">
        <v>947</v>
      </c>
      <c r="R651" s="76">
        <v>46093</v>
      </c>
      <c r="S651" s="82" t="s">
        <v>27</v>
      </c>
      <c r="T651" s="63"/>
      <c r="U651" s="63" t="s">
        <v>32</v>
      </c>
    </row>
    <row r="652" spans="2:21" s="49" customFormat="1" ht="18.75" hidden="1" customHeight="1">
      <c r="B652" s="76"/>
      <c r="C652" s="77"/>
      <c r="D652" s="76">
        <v>46071</v>
      </c>
      <c r="E652" s="78" t="s">
        <v>1150</v>
      </c>
      <c r="F652" s="76"/>
      <c r="G652" s="76"/>
      <c r="H652" s="63" t="s">
        <v>329</v>
      </c>
      <c r="I652" s="79">
        <v>349.27</v>
      </c>
      <c r="J652" s="79" t="s">
        <v>330</v>
      </c>
      <c r="K65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52" s="80"/>
      <c r="M652" s="63"/>
      <c r="N65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349.27</v>
      </c>
      <c r="O65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46101</v>
      </c>
      <c r="P652" s="63" t="s">
        <v>25</v>
      </c>
      <c r="Q652" s="63" t="s">
        <v>138</v>
      </c>
      <c r="R652" s="76">
        <v>46093</v>
      </c>
      <c r="S652" s="82" t="s">
        <v>27</v>
      </c>
      <c r="T652" s="63"/>
      <c r="U652" s="63" t="s">
        <v>32</v>
      </c>
    </row>
    <row r="653" spans="2:21" s="49" customFormat="1" ht="18.75" hidden="1" customHeight="1">
      <c r="B653" s="56"/>
      <c r="C653" s="57"/>
      <c r="D653" s="48">
        <v>46086</v>
      </c>
      <c r="E653" s="50" t="s">
        <v>1151</v>
      </c>
      <c r="F653" s="48"/>
      <c r="G653" s="48"/>
      <c r="H653" s="49" t="s">
        <v>42</v>
      </c>
      <c r="I653" s="51">
        <v>63.29</v>
      </c>
      <c r="J653" s="51" t="s">
        <v>43</v>
      </c>
      <c r="K65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53" s="52"/>
      <c r="M653" s="58"/>
      <c r="N65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63.29</v>
      </c>
      <c r="O65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46086</v>
      </c>
      <c r="P653" s="49" t="s">
        <v>25</v>
      </c>
      <c r="Q653" s="49" t="s">
        <v>1108</v>
      </c>
      <c r="R653" s="48">
        <v>46093</v>
      </c>
      <c r="S653" s="59" t="s">
        <v>45</v>
      </c>
    </row>
    <row r="654" spans="2:21" s="49" customFormat="1" ht="18.75" hidden="1" customHeight="1">
      <c r="B654" s="56"/>
      <c r="C654" s="57"/>
      <c r="D654" s="48">
        <v>46083</v>
      </c>
      <c r="E654" s="50" t="s">
        <v>1152</v>
      </c>
      <c r="F654" s="48"/>
      <c r="G654" s="48"/>
      <c r="H654" s="49" t="s">
        <v>1153</v>
      </c>
      <c r="I654" s="51">
        <v>71.5</v>
      </c>
      <c r="J654" s="51" t="s">
        <v>43</v>
      </c>
      <c r="K65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54" s="52"/>
      <c r="M654" s="51"/>
      <c r="N65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71.5</v>
      </c>
      <c r="O65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46083</v>
      </c>
      <c r="P654" s="49" t="s">
        <v>25</v>
      </c>
      <c r="Q654" s="49" t="s">
        <v>1154</v>
      </c>
      <c r="R654" s="48">
        <v>46093</v>
      </c>
      <c r="S654" s="59" t="s">
        <v>27</v>
      </c>
    </row>
    <row r="655" spans="2:21" s="49" customFormat="1" ht="18.75" hidden="1" customHeight="1">
      <c r="B655" s="56">
        <v>46091</v>
      </c>
      <c r="C655" s="57" t="s">
        <v>1155</v>
      </c>
      <c r="D655" s="48">
        <v>46091</v>
      </c>
      <c r="E655" s="50">
        <v>161</v>
      </c>
      <c r="F655" s="48"/>
      <c r="G655" s="48"/>
      <c r="H655" s="49" t="s">
        <v>1156</v>
      </c>
      <c r="I655" s="51">
        <v>196</v>
      </c>
      <c r="J655" s="51" t="s">
        <v>43</v>
      </c>
      <c r="K65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55" s="52"/>
      <c r="M655" s="58"/>
      <c r="N65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196</v>
      </c>
      <c r="O65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46091</v>
      </c>
      <c r="P655" s="49" t="s">
        <v>25</v>
      </c>
      <c r="Q655" s="49" t="s">
        <v>1157</v>
      </c>
      <c r="R655" s="48">
        <v>46093</v>
      </c>
      <c r="S655" s="59" t="s">
        <v>27</v>
      </c>
    </row>
    <row r="656" spans="2:21" s="49" customFormat="1" ht="18.75" hidden="1" customHeight="1">
      <c r="B656" s="83"/>
      <c r="C656" s="77"/>
      <c r="D656" s="76">
        <v>46092</v>
      </c>
      <c r="E656" s="78" t="s">
        <v>1158</v>
      </c>
      <c r="F656" s="76"/>
      <c r="G656" s="76"/>
      <c r="H656" s="63" t="s">
        <v>1159</v>
      </c>
      <c r="I656" s="79">
        <v>8160.42</v>
      </c>
      <c r="J656" s="79" t="s">
        <v>55</v>
      </c>
      <c r="K65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56" s="80"/>
      <c r="M656" s="81"/>
      <c r="N65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8160.42</v>
      </c>
      <c r="O656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656" s="63" t="s">
        <v>25</v>
      </c>
      <c r="Q656" s="63" t="s">
        <v>1160</v>
      </c>
      <c r="R656" s="76">
        <v>46093</v>
      </c>
      <c r="S656" s="82"/>
      <c r="T656" s="63"/>
      <c r="U656" s="63"/>
    </row>
    <row r="657" spans="2:21" s="49" customFormat="1" ht="18.75" hidden="1" customHeight="1">
      <c r="B657" s="56"/>
      <c r="C657" s="57"/>
      <c r="D657" s="48">
        <v>46094</v>
      </c>
      <c r="E657" s="50" t="s">
        <v>1161</v>
      </c>
      <c r="F657" s="48"/>
      <c r="G657" s="48"/>
      <c r="H657" s="49" t="s">
        <v>1118</v>
      </c>
      <c r="I657" s="51">
        <v>778.68</v>
      </c>
      <c r="J657" s="51" t="s">
        <v>43</v>
      </c>
      <c r="K65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57" s="52"/>
      <c r="M657" s="58"/>
      <c r="N65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778.68</v>
      </c>
      <c r="O65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46094</v>
      </c>
      <c r="P657" s="49" t="s">
        <v>25</v>
      </c>
      <c r="Q657" s="49" t="s">
        <v>1162</v>
      </c>
      <c r="R657" s="48">
        <v>46093</v>
      </c>
      <c r="S657" s="59"/>
    </row>
    <row r="658" spans="2:21" s="49" customFormat="1" ht="18.75" hidden="1" customHeight="1">
      <c r="B658" s="56">
        <v>46062</v>
      </c>
      <c r="C658" s="57" t="s">
        <v>1163</v>
      </c>
      <c r="D658" s="48">
        <v>46104</v>
      </c>
      <c r="E658" s="50" t="s">
        <v>1164</v>
      </c>
      <c r="F658" s="48"/>
      <c r="G658" s="48"/>
      <c r="H658" s="49" t="s">
        <v>23</v>
      </c>
      <c r="I658" s="51">
        <v>34511.75</v>
      </c>
      <c r="J658" s="51" t="s">
        <v>24</v>
      </c>
      <c r="K65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10353.525</v>
      </c>
      <c r="L658" s="48">
        <v>46100</v>
      </c>
      <c r="M658" s="49" t="s">
        <v>25</v>
      </c>
      <c r="N65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24158.224999999999</v>
      </c>
      <c r="O65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46164</v>
      </c>
      <c r="P658" s="49" t="s">
        <v>25</v>
      </c>
      <c r="Q658" s="49" t="s">
        <v>292</v>
      </c>
      <c r="R658" s="48">
        <v>46163</v>
      </c>
      <c r="S658" s="59" t="s">
        <v>27</v>
      </c>
      <c r="U658" s="49" t="s">
        <v>32</v>
      </c>
    </row>
    <row r="659" spans="2:21" s="49" customFormat="1" ht="18.75" hidden="1" customHeight="1">
      <c r="B659" s="56"/>
      <c r="C659" s="57"/>
      <c r="D659" s="48">
        <v>46073</v>
      </c>
      <c r="E659" s="50" t="s">
        <v>1165</v>
      </c>
      <c r="F659" s="48"/>
      <c r="G659" s="48"/>
      <c r="H659" s="49" t="s">
        <v>105</v>
      </c>
      <c r="I659" s="51">
        <v>1309.25</v>
      </c>
      <c r="J659" s="51" t="s">
        <v>55</v>
      </c>
      <c r="K65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59" s="52"/>
      <c r="M659" s="58"/>
      <c r="N65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1309.25</v>
      </c>
      <c r="O659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659" s="49" t="s">
        <v>25</v>
      </c>
      <c r="R659" s="48">
        <v>46086</v>
      </c>
      <c r="S659" s="59" t="s">
        <v>27</v>
      </c>
      <c r="U659"/>
    </row>
    <row r="660" spans="2:21" s="49" customFormat="1" ht="18.75" hidden="1" customHeight="1">
      <c r="B660" s="56">
        <v>46062</v>
      </c>
      <c r="C660" s="57" t="s">
        <v>1166</v>
      </c>
      <c r="D660" s="48">
        <v>46106</v>
      </c>
      <c r="E660" s="50" t="s">
        <v>1167</v>
      </c>
      <c r="F660" s="48"/>
      <c r="G660" s="48"/>
      <c r="H660" s="49" t="s">
        <v>23</v>
      </c>
      <c r="I660" s="51">
        <v>4207.7</v>
      </c>
      <c r="J660" s="51" t="s">
        <v>24</v>
      </c>
      <c r="K66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1262.31</v>
      </c>
      <c r="L660" s="48">
        <v>46107</v>
      </c>
      <c r="M660" t="s">
        <v>25</v>
      </c>
      <c r="N66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2945.39</v>
      </c>
      <c r="O66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46166</v>
      </c>
      <c r="P660" s="49" t="s">
        <v>25</v>
      </c>
      <c r="Q660" s="49" t="s">
        <v>705</v>
      </c>
      <c r="R660" s="48">
        <v>46163</v>
      </c>
      <c r="S660" s="59" t="s">
        <v>27</v>
      </c>
      <c r="U660" s="49" t="s">
        <v>32</v>
      </c>
    </row>
    <row r="661" spans="2:21" s="49" customFormat="1" ht="18.75" hidden="1" customHeight="1">
      <c r="B661" s="56">
        <v>46062</v>
      </c>
      <c r="C661" s="57" t="s">
        <v>1168</v>
      </c>
      <c r="D661" s="48">
        <v>46106</v>
      </c>
      <c r="E661" s="50" t="s">
        <v>1169</v>
      </c>
      <c r="F661" s="48"/>
      <c r="G661" s="48"/>
      <c r="H661" s="49" t="s">
        <v>23</v>
      </c>
      <c r="I661" s="51">
        <v>25936.37</v>
      </c>
      <c r="J661" s="51" t="s">
        <v>24</v>
      </c>
      <c r="K66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7780.9109999999991</v>
      </c>
      <c r="L661" s="48">
        <v>46107</v>
      </c>
      <c r="M661" t="s">
        <v>25</v>
      </c>
      <c r="N66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18155.458999999999</v>
      </c>
      <c r="O66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46166</v>
      </c>
      <c r="P661" s="49" t="s">
        <v>25</v>
      </c>
      <c r="Q661" s="49" t="s">
        <v>1170</v>
      </c>
      <c r="R661" s="48">
        <v>46163</v>
      </c>
      <c r="S661" s="59" t="s">
        <v>27</v>
      </c>
      <c r="U661" s="49" t="s">
        <v>32</v>
      </c>
    </row>
    <row r="662" spans="2:21" s="49" customFormat="1" ht="18.75" hidden="1" customHeight="1">
      <c r="B662" s="56">
        <v>46062</v>
      </c>
      <c r="C662" s="57" t="s">
        <v>1171</v>
      </c>
      <c r="D662" s="48">
        <v>46122</v>
      </c>
      <c r="E662" s="50" t="s">
        <v>1172</v>
      </c>
      <c r="F662" s="48"/>
      <c r="G662" s="48"/>
      <c r="H662" s="49" t="s">
        <v>23</v>
      </c>
      <c r="I662" s="66">
        <v>4389.6400000000003</v>
      </c>
      <c r="J662" s="66" t="s">
        <v>24</v>
      </c>
      <c r="K662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1316.8920000000001</v>
      </c>
      <c r="L662" s="52">
        <v>46121</v>
      </c>
      <c r="M662" s="49" t="s">
        <v>25</v>
      </c>
      <c r="N662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3072.748</v>
      </c>
      <c r="O662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46182</v>
      </c>
      <c r="P662" s="49" t="s">
        <v>25</v>
      </c>
      <c r="Q662" s="49" t="s">
        <v>1173</v>
      </c>
      <c r="R662" s="48">
        <v>46178</v>
      </c>
      <c r="S662" s="59" t="s">
        <v>27</v>
      </c>
      <c r="U662" s="49" t="s">
        <v>32</v>
      </c>
    </row>
    <row r="663" spans="2:21" s="49" customFormat="1" ht="18.75" hidden="1" customHeight="1">
      <c r="B663" s="56">
        <v>46063</v>
      </c>
      <c r="C663" s="57" t="s">
        <v>1174</v>
      </c>
      <c r="D663" s="48">
        <v>46101</v>
      </c>
      <c r="E663" s="50" t="s">
        <v>1175</v>
      </c>
      <c r="F663" s="48"/>
      <c r="G663" s="48"/>
      <c r="H663" s="49" t="s">
        <v>23</v>
      </c>
      <c r="I663" s="51">
        <v>4640.84</v>
      </c>
      <c r="J663" s="51" t="s">
        <v>24</v>
      </c>
      <c r="K66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1392.252</v>
      </c>
      <c r="L663" s="48">
        <v>46100</v>
      </c>
      <c r="M663" s="49" t="s">
        <v>25</v>
      </c>
      <c r="N66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3248.5879999999997</v>
      </c>
      <c r="O66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46161</v>
      </c>
      <c r="P663" s="49" t="s">
        <v>25</v>
      </c>
      <c r="Q663" s="49" t="s">
        <v>344</v>
      </c>
      <c r="R663" s="48">
        <v>46156</v>
      </c>
      <c r="S663" s="59" t="s">
        <v>27</v>
      </c>
      <c r="U663" s="49" t="s">
        <v>32</v>
      </c>
    </row>
    <row r="664" spans="2:21" s="49" customFormat="1" ht="18.75" hidden="1" customHeight="1">
      <c r="B664" s="56">
        <v>46072</v>
      </c>
      <c r="C664" s="57" t="s">
        <v>1176</v>
      </c>
      <c r="D664" s="48">
        <v>46106</v>
      </c>
      <c r="E664" s="50" t="s">
        <v>1177</v>
      </c>
      <c r="F664" s="48"/>
      <c r="G664" s="48"/>
      <c r="H664" s="49" t="s">
        <v>23</v>
      </c>
      <c r="I664" s="51">
        <v>3862.94</v>
      </c>
      <c r="J664" s="51" t="s">
        <v>24</v>
      </c>
      <c r="K66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1158.8820000000001</v>
      </c>
      <c r="L664" s="48">
        <v>46107</v>
      </c>
      <c r="M664" t="s">
        <v>25</v>
      </c>
      <c r="N66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2704.058</v>
      </c>
      <c r="O66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46166</v>
      </c>
      <c r="P664" s="49" t="s">
        <v>25</v>
      </c>
      <c r="Q664" s="49" t="s">
        <v>112</v>
      </c>
      <c r="R664" s="48">
        <v>46163</v>
      </c>
      <c r="S664" s="59" t="s">
        <v>27</v>
      </c>
      <c r="U664" s="49" t="s">
        <v>32</v>
      </c>
    </row>
    <row r="665" spans="2:21" s="49" customFormat="1" ht="18.75" hidden="1" customHeight="1">
      <c r="B665" s="56">
        <v>46072</v>
      </c>
      <c r="C665" s="57" t="s">
        <v>1178</v>
      </c>
      <c r="D665" s="48">
        <v>46106</v>
      </c>
      <c r="E665" s="50" t="s">
        <v>1179</v>
      </c>
      <c r="F665" s="48"/>
      <c r="G665" s="48"/>
      <c r="H665" s="49" t="s">
        <v>23</v>
      </c>
      <c r="I665" s="51">
        <v>985.65</v>
      </c>
      <c r="J665" s="51" t="s">
        <v>24</v>
      </c>
      <c r="K66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295.69499999999999</v>
      </c>
      <c r="L665" s="48">
        <v>46107</v>
      </c>
      <c r="M665" t="s">
        <v>25</v>
      </c>
      <c r="N66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689.95499999999993</v>
      </c>
      <c r="O66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46166</v>
      </c>
      <c r="P665" s="49" t="s">
        <v>25</v>
      </c>
      <c r="Q665" s="49" t="s">
        <v>332</v>
      </c>
      <c r="R665" s="48">
        <v>46163</v>
      </c>
      <c r="S665" s="59" t="s">
        <v>27</v>
      </c>
      <c r="U665" s="49" t="s">
        <v>32</v>
      </c>
    </row>
    <row r="666" spans="2:21" s="49" customFormat="1" ht="18.75" hidden="1" customHeight="1">
      <c r="B666" s="56">
        <v>46076</v>
      </c>
      <c r="C666" s="57" t="s">
        <v>1180</v>
      </c>
      <c r="D666" s="48">
        <v>46106</v>
      </c>
      <c r="E666" s="50" t="s">
        <v>1181</v>
      </c>
      <c r="F666" s="48"/>
      <c r="G666" s="48"/>
      <c r="H666" s="49" t="s">
        <v>23</v>
      </c>
      <c r="I666" s="51">
        <v>5127.87</v>
      </c>
      <c r="J666" s="51" t="s">
        <v>24</v>
      </c>
      <c r="K66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1538.3609999999999</v>
      </c>
      <c r="L666" s="48">
        <v>46107</v>
      </c>
      <c r="M666" t="s">
        <v>25</v>
      </c>
      <c r="N66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3589.5089999999996</v>
      </c>
      <c r="O66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46166</v>
      </c>
      <c r="P666" s="49" t="s">
        <v>25</v>
      </c>
      <c r="Q666" s="49" t="s">
        <v>1114</v>
      </c>
      <c r="R666" s="48">
        <v>46163</v>
      </c>
      <c r="S666" s="59" t="s">
        <v>27</v>
      </c>
      <c r="U666" s="49" t="s">
        <v>32</v>
      </c>
    </row>
    <row r="667" spans="2:21" s="49" customFormat="1" ht="18.75" hidden="1" customHeight="1">
      <c r="B667" s="56">
        <v>46091</v>
      </c>
      <c r="C667" s="57" t="s">
        <v>1182</v>
      </c>
      <c r="D667" s="48">
        <v>46122</v>
      </c>
      <c r="E667" s="50" t="s">
        <v>1183</v>
      </c>
      <c r="F667" s="48"/>
      <c r="G667" s="48"/>
      <c r="H667" s="49" t="s">
        <v>23</v>
      </c>
      <c r="I667" s="51">
        <v>19248.650000000001</v>
      </c>
      <c r="J667" s="51" t="s">
        <v>24</v>
      </c>
      <c r="K667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5774.5950000000003</v>
      </c>
      <c r="L667" s="52">
        <v>46121</v>
      </c>
      <c r="M667" s="49" t="s">
        <v>25</v>
      </c>
      <c r="N667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13474.055</v>
      </c>
      <c r="O667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46182</v>
      </c>
      <c r="P667" s="49" t="s">
        <v>25</v>
      </c>
      <c r="Q667" s="49" t="s">
        <v>261</v>
      </c>
      <c r="R667" s="48">
        <v>46178</v>
      </c>
      <c r="S667" s="59" t="s">
        <v>27</v>
      </c>
      <c r="U667" s="49" t="s">
        <v>32</v>
      </c>
    </row>
    <row r="668" spans="2:21" s="63" customFormat="1" ht="18.75" hidden="1" customHeight="1">
      <c r="B668" s="56">
        <v>46092</v>
      </c>
      <c r="C668" s="57" t="s">
        <v>1184</v>
      </c>
      <c r="D668" s="48">
        <v>46122</v>
      </c>
      <c r="E668" s="50" t="s">
        <v>1185</v>
      </c>
      <c r="F668" s="48"/>
      <c r="G668" s="48"/>
      <c r="H668" s="49" t="s">
        <v>23</v>
      </c>
      <c r="I668" s="51">
        <v>5982.23</v>
      </c>
      <c r="J668" s="51" t="s">
        <v>24</v>
      </c>
      <c r="K668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1794.6689999999999</v>
      </c>
      <c r="L668" s="52">
        <v>46121</v>
      </c>
      <c r="M668" s="49" t="s">
        <v>25</v>
      </c>
      <c r="N668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4187.5609999999997</v>
      </c>
      <c r="O668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46182</v>
      </c>
      <c r="P668" s="49" t="s">
        <v>25</v>
      </c>
      <c r="Q668" s="49" t="s">
        <v>1186</v>
      </c>
      <c r="R668" s="48">
        <v>46178</v>
      </c>
      <c r="S668" s="59" t="s">
        <v>27</v>
      </c>
      <c r="T668" s="49"/>
      <c r="U668" s="49" t="s">
        <v>32</v>
      </c>
    </row>
    <row r="669" spans="2:21" s="49" customFormat="1" ht="18.75" hidden="1" customHeight="1">
      <c r="B669" s="56">
        <v>46092</v>
      </c>
      <c r="C669" s="57" t="s">
        <v>1187</v>
      </c>
      <c r="D669" s="48">
        <v>46122</v>
      </c>
      <c r="E669" s="50" t="s">
        <v>1188</v>
      </c>
      <c r="F669" s="48"/>
      <c r="G669" s="48"/>
      <c r="H669" s="49" t="s">
        <v>23</v>
      </c>
      <c r="I669" s="51">
        <v>5953.93</v>
      </c>
      <c r="J669" s="51" t="s">
        <v>24</v>
      </c>
      <c r="K669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1786.1790000000001</v>
      </c>
      <c r="L669" s="52">
        <v>46121</v>
      </c>
      <c r="M669" s="49" t="s">
        <v>25</v>
      </c>
      <c r="N669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4167.7510000000002</v>
      </c>
      <c r="O669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46182</v>
      </c>
      <c r="P669" s="49" t="s">
        <v>25</v>
      </c>
      <c r="Q669" s="49" t="s">
        <v>1189</v>
      </c>
      <c r="R669" s="48">
        <v>46178</v>
      </c>
      <c r="S669" s="59" t="s">
        <v>27</v>
      </c>
      <c r="U669" s="49" t="s">
        <v>32</v>
      </c>
    </row>
    <row r="670" spans="2:21" s="49" customFormat="1" ht="18.75" hidden="1" customHeight="1">
      <c r="B670" s="56">
        <v>46093</v>
      </c>
      <c r="C670" s="57" t="s">
        <v>1190</v>
      </c>
      <c r="D670" s="48">
        <v>46104</v>
      </c>
      <c r="E670" s="50" t="s">
        <v>1191</v>
      </c>
      <c r="F670" s="48"/>
      <c r="G670" s="48"/>
      <c r="H670" s="49" t="s">
        <v>23</v>
      </c>
      <c r="I670" s="51">
        <v>137.19999999999999</v>
      </c>
      <c r="J670" s="51" t="s">
        <v>55</v>
      </c>
      <c r="K670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70" s="52"/>
      <c r="M670" s="58"/>
      <c r="N670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137.19999999999999</v>
      </c>
      <c r="O670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670" s="49" t="s">
        <v>25</v>
      </c>
      <c r="Q670" s="49" t="s">
        <v>486</v>
      </c>
      <c r="R670" s="48">
        <v>46100</v>
      </c>
      <c r="S670" s="59" t="s">
        <v>45</v>
      </c>
      <c r="U670" s="49" t="s">
        <v>32</v>
      </c>
    </row>
    <row r="671" spans="2:21" s="49" customFormat="1" ht="18.75" hidden="1" customHeight="1">
      <c r="B671" s="56">
        <v>46111</v>
      </c>
      <c r="C671" s="57" t="s">
        <v>1192</v>
      </c>
      <c r="D671" s="48">
        <v>46127</v>
      </c>
      <c r="E671" s="50" t="s">
        <v>1193</v>
      </c>
      <c r="F671" s="48"/>
      <c r="G671" s="48"/>
      <c r="H671" s="49" t="s">
        <v>23</v>
      </c>
      <c r="I671" s="51">
        <v>4063.69</v>
      </c>
      <c r="J671" s="51" t="s">
        <v>24</v>
      </c>
      <c r="K671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1219.107</v>
      </c>
      <c r="L671" s="52">
        <v>46128</v>
      </c>
      <c r="M671" s="58" t="s">
        <v>25</v>
      </c>
      <c r="N671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2844.5830000000001</v>
      </c>
      <c r="O671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46187</v>
      </c>
      <c r="P671" s="49" t="s">
        <v>25</v>
      </c>
      <c r="Q671" s="49" t="s">
        <v>34</v>
      </c>
      <c r="R671" s="48">
        <v>46184</v>
      </c>
      <c r="S671" s="59" t="s">
        <v>27</v>
      </c>
      <c r="U671" s="49" t="s">
        <v>32</v>
      </c>
    </row>
    <row r="672" spans="2:21" s="49" customFormat="1" ht="18.75" hidden="1" customHeight="1">
      <c r="B672" s="56">
        <v>46111</v>
      </c>
      <c r="C672" s="57" t="s">
        <v>1194</v>
      </c>
      <c r="D672" s="48">
        <v>46137</v>
      </c>
      <c r="E672" s="50" t="s">
        <v>1195</v>
      </c>
      <c r="F672" s="48"/>
      <c r="G672" s="48"/>
      <c r="H672" s="49" t="s">
        <v>23</v>
      </c>
      <c r="I672" s="51">
        <v>2388.34</v>
      </c>
      <c r="J672" s="51" t="s">
        <v>24</v>
      </c>
      <c r="K672" s="11">
        <v>716.51</v>
      </c>
      <c r="L672" s="52">
        <v>46128</v>
      </c>
      <c r="M672" s="58" t="s">
        <v>25</v>
      </c>
      <c r="N672" s="10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1671.838</v>
      </c>
      <c r="O67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46197</v>
      </c>
      <c r="P672" s="49" t="s">
        <v>25</v>
      </c>
      <c r="Q672" s="49" t="s">
        <v>220</v>
      </c>
      <c r="R672" s="48">
        <v>46191</v>
      </c>
      <c r="S672" s="59" t="s">
        <v>27</v>
      </c>
      <c r="T672" s="49" t="s">
        <v>1196</v>
      </c>
      <c r="U672" s="49" t="s">
        <v>32</v>
      </c>
    </row>
    <row r="673" spans="2:21" s="49" customFormat="1" ht="18.75" hidden="1" customHeight="1">
      <c r="B673" s="56">
        <v>46111</v>
      </c>
      <c r="C673" s="57" t="s">
        <v>1197</v>
      </c>
      <c r="D673" s="48">
        <v>46137</v>
      </c>
      <c r="E673" s="50" t="s">
        <v>1198</v>
      </c>
      <c r="F673" s="48"/>
      <c r="G673" s="48"/>
      <c r="H673" s="49" t="s">
        <v>23</v>
      </c>
      <c r="I673" s="51">
        <v>1702.88</v>
      </c>
      <c r="J673" s="51" t="s">
        <v>24</v>
      </c>
      <c r="K67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510.86400000000003</v>
      </c>
      <c r="L673" s="52">
        <v>46128</v>
      </c>
      <c r="M673" s="58" t="s">
        <v>25</v>
      </c>
      <c r="N673" s="10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1192.0160000000001</v>
      </c>
      <c r="O67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46197</v>
      </c>
      <c r="P673" s="49" t="s">
        <v>25</v>
      </c>
      <c r="Q673" s="49" t="s">
        <v>212</v>
      </c>
      <c r="R673" s="48">
        <v>46191</v>
      </c>
      <c r="S673" s="59" t="s">
        <v>27</v>
      </c>
      <c r="U673" s="49" t="s">
        <v>32</v>
      </c>
    </row>
    <row r="674" spans="2:21" s="49" customFormat="1" ht="18.75" customHeight="1">
      <c r="B674" s="56"/>
      <c r="C674" s="57"/>
      <c r="D674" s="48">
        <v>46128</v>
      </c>
      <c r="E674" s="50" t="s">
        <v>1199</v>
      </c>
      <c r="F674" s="48"/>
      <c r="G674" s="48"/>
      <c r="H674" s="49" t="s">
        <v>196</v>
      </c>
      <c r="I674" s="51">
        <v>176</v>
      </c>
      <c r="J674" s="51" t="s">
        <v>55</v>
      </c>
      <c r="K67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74" s="52"/>
      <c r="M674" s="58"/>
      <c r="N67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176</v>
      </c>
      <c r="O674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674" s="49" t="s">
        <v>25</v>
      </c>
      <c r="Q674" s="49" t="s">
        <v>996</v>
      </c>
      <c r="R674" s="48">
        <v>46134</v>
      </c>
      <c r="S674" s="59" t="s">
        <v>45</v>
      </c>
      <c r="U674" s="49" t="s">
        <v>32</v>
      </c>
    </row>
    <row r="675" spans="2:21" s="151" customFormat="1" ht="18.75" hidden="1" customHeight="1">
      <c r="B675" s="56"/>
      <c r="C675" s="57"/>
      <c r="D675" s="48">
        <v>46077</v>
      </c>
      <c r="E675" s="50" t="s">
        <v>1200</v>
      </c>
      <c r="F675" s="48"/>
      <c r="G675" s="48"/>
      <c r="H675" s="49" t="s">
        <v>634</v>
      </c>
      <c r="I675" s="51">
        <v>598.29999999999995</v>
      </c>
      <c r="J675" s="2" t="s">
        <v>43</v>
      </c>
      <c r="K67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75" s="3"/>
      <c r="M675" s="11"/>
      <c r="N67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598.29999999999995</v>
      </c>
      <c r="O67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46077</v>
      </c>
      <c r="P675" t="s">
        <v>25</v>
      </c>
      <c r="Q675" s="49"/>
      <c r="R675" s="48">
        <v>46086</v>
      </c>
      <c r="S675" s="59" t="s">
        <v>27</v>
      </c>
      <c r="T675" s="49"/>
      <c r="U675"/>
    </row>
    <row r="676" spans="2:21" s="49" customFormat="1" ht="18.75" hidden="1" customHeight="1">
      <c r="B676" s="56"/>
      <c r="C676" s="57"/>
      <c r="D676" s="48">
        <v>46209</v>
      </c>
      <c r="E676" s="50" t="s">
        <v>1201</v>
      </c>
      <c r="F676" s="48"/>
      <c r="G676" s="48"/>
      <c r="H676" s="49" t="s">
        <v>1046</v>
      </c>
      <c r="I676" s="51">
        <v>120</v>
      </c>
      <c r="J676" s="51" t="s">
        <v>43</v>
      </c>
      <c r="K676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76" s="52"/>
      <c r="M676" s="58"/>
      <c r="N676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676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46209</v>
      </c>
      <c r="P676" s="49" t="s">
        <v>25</v>
      </c>
      <c r="Q676" s="49" t="s">
        <v>1116</v>
      </c>
      <c r="R676" s="48">
        <v>46212</v>
      </c>
      <c r="S676" s="59" t="s">
        <v>45</v>
      </c>
    </row>
    <row r="677" spans="2:21" s="151" customFormat="1" ht="18.75" hidden="1" customHeight="1">
      <c r="B677" s="44"/>
      <c r="C677" s="7"/>
      <c r="D677" s="1">
        <v>46083</v>
      </c>
      <c r="E677" s="29" t="s">
        <v>1202</v>
      </c>
      <c r="F677" s="1"/>
      <c r="G677" s="1"/>
      <c r="H677" t="s">
        <v>551</v>
      </c>
      <c r="I677" s="2">
        <v>9</v>
      </c>
      <c r="J677" s="2" t="s">
        <v>43</v>
      </c>
      <c r="K67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77" s="3"/>
      <c r="M677" s="11"/>
      <c r="N67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</v>
      </c>
      <c r="O67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46083</v>
      </c>
      <c r="P677" t="s">
        <v>25</v>
      </c>
      <c r="Q677"/>
      <c r="R677" s="1">
        <v>46086</v>
      </c>
      <c r="S677" s="24" t="s">
        <v>27</v>
      </c>
      <c r="T677"/>
      <c r="U677" s="49"/>
    </row>
    <row r="678" spans="2:21" s="49" customFormat="1" ht="18.75" hidden="1" customHeight="1">
      <c r="B678" s="56"/>
      <c r="C678" s="57"/>
      <c r="D678" s="48">
        <v>46080</v>
      </c>
      <c r="E678" s="50">
        <v>6002000862</v>
      </c>
      <c r="F678" s="48"/>
      <c r="G678" s="48"/>
      <c r="H678" s="49" t="s">
        <v>557</v>
      </c>
      <c r="I678" s="51">
        <v>2</v>
      </c>
      <c r="J678" s="51" t="s">
        <v>43</v>
      </c>
      <c r="K67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78" s="52"/>
      <c r="M678" s="58"/>
      <c r="N67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</v>
      </c>
      <c r="O67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46080</v>
      </c>
      <c r="P678" s="49" t="s">
        <v>25</v>
      </c>
      <c r="Q678" s="49" t="s">
        <v>1203</v>
      </c>
      <c r="R678" s="48">
        <v>46086</v>
      </c>
      <c r="S678" s="59" t="s">
        <v>27</v>
      </c>
      <c r="T678" s="49" t="s">
        <v>1204</v>
      </c>
    </row>
    <row r="679" spans="2:21" s="151" customFormat="1" ht="18.75" hidden="1" customHeight="1">
      <c r="B679" s="56">
        <v>46185</v>
      </c>
      <c r="C679" s="57" t="s">
        <v>1205</v>
      </c>
      <c r="D679" s="76">
        <v>46191</v>
      </c>
      <c r="E679" s="50" t="s">
        <v>1206</v>
      </c>
      <c r="F679" s="48"/>
      <c r="G679" s="48"/>
      <c r="H679" s="49" t="s">
        <v>69</v>
      </c>
      <c r="I679" s="51">
        <v>34751.1</v>
      </c>
      <c r="J679" s="51" t="s">
        <v>55</v>
      </c>
      <c r="K679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79" s="52"/>
      <c r="M679" s="58"/>
      <c r="N679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34751.1</v>
      </c>
      <c r="O679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679" s="49" t="s">
        <v>25</v>
      </c>
      <c r="Q679" s="49" t="s">
        <v>1207</v>
      </c>
      <c r="R679" s="48">
        <v>46191</v>
      </c>
      <c r="S679" s="59" t="s">
        <v>45</v>
      </c>
      <c r="T679" s="49"/>
      <c r="U679" s="49"/>
    </row>
    <row r="680" spans="2:21" s="49" customFormat="1" ht="18.75" hidden="1" customHeight="1">
      <c r="B680" s="56"/>
      <c r="C680" s="57"/>
      <c r="D680" s="48">
        <v>46084</v>
      </c>
      <c r="E680" s="50" t="s">
        <v>1208</v>
      </c>
      <c r="F680" s="48"/>
      <c r="G680" s="48"/>
      <c r="H680" s="49" t="s">
        <v>42</v>
      </c>
      <c r="I680" s="51">
        <v>5409.84</v>
      </c>
      <c r="J680" s="51" t="s">
        <v>43</v>
      </c>
      <c r="K68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80" s="52"/>
      <c r="M680" s="58"/>
      <c r="N68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5409.84</v>
      </c>
      <c r="O68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46084</v>
      </c>
      <c r="P680" s="49" t="s">
        <v>25</v>
      </c>
      <c r="Q680" s="49" t="s">
        <v>1209</v>
      </c>
      <c r="R680" s="48">
        <v>46086</v>
      </c>
      <c r="S680" s="59" t="s">
        <v>45</v>
      </c>
    </row>
    <row r="681" spans="2:21" s="49" customFormat="1" ht="18.75" hidden="1" customHeight="1">
      <c r="B681" s="56"/>
      <c r="C681" s="57"/>
      <c r="D681" s="48">
        <v>46085</v>
      </c>
      <c r="E681" s="50" t="s">
        <v>1210</v>
      </c>
      <c r="F681" s="48"/>
      <c r="G681" s="48"/>
      <c r="H681" s="49" t="s">
        <v>808</v>
      </c>
      <c r="I681" s="51">
        <v>246</v>
      </c>
      <c r="J681" s="51" t="s">
        <v>43</v>
      </c>
      <c r="K68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81" s="52"/>
      <c r="M681" s="58"/>
      <c r="N68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246</v>
      </c>
      <c r="O68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46085</v>
      </c>
      <c r="P681" t="s">
        <v>25</v>
      </c>
      <c r="R681" s="48">
        <v>46086</v>
      </c>
      <c r="S681" s="59" t="s">
        <v>27</v>
      </c>
    </row>
    <row r="682" spans="2:21" s="49" customFormat="1" ht="18.75" hidden="1" customHeight="1">
      <c r="B682" s="56">
        <v>46185</v>
      </c>
      <c r="C682" s="57" t="s">
        <v>1205</v>
      </c>
      <c r="D682" s="48">
        <v>46191</v>
      </c>
      <c r="E682" s="50" t="s">
        <v>1211</v>
      </c>
      <c r="F682" s="48"/>
      <c r="G682" s="48"/>
      <c r="H682" s="49" t="s">
        <v>69</v>
      </c>
      <c r="I682" s="51">
        <v>5252.52</v>
      </c>
      <c r="J682" s="51" t="s">
        <v>55</v>
      </c>
      <c r="K68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82" s="52"/>
      <c r="M682" s="58"/>
      <c r="N682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5252.52</v>
      </c>
      <c r="O682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682" s="49" t="s">
        <v>25</v>
      </c>
      <c r="Q682" s="49" t="s">
        <v>1207</v>
      </c>
      <c r="R682" s="48">
        <v>46191</v>
      </c>
      <c r="S682" s="59" t="s">
        <v>45</v>
      </c>
    </row>
    <row r="683" spans="2:21" s="151" customFormat="1" ht="18.75" hidden="1" customHeight="1">
      <c r="B683" s="108"/>
      <c r="C683" s="18"/>
      <c r="D683" s="14"/>
      <c r="E683" s="32"/>
      <c r="F683" s="14"/>
      <c r="G683" s="14"/>
      <c r="H683" s="15" t="s">
        <v>155</v>
      </c>
      <c r="I683" s="16">
        <v>2000</v>
      </c>
      <c r="J683" s="16" t="s">
        <v>55</v>
      </c>
      <c r="K68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83" s="17"/>
      <c r="M683" s="16"/>
      <c r="N68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2000</v>
      </c>
      <c r="O683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683" s="15" t="s">
        <v>25</v>
      </c>
      <c r="Q683" s="15" t="s">
        <v>1212</v>
      </c>
      <c r="R683" s="14">
        <v>46086</v>
      </c>
      <c r="S683" s="46" t="s">
        <v>27</v>
      </c>
      <c r="T683" s="15" t="s">
        <v>1055</v>
      </c>
      <c r="U683" s="109"/>
    </row>
    <row r="684" spans="2:21" s="151" customFormat="1" ht="18.75" hidden="1" customHeight="1">
      <c r="B684" s="110"/>
      <c r="C684" s="111"/>
      <c r="D684" s="112">
        <v>46083</v>
      </c>
      <c r="E684" s="215" t="s">
        <v>1213</v>
      </c>
      <c r="F684" s="112"/>
      <c r="G684" s="112"/>
      <c r="H684" s="49" t="s">
        <v>162</v>
      </c>
      <c r="I684" s="114">
        <v>1300</v>
      </c>
      <c r="J684" s="114" t="s">
        <v>55</v>
      </c>
      <c r="K684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84" s="92"/>
      <c r="M684" s="114"/>
      <c r="N684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1300</v>
      </c>
      <c r="O684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684" s="109" t="s">
        <v>25</v>
      </c>
      <c r="Q684" s="109" t="s">
        <v>1214</v>
      </c>
      <c r="R684" s="112">
        <v>46086</v>
      </c>
      <c r="S684" s="115" t="s">
        <v>27</v>
      </c>
      <c r="T684" s="109"/>
      <c r="U684" s="109"/>
    </row>
    <row r="685" spans="2:21" s="49" customFormat="1" ht="18.75" hidden="1" customHeight="1">
      <c r="B685" s="56"/>
      <c r="C685" s="57"/>
      <c r="D685" s="48">
        <v>46087</v>
      </c>
      <c r="E685" s="50" t="s">
        <v>1215</v>
      </c>
      <c r="F685" s="48"/>
      <c r="G685" s="48"/>
      <c r="H685" s="49" t="s">
        <v>1216</v>
      </c>
      <c r="I685" s="51">
        <v>3000</v>
      </c>
      <c r="J685" s="51" t="s">
        <v>55</v>
      </c>
      <c r="K68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85" s="52"/>
      <c r="M685" s="58"/>
      <c r="N68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3000</v>
      </c>
      <c r="O685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685" s="49" t="s">
        <v>25</v>
      </c>
      <c r="Q685" s="49" t="s">
        <v>1217</v>
      </c>
      <c r="R685" s="48">
        <v>46086</v>
      </c>
      <c r="S685" s="59" t="s">
        <v>27</v>
      </c>
    </row>
    <row r="686" spans="2:21" s="49" customFormat="1" ht="18.75" hidden="1" customHeight="1">
      <c r="B686" s="56"/>
      <c r="C686" s="57"/>
      <c r="D686" s="48">
        <v>46076</v>
      </c>
      <c r="E686" s="50" t="s">
        <v>1218</v>
      </c>
      <c r="F686" s="48"/>
      <c r="G686" s="48"/>
      <c r="H686" s="49" t="s">
        <v>364</v>
      </c>
      <c r="I686" s="51">
        <v>6800</v>
      </c>
      <c r="J686" s="51" t="s">
        <v>43</v>
      </c>
      <c r="K68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86" s="52"/>
      <c r="M686" s="58"/>
      <c r="N68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6800</v>
      </c>
      <c r="O68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46076</v>
      </c>
      <c r="P686" t="s">
        <v>25</v>
      </c>
      <c r="R686" s="48">
        <v>46086</v>
      </c>
      <c r="S686" s="59" t="s">
        <v>27</v>
      </c>
    </row>
    <row r="687" spans="2:21" s="49" customFormat="1" ht="18.75" hidden="1" customHeight="1">
      <c r="B687" s="44"/>
      <c r="C687" s="7"/>
      <c r="D687" s="1">
        <v>46085</v>
      </c>
      <c r="E687" s="29" t="s">
        <v>1215</v>
      </c>
      <c r="F687" s="1"/>
      <c r="G687" s="1"/>
      <c r="H687" t="s">
        <v>148</v>
      </c>
      <c r="I687" s="2">
        <v>3018</v>
      </c>
      <c r="J687" s="2" t="s">
        <v>43</v>
      </c>
      <c r="K68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87" s="3"/>
      <c r="M687" s="11"/>
      <c r="N68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3018</v>
      </c>
      <c r="O68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46085</v>
      </c>
      <c r="P687" t="s">
        <v>25</v>
      </c>
      <c r="Q687" t="s">
        <v>1219</v>
      </c>
      <c r="R687" s="1">
        <v>46086</v>
      </c>
      <c r="S687" s="24" t="s">
        <v>27</v>
      </c>
      <c r="T687" t="s">
        <v>1220</v>
      </c>
    </row>
    <row r="688" spans="2:21" s="49" customFormat="1" ht="18.75" hidden="1" customHeight="1">
      <c r="B688" s="56"/>
      <c r="C688" s="57"/>
      <c r="D688" s="48">
        <v>46085</v>
      </c>
      <c r="E688" s="50" t="s">
        <v>1221</v>
      </c>
      <c r="F688" s="48"/>
      <c r="G688" s="48"/>
      <c r="H688" s="49" t="s">
        <v>849</v>
      </c>
      <c r="I688" s="51">
        <v>3800</v>
      </c>
      <c r="J688" s="51" t="s">
        <v>43</v>
      </c>
      <c r="K68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88" s="52"/>
      <c r="M688" s="58"/>
      <c r="N68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3800</v>
      </c>
      <c r="O68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46085</v>
      </c>
      <c r="P688" s="49" t="s">
        <v>25</v>
      </c>
      <c r="R688" s="48">
        <v>46085</v>
      </c>
      <c r="S688" s="59"/>
      <c r="U688" s="49" t="s">
        <v>32</v>
      </c>
    </row>
    <row r="689" spans="2:21" s="49" customFormat="1" ht="18.75" hidden="1" customHeight="1">
      <c r="B689" s="56"/>
      <c r="C689" s="57"/>
      <c r="D689" s="48">
        <v>46084</v>
      </c>
      <c r="E689" s="50" t="s">
        <v>1222</v>
      </c>
      <c r="F689" s="48"/>
      <c r="G689" s="48"/>
      <c r="H689" s="49" t="s">
        <v>859</v>
      </c>
      <c r="I689" s="51">
        <v>132</v>
      </c>
      <c r="J689" s="51" t="s">
        <v>43</v>
      </c>
      <c r="K68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89" s="52"/>
      <c r="M689" s="58"/>
      <c r="N68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132</v>
      </c>
      <c r="O68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46084</v>
      </c>
      <c r="P689" s="49" t="s">
        <v>25</v>
      </c>
      <c r="Q689" s="49" t="s">
        <v>1223</v>
      </c>
      <c r="R689" s="48">
        <v>46084</v>
      </c>
      <c r="S689" s="59"/>
    </row>
    <row r="690" spans="2:21" s="49" customFormat="1" ht="18.75" hidden="1" customHeight="1">
      <c r="B690" s="44"/>
      <c r="C690" s="7"/>
      <c r="D690" s="1">
        <v>46058</v>
      </c>
      <c r="E690" s="29" t="s">
        <v>1224</v>
      </c>
      <c r="F690" s="1"/>
      <c r="G690" s="1"/>
      <c r="H690" t="s">
        <v>634</v>
      </c>
      <c r="I690" s="2">
        <v>598.29999999999995</v>
      </c>
      <c r="J690" s="2" t="s">
        <v>43</v>
      </c>
      <c r="K69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90" s="3"/>
      <c r="M690" s="11"/>
      <c r="N69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598.29999999999995</v>
      </c>
      <c r="O69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46058</v>
      </c>
      <c r="P690" t="s">
        <v>25</v>
      </c>
      <c r="Q690"/>
      <c r="R690" s="1">
        <v>46079</v>
      </c>
      <c r="S690" s="24" t="s">
        <v>27</v>
      </c>
      <c r="T690"/>
      <c r="U690"/>
    </row>
    <row r="691" spans="2:21" s="49" customFormat="1" ht="18.75" hidden="1" customHeight="1">
      <c r="B691" s="56"/>
      <c r="C691" s="57"/>
      <c r="D691" s="48">
        <v>46076</v>
      </c>
      <c r="E691" s="61">
        <v>46076</v>
      </c>
      <c r="F691" s="48"/>
      <c r="G691" s="48"/>
      <c r="H691" s="49" t="s">
        <v>432</v>
      </c>
      <c r="I691" s="51">
        <v>2000</v>
      </c>
      <c r="J691" s="51" t="s">
        <v>43</v>
      </c>
      <c r="K69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91" s="52"/>
      <c r="M691" s="58"/>
      <c r="N69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2000</v>
      </c>
      <c r="O69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46076</v>
      </c>
      <c r="P691" s="49" t="s">
        <v>25</v>
      </c>
      <c r="Q691" s="59" t="s">
        <v>1225</v>
      </c>
      <c r="R691" s="48">
        <v>46079</v>
      </c>
      <c r="S691" s="59" t="s">
        <v>45</v>
      </c>
      <c r="U691"/>
    </row>
    <row r="692" spans="2:21" s="49" customFormat="1" ht="18.75" hidden="1" customHeight="1">
      <c r="B692" s="1"/>
      <c r="C692" s="7"/>
      <c r="D692" s="1">
        <v>46062</v>
      </c>
      <c r="E692" s="29" t="s">
        <v>1226</v>
      </c>
      <c r="F692" s="1"/>
      <c r="G692" s="1"/>
      <c r="H692" t="s">
        <v>569</v>
      </c>
      <c r="I692" s="2">
        <v>2177.14</v>
      </c>
      <c r="J692" s="2" t="s">
        <v>43</v>
      </c>
      <c r="K69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92" s="3"/>
      <c r="M692"/>
      <c r="N69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2177.14</v>
      </c>
      <c r="O69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46062</v>
      </c>
      <c r="P692" t="s">
        <v>25</v>
      </c>
      <c r="Q692" t="s">
        <v>1227</v>
      </c>
      <c r="R692" s="1">
        <v>46079</v>
      </c>
      <c r="S692" s="24" t="s">
        <v>27</v>
      </c>
      <c r="T692"/>
      <c r="U692"/>
    </row>
    <row r="693" spans="2:21" s="49" customFormat="1" ht="18.75" hidden="1" customHeight="1">
      <c r="B693" s="1"/>
      <c r="C693" s="7"/>
      <c r="D693" s="1">
        <v>46056</v>
      </c>
      <c r="E693" s="31" t="s">
        <v>1228</v>
      </c>
      <c r="F693" s="1"/>
      <c r="G693" s="1"/>
      <c r="H693" t="s">
        <v>1229</v>
      </c>
      <c r="I693" s="2">
        <v>2000</v>
      </c>
      <c r="J693" s="2" t="s">
        <v>43</v>
      </c>
      <c r="K69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93" s="3"/>
      <c r="M693" s="11"/>
      <c r="N69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2000</v>
      </c>
      <c r="O69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46056</v>
      </c>
      <c r="P693" t="s">
        <v>25</v>
      </c>
      <c r="Q693" t="s">
        <v>1230</v>
      </c>
      <c r="R693" s="1">
        <v>46079</v>
      </c>
      <c r="S693" t="s">
        <v>27</v>
      </c>
      <c r="T693" s="24" t="s">
        <v>1231</v>
      </c>
      <c r="U693"/>
    </row>
    <row r="694" spans="2:21" s="49" customFormat="1" ht="18.75" hidden="1" customHeight="1">
      <c r="B694" s="1"/>
      <c r="C694" s="7"/>
      <c r="D694" s="1">
        <v>46006</v>
      </c>
      <c r="E694" s="29" t="s">
        <v>1232</v>
      </c>
      <c r="F694" s="1"/>
      <c r="G694" s="1"/>
      <c r="H694" s="49" t="s">
        <v>69</v>
      </c>
      <c r="I694" s="42">
        <v>0</v>
      </c>
      <c r="J694" s="42" t="s">
        <v>55</v>
      </c>
      <c r="K69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94" s="139"/>
      <c r="M694" s="42"/>
      <c r="N69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0</v>
      </c>
      <c r="O694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694" t="s">
        <v>25</v>
      </c>
      <c r="Q694" s="140" t="s">
        <v>198</v>
      </c>
      <c r="R694" s="1">
        <v>46372</v>
      </c>
      <c r="S694"/>
      <c r="T694"/>
      <c r="U694"/>
    </row>
    <row r="695" spans="2:21" s="49" customFormat="1" ht="18.75" hidden="1" customHeight="1">
      <c r="B695" s="76"/>
      <c r="C695" s="77"/>
      <c r="D695" s="76">
        <v>46050</v>
      </c>
      <c r="E695" s="78" t="s">
        <v>1233</v>
      </c>
      <c r="F695" s="76"/>
      <c r="G695" s="76"/>
      <c r="H695" s="63" t="s">
        <v>329</v>
      </c>
      <c r="I695" s="79">
        <v>988.43</v>
      </c>
      <c r="J695" s="79" t="s">
        <v>330</v>
      </c>
      <c r="K69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95" s="80"/>
      <c r="M695" s="81"/>
      <c r="N69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988.43</v>
      </c>
      <c r="O69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46080</v>
      </c>
      <c r="P695" s="63" t="s">
        <v>25</v>
      </c>
      <c r="Q695" s="63" t="s">
        <v>697</v>
      </c>
      <c r="R695" s="76">
        <v>46079</v>
      </c>
      <c r="S695" s="63" t="s">
        <v>27</v>
      </c>
      <c r="T695" s="63"/>
      <c r="U695" s="63" t="s">
        <v>32</v>
      </c>
    </row>
    <row r="696" spans="2:21" s="49" customFormat="1" ht="18.75" hidden="1" customHeight="1">
      <c r="B696" s="56">
        <v>46111</v>
      </c>
      <c r="C696" s="57" t="s">
        <v>1234</v>
      </c>
      <c r="D696" s="48">
        <v>46157</v>
      </c>
      <c r="E696" s="50" t="s">
        <v>1235</v>
      </c>
      <c r="F696" s="48"/>
      <c r="G696" s="48"/>
      <c r="H696" s="49" t="s">
        <v>23</v>
      </c>
      <c r="I696" s="51">
        <v>402.38</v>
      </c>
      <c r="J696" s="51" t="s">
        <v>55</v>
      </c>
      <c r="K69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96" s="52"/>
      <c r="M696" s="58"/>
      <c r="N69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402.38</v>
      </c>
      <c r="O696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696" s="49" t="s">
        <v>25</v>
      </c>
      <c r="Q696" s="49" t="s">
        <v>241</v>
      </c>
      <c r="R696" s="48">
        <v>46156</v>
      </c>
      <c r="S696" s="59" t="s">
        <v>45</v>
      </c>
      <c r="U696" s="49" t="s">
        <v>32</v>
      </c>
    </row>
    <row r="697" spans="2:21" s="49" customFormat="1" ht="18.75" hidden="1" customHeight="1">
      <c r="B697" s="56"/>
      <c r="C697" s="57"/>
      <c r="D697" s="48">
        <v>46053</v>
      </c>
      <c r="E697" s="50" t="s">
        <v>1236</v>
      </c>
      <c r="F697" s="48"/>
      <c r="G697" s="48"/>
      <c r="H697" s="49" t="s">
        <v>329</v>
      </c>
      <c r="I697" s="51">
        <v>218.2</v>
      </c>
      <c r="J697" s="51" t="s">
        <v>330</v>
      </c>
      <c r="K69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97" s="52"/>
      <c r="M697" s="58"/>
      <c r="N69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218.2</v>
      </c>
      <c r="O69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46083</v>
      </c>
      <c r="P697" s="49" t="s">
        <v>25</v>
      </c>
      <c r="Q697" s="49" t="s">
        <v>765</v>
      </c>
      <c r="R697" s="48">
        <v>46079</v>
      </c>
      <c r="S697" s="59" t="s">
        <v>27</v>
      </c>
      <c r="U697" s="49" t="s">
        <v>32</v>
      </c>
    </row>
    <row r="698" spans="2:21" s="49" customFormat="1" ht="18.75" hidden="1" customHeight="1">
      <c r="B698" s="56"/>
      <c r="C698" s="57"/>
      <c r="D698" s="48">
        <v>46124</v>
      </c>
      <c r="E698" s="50" t="s">
        <v>1237</v>
      </c>
      <c r="F698" s="48"/>
      <c r="G698" s="48"/>
      <c r="H698" s="49" t="s">
        <v>1046</v>
      </c>
      <c r="I698" s="51">
        <v>2055.66</v>
      </c>
      <c r="J698" s="51" t="s">
        <v>43</v>
      </c>
      <c r="K69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98" s="52"/>
      <c r="M698" s="58"/>
      <c r="N69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2055.66</v>
      </c>
      <c r="O69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46124</v>
      </c>
      <c r="P698" s="49" t="s">
        <v>25</v>
      </c>
      <c r="Q698" s="49" t="s">
        <v>1238</v>
      </c>
      <c r="R698" s="48">
        <v>46156</v>
      </c>
      <c r="S698" s="59" t="s">
        <v>45</v>
      </c>
      <c r="U698" s="49" t="s">
        <v>32</v>
      </c>
    </row>
    <row r="699" spans="2:21" s="49" customFormat="1" ht="18.75" hidden="1" customHeight="1">
      <c r="B699" s="44"/>
      <c r="C699" s="7"/>
      <c r="D699" s="1">
        <v>46148</v>
      </c>
      <c r="E699" s="29" t="s">
        <v>1239</v>
      </c>
      <c r="F699" s="1"/>
      <c r="G699" s="1"/>
      <c r="H699" t="s">
        <v>1046</v>
      </c>
      <c r="I699" s="2">
        <v>154.80000000000001</v>
      </c>
      <c r="J699" s="2" t="s">
        <v>43</v>
      </c>
      <c r="K69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699" s="3"/>
      <c r="M699" s="2"/>
      <c r="N69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154.80000000000001</v>
      </c>
      <c r="O69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46148</v>
      </c>
      <c r="P699" s="49" t="s">
        <v>25</v>
      </c>
      <c r="Q699" t="s">
        <v>1240</v>
      </c>
      <c r="R699" s="1">
        <v>46149</v>
      </c>
      <c r="S699" s="24" t="s">
        <v>45</v>
      </c>
      <c r="T699"/>
      <c r="U699" s="49" t="s">
        <v>32</v>
      </c>
    </row>
    <row r="700" spans="2:21" s="49" customFormat="1" ht="18.75" hidden="1" customHeight="1">
      <c r="B700" s="56"/>
      <c r="C700" s="57"/>
      <c r="D700" s="48">
        <v>46136</v>
      </c>
      <c r="E700" s="50" t="s">
        <v>1241</v>
      </c>
      <c r="F700" s="48"/>
      <c r="G700" s="48"/>
      <c r="H700" s="49" t="s">
        <v>69</v>
      </c>
      <c r="I700" s="51">
        <v>16515.75</v>
      </c>
      <c r="J700" s="51" t="s">
        <v>55</v>
      </c>
      <c r="K70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00" s="52"/>
      <c r="M700" s="58"/>
      <c r="N70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16515.75</v>
      </c>
      <c r="O700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700" t="s">
        <v>25</v>
      </c>
      <c r="Q700" s="49" t="s">
        <v>1114</v>
      </c>
      <c r="R700" s="48">
        <v>46142</v>
      </c>
      <c r="S700" s="59" t="s">
        <v>45</v>
      </c>
      <c r="U700" s="49" t="s">
        <v>32</v>
      </c>
    </row>
    <row r="701" spans="2:21" s="49" customFormat="1" ht="18.75" hidden="1" customHeight="1">
      <c r="B701" s="56"/>
      <c r="C701" s="57"/>
      <c r="D701" s="48">
        <v>46077</v>
      </c>
      <c r="E701" s="50" t="s">
        <v>1242</v>
      </c>
      <c r="F701" s="48"/>
      <c r="G701" s="48"/>
      <c r="H701" s="49" t="s">
        <v>42</v>
      </c>
      <c r="I701" s="51">
        <v>3606.56</v>
      </c>
      <c r="J701" s="51" t="s">
        <v>43</v>
      </c>
      <c r="K70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01" s="52"/>
      <c r="M701" s="58"/>
      <c r="N70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3606.56</v>
      </c>
      <c r="O70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46077</v>
      </c>
      <c r="P701" s="49" t="s">
        <v>25</v>
      </c>
      <c r="Q701" s="49" t="s">
        <v>1243</v>
      </c>
      <c r="R701" s="48">
        <v>46079</v>
      </c>
      <c r="S701" s="59" t="s">
        <v>27</v>
      </c>
    </row>
    <row r="702" spans="2:21" s="49" customFormat="1" ht="18.75" hidden="1" customHeight="1">
      <c r="B702" s="56"/>
      <c r="C702" s="57"/>
      <c r="D702" s="48">
        <v>46072</v>
      </c>
      <c r="E702" s="50">
        <v>6002000698</v>
      </c>
      <c r="F702" s="48"/>
      <c r="G702" s="48"/>
      <c r="H702" s="49" t="s">
        <v>557</v>
      </c>
      <c r="I702" s="51">
        <v>5152.33</v>
      </c>
      <c r="J702" s="2" t="s">
        <v>43</v>
      </c>
      <c r="K70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02" s="3"/>
      <c r="M702" s="11"/>
      <c r="N70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5152.33</v>
      </c>
      <c r="O70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46072</v>
      </c>
      <c r="P702" s="49" t="s">
        <v>25</v>
      </c>
      <c r="Q702" s="49" t="s">
        <v>1244</v>
      </c>
      <c r="R702" s="48">
        <v>46079</v>
      </c>
      <c r="S702" s="59" t="s">
        <v>27</v>
      </c>
      <c r="U702"/>
    </row>
    <row r="703" spans="2:21" s="156" customFormat="1" ht="18.75" hidden="1" customHeight="1">
      <c r="B703" s="56"/>
      <c r="C703" s="57"/>
      <c r="D703" s="48">
        <v>46080</v>
      </c>
      <c r="E703" s="50">
        <v>6002000862</v>
      </c>
      <c r="F703" s="48"/>
      <c r="G703" s="48"/>
      <c r="H703" s="49" t="s">
        <v>557</v>
      </c>
      <c r="I703" s="51">
        <v>1500</v>
      </c>
      <c r="J703" s="51" t="s">
        <v>43</v>
      </c>
      <c r="K70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03" s="52"/>
      <c r="M703" s="58"/>
      <c r="N70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1500</v>
      </c>
      <c r="O70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46080</v>
      </c>
      <c r="P703" s="49" t="s">
        <v>25</v>
      </c>
      <c r="Q703" s="49" t="s">
        <v>1203</v>
      </c>
      <c r="R703" s="48">
        <v>46079</v>
      </c>
      <c r="S703" s="59" t="s">
        <v>27</v>
      </c>
      <c r="T703" s="60" t="s">
        <v>1245</v>
      </c>
      <c r="U703" s="49"/>
    </row>
    <row r="704" spans="2:21" s="49" customFormat="1" ht="18.75" hidden="1" customHeight="1">
      <c r="B704" s="56"/>
      <c r="C704" s="57"/>
      <c r="D704" s="48">
        <v>45996</v>
      </c>
      <c r="E704" s="50" t="s">
        <v>1246</v>
      </c>
      <c r="F704" s="48"/>
      <c r="G704" s="48"/>
      <c r="H704" s="49" t="s">
        <v>634</v>
      </c>
      <c r="I704" s="51">
        <v>598.29999999999995</v>
      </c>
      <c r="J704" s="51" t="s">
        <v>43</v>
      </c>
      <c r="K70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04" s="52"/>
      <c r="M704" s="58"/>
      <c r="N70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598.29999999999995</v>
      </c>
      <c r="O70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45996</v>
      </c>
      <c r="P704" s="49" t="s">
        <v>25</v>
      </c>
      <c r="R704" s="48">
        <v>46079</v>
      </c>
      <c r="S704" s="59" t="s">
        <v>27</v>
      </c>
    </row>
    <row r="705" spans="2:21" s="151" customFormat="1" ht="18.75" hidden="1" customHeight="1">
      <c r="B705" s="56"/>
      <c r="C705" s="57"/>
      <c r="D705" s="48">
        <v>46077</v>
      </c>
      <c r="E705" s="50" t="s">
        <v>1247</v>
      </c>
      <c r="F705" s="48"/>
      <c r="G705" s="48"/>
      <c r="H705" s="49" t="s">
        <v>569</v>
      </c>
      <c r="I705" s="51">
        <v>25</v>
      </c>
      <c r="J705" s="2" t="s">
        <v>43</v>
      </c>
      <c r="K70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05" s="3"/>
      <c r="M705" s="11"/>
      <c r="N70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25</v>
      </c>
      <c r="O70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46077</v>
      </c>
      <c r="P705" s="49" t="s">
        <v>25</v>
      </c>
      <c r="Q705" s="49" t="s">
        <v>1227</v>
      </c>
      <c r="R705" s="48">
        <v>46079</v>
      </c>
      <c r="S705" s="59" t="s">
        <v>27</v>
      </c>
      <c r="T705" s="49"/>
      <c r="U705"/>
    </row>
    <row r="706" spans="2:21" s="49" customFormat="1" ht="18.75" hidden="1" customHeight="1">
      <c r="B706" s="56"/>
      <c r="C706" s="57"/>
      <c r="D706" s="48">
        <v>46078</v>
      </c>
      <c r="E706" s="50" t="s">
        <v>1248</v>
      </c>
      <c r="F706" s="48"/>
      <c r="G706" s="48"/>
      <c r="H706" s="49" t="s">
        <v>1067</v>
      </c>
      <c r="I706" s="51">
        <v>51.6</v>
      </c>
      <c r="J706" s="51" t="s">
        <v>43</v>
      </c>
      <c r="K70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06" s="52"/>
      <c r="M706" s="58"/>
      <c r="N70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51.6</v>
      </c>
      <c r="O70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46078</v>
      </c>
      <c r="P706" s="49" t="s">
        <v>25</v>
      </c>
      <c r="Q706" s="49" t="s">
        <v>1249</v>
      </c>
      <c r="R706" s="48">
        <v>46078</v>
      </c>
      <c r="S706" s="59"/>
    </row>
    <row r="707" spans="2:21" s="49" customFormat="1" ht="18.75" hidden="1" customHeight="1">
      <c r="B707" s="1"/>
      <c r="C707" s="7"/>
      <c r="D707" s="1">
        <v>46076</v>
      </c>
      <c r="E707" s="29"/>
      <c r="F707" s="1"/>
      <c r="G707" s="1"/>
      <c r="H707" t="s">
        <v>1250</v>
      </c>
      <c r="I707" s="2">
        <v>492</v>
      </c>
      <c r="J707" s="2" t="s">
        <v>55</v>
      </c>
      <c r="K70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07" s="3"/>
      <c r="M707"/>
      <c r="N70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492</v>
      </c>
      <c r="O707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707" t="s">
        <v>25</v>
      </c>
      <c r="Q707"/>
      <c r="R707" s="1">
        <v>46076</v>
      </c>
      <c r="S707" s="24"/>
      <c r="T707"/>
      <c r="U707"/>
    </row>
    <row r="708" spans="2:21" s="151" customFormat="1" ht="18.75" hidden="1" customHeight="1">
      <c r="B708" s="56"/>
      <c r="C708" s="57"/>
      <c r="D708" s="48">
        <v>46076</v>
      </c>
      <c r="E708" s="50">
        <v>87</v>
      </c>
      <c r="F708" s="48"/>
      <c r="G708" s="48"/>
      <c r="H708" s="49" t="s">
        <v>1251</v>
      </c>
      <c r="I708" s="51">
        <v>9000</v>
      </c>
      <c r="J708" s="51" t="s">
        <v>55</v>
      </c>
      <c r="K708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08" s="52"/>
      <c r="M708" s="58"/>
      <c r="N708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9000</v>
      </c>
      <c r="O708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708" s="49" t="s">
        <v>25</v>
      </c>
      <c r="Q708" s="49"/>
      <c r="R708" s="48">
        <v>46076</v>
      </c>
      <c r="S708" s="59"/>
      <c r="T708" s="49"/>
      <c r="U708" s="49" t="s">
        <v>32</v>
      </c>
    </row>
    <row r="709" spans="2:21" s="49" customFormat="1" ht="18.75" hidden="1" customHeight="1">
      <c r="B709" s="56"/>
      <c r="C709" s="57"/>
      <c r="D709" s="48">
        <v>46077</v>
      </c>
      <c r="E709" s="50" t="s">
        <v>1252</v>
      </c>
      <c r="F709" s="48"/>
      <c r="G709" s="48"/>
      <c r="H709" s="49" t="s">
        <v>849</v>
      </c>
      <c r="I709" s="51">
        <v>17700</v>
      </c>
      <c r="J709" s="51" t="s">
        <v>43</v>
      </c>
      <c r="K70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09" s="52"/>
      <c r="M709" s="58"/>
      <c r="N70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17700</v>
      </c>
      <c r="O70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46077</v>
      </c>
      <c r="P709" s="49" t="s">
        <v>25</v>
      </c>
      <c r="R709" s="48">
        <v>46076</v>
      </c>
      <c r="S709" s="59"/>
      <c r="U709" s="49" t="s">
        <v>32</v>
      </c>
    </row>
    <row r="710" spans="2:21" s="151" customFormat="1" ht="18.75" hidden="1" customHeight="1">
      <c r="B710" s="56"/>
      <c r="C710" s="57"/>
      <c r="D710" s="48">
        <v>46078</v>
      </c>
      <c r="E710" s="50" t="s">
        <v>1253</v>
      </c>
      <c r="F710" s="48"/>
      <c r="G710" s="48"/>
      <c r="H710" s="49" t="s">
        <v>1254</v>
      </c>
      <c r="I710" s="51">
        <v>495.32</v>
      </c>
      <c r="J710" s="51" t="s">
        <v>55</v>
      </c>
      <c r="K71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10" s="52"/>
      <c r="M710" s="58"/>
      <c r="N71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495.32</v>
      </c>
      <c r="O710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710" s="49" t="s">
        <v>25</v>
      </c>
      <c r="Q710" s="49"/>
      <c r="R710" s="48">
        <v>46073</v>
      </c>
      <c r="S710" s="59"/>
      <c r="T710" s="49"/>
      <c r="U710" s="49"/>
    </row>
    <row r="711" spans="2:21" s="49" customFormat="1" ht="18.75" hidden="1" customHeight="1">
      <c r="B711" s="1"/>
      <c r="C711" s="7"/>
      <c r="D711" s="1">
        <v>46058</v>
      </c>
      <c r="E711" s="29">
        <v>46198</v>
      </c>
      <c r="F711" s="1"/>
      <c r="G711" s="1"/>
      <c r="H711" t="s">
        <v>571</v>
      </c>
      <c r="I711" s="2">
        <v>16505.25</v>
      </c>
      <c r="J711" s="2" t="s">
        <v>43</v>
      </c>
      <c r="K71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11" s="3"/>
      <c r="M711"/>
      <c r="N71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16505.25</v>
      </c>
      <c r="O71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46058</v>
      </c>
      <c r="P711" t="s">
        <v>25</v>
      </c>
      <c r="Q711" t="s">
        <v>1255</v>
      </c>
      <c r="R711" s="1">
        <v>46072</v>
      </c>
      <c r="S711" s="24" t="s">
        <v>45</v>
      </c>
      <c r="T711" t="s">
        <v>1256</v>
      </c>
      <c r="U711"/>
    </row>
    <row r="712" spans="2:21" s="49" customFormat="1" ht="18.75" hidden="1" customHeight="1">
      <c r="B712" s="56"/>
      <c r="C712" s="57"/>
      <c r="D712" s="48">
        <v>46139</v>
      </c>
      <c r="E712" s="50" t="s">
        <v>1257</v>
      </c>
      <c r="F712" s="48"/>
      <c r="G712" s="48"/>
      <c r="H712" s="49" t="s">
        <v>69</v>
      </c>
      <c r="I712" s="51">
        <v>92066.82</v>
      </c>
      <c r="J712" s="51" t="s">
        <v>55</v>
      </c>
      <c r="K71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12" s="52"/>
      <c r="M712" s="58"/>
      <c r="N71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92066.82</v>
      </c>
      <c r="O712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712" t="s">
        <v>25</v>
      </c>
      <c r="Q712" s="49" t="s">
        <v>292</v>
      </c>
      <c r="R712" s="48">
        <v>46142</v>
      </c>
      <c r="S712" s="59" t="s">
        <v>45</v>
      </c>
      <c r="U712" s="49" t="s">
        <v>32</v>
      </c>
    </row>
    <row r="713" spans="2:21" s="49" customFormat="1" ht="18.75" hidden="1" customHeight="1">
      <c r="B713" s="56"/>
      <c r="C713" s="57"/>
      <c r="D713" s="48">
        <v>46139</v>
      </c>
      <c r="E713" s="50" t="s">
        <v>1258</v>
      </c>
      <c r="F713" s="48"/>
      <c r="G713" s="48"/>
      <c r="H713" s="49" t="s">
        <v>1046</v>
      </c>
      <c r="I713" s="51">
        <v>120</v>
      </c>
      <c r="J713" s="51" t="s">
        <v>43</v>
      </c>
      <c r="K71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13" s="52"/>
      <c r="M713" s="58"/>
      <c r="N71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71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46139</v>
      </c>
      <c r="P713" t="s">
        <v>25</v>
      </c>
      <c r="Q713" s="49" t="s">
        <v>1259</v>
      </c>
      <c r="R713" s="48">
        <v>46142</v>
      </c>
      <c r="S713" s="59" t="s">
        <v>45</v>
      </c>
      <c r="U713" s="49" t="s">
        <v>32</v>
      </c>
    </row>
    <row r="714" spans="2:21" s="49" customFormat="1" ht="18.75" hidden="1" customHeight="1">
      <c r="B714" s="56"/>
      <c r="C714" s="57"/>
      <c r="D714" s="48">
        <v>46139</v>
      </c>
      <c r="E714" s="50" t="s">
        <v>1260</v>
      </c>
      <c r="F714" s="48"/>
      <c r="G714" s="48"/>
      <c r="H714" s="49" t="s">
        <v>1046</v>
      </c>
      <c r="I714" s="51">
        <v>146.4</v>
      </c>
      <c r="J714" s="51" t="s">
        <v>43</v>
      </c>
      <c r="K71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14" s="52"/>
      <c r="M714" s="58"/>
      <c r="N71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146.4</v>
      </c>
      <c r="O71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46139</v>
      </c>
      <c r="P714" t="s">
        <v>25</v>
      </c>
      <c r="Q714" s="49" t="s">
        <v>1261</v>
      </c>
      <c r="R714" s="48">
        <v>46142</v>
      </c>
      <c r="S714" s="59" t="s">
        <v>45</v>
      </c>
      <c r="U714" s="49" t="s">
        <v>32</v>
      </c>
    </row>
    <row r="715" spans="2:21" s="49" customFormat="1" ht="18.75" hidden="1" customHeight="1">
      <c r="B715" s="56"/>
      <c r="C715" s="57"/>
      <c r="D715" s="48">
        <v>46139</v>
      </c>
      <c r="E715" s="50" t="s">
        <v>1262</v>
      </c>
      <c r="F715" s="48"/>
      <c r="G715" s="48"/>
      <c r="H715" s="49" t="s">
        <v>1046</v>
      </c>
      <c r="I715" s="51">
        <v>120</v>
      </c>
      <c r="J715" s="51" t="s">
        <v>43</v>
      </c>
      <c r="K71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15" s="52"/>
      <c r="M715" s="58"/>
      <c r="N71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71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46139</v>
      </c>
      <c r="P715" t="s">
        <v>25</v>
      </c>
      <c r="Q715" s="49" t="s">
        <v>1263</v>
      </c>
      <c r="R715" s="48">
        <v>46142</v>
      </c>
      <c r="S715" s="59" t="s">
        <v>45</v>
      </c>
      <c r="U715" s="49" t="s">
        <v>32</v>
      </c>
    </row>
    <row r="716" spans="2:21" ht="18.75" hidden="1" customHeight="1">
      <c r="B716" s="48">
        <v>46031</v>
      </c>
      <c r="C716" s="49" t="s">
        <v>1264</v>
      </c>
      <c r="D716" s="48">
        <v>46076</v>
      </c>
      <c r="E716" s="50">
        <v>199</v>
      </c>
      <c r="F716" s="48"/>
      <c r="G716" s="48"/>
      <c r="H716" s="49" t="s">
        <v>301</v>
      </c>
      <c r="I716" s="51">
        <v>80.239999999999995</v>
      </c>
      <c r="J716" s="51" t="s">
        <v>55</v>
      </c>
      <c r="K71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16" s="52"/>
      <c r="M716" s="58"/>
      <c r="N71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80.239999999999995</v>
      </c>
      <c r="O716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716" s="49" t="s">
        <v>25</v>
      </c>
      <c r="Q716" s="49" t="s">
        <v>1265</v>
      </c>
      <c r="R716" s="48">
        <v>46072</v>
      </c>
      <c r="S716" s="49" t="s">
        <v>45</v>
      </c>
      <c r="T716" s="49"/>
      <c r="U716" s="49" t="s">
        <v>32</v>
      </c>
    </row>
    <row r="717" spans="2:21" s="151" customFormat="1" ht="18.75" hidden="1" customHeight="1">
      <c r="B717" s="56">
        <v>46093</v>
      </c>
      <c r="C717" s="57" t="s">
        <v>1266</v>
      </c>
      <c r="D717" s="48">
        <v>46099</v>
      </c>
      <c r="E717" s="50">
        <v>308</v>
      </c>
      <c r="F717" s="48"/>
      <c r="G717" s="48"/>
      <c r="H717" s="49" t="s">
        <v>301</v>
      </c>
      <c r="I717" s="51">
        <v>84.56</v>
      </c>
      <c r="J717" s="51" t="s">
        <v>55</v>
      </c>
      <c r="K71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17" s="52"/>
      <c r="M717" s="58"/>
      <c r="N71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84.56</v>
      </c>
      <c r="O717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717" s="49" t="s">
        <v>25</v>
      </c>
      <c r="Q717" s="49" t="s">
        <v>344</v>
      </c>
      <c r="R717" s="48">
        <v>46100</v>
      </c>
      <c r="S717" s="59" t="s">
        <v>45</v>
      </c>
      <c r="T717" s="49"/>
      <c r="U717" s="49" t="s">
        <v>32</v>
      </c>
    </row>
    <row r="718" spans="2:21" s="49" customFormat="1" ht="18.75" hidden="1" customHeight="1">
      <c r="B718" s="48">
        <v>46062</v>
      </c>
      <c r="C718" s="57" t="s">
        <v>1267</v>
      </c>
      <c r="D718" s="48">
        <v>46122</v>
      </c>
      <c r="E718" s="50">
        <v>406</v>
      </c>
      <c r="F718" s="48"/>
      <c r="G718" s="48"/>
      <c r="H718" s="49" t="s">
        <v>301</v>
      </c>
      <c r="I718" s="51">
        <v>89.6</v>
      </c>
      <c r="J718" s="51" t="s">
        <v>55</v>
      </c>
      <c r="K71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18" s="52"/>
      <c r="N71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89.6</v>
      </c>
      <c r="O718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718" s="49" t="s">
        <v>25</v>
      </c>
      <c r="Q718" s="49" t="s">
        <v>1268</v>
      </c>
      <c r="R718" s="48">
        <v>46121</v>
      </c>
      <c r="S718" s="59" t="s">
        <v>45</v>
      </c>
      <c r="U718" s="49" t="s">
        <v>32</v>
      </c>
    </row>
    <row r="719" spans="2:21" s="49" customFormat="1" ht="18.75" hidden="1" customHeight="1">
      <c r="B719" s="48">
        <v>46037</v>
      </c>
      <c r="C719" s="49" t="s">
        <v>1269</v>
      </c>
      <c r="D719" s="48">
        <v>46076</v>
      </c>
      <c r="E719" s="50">
        <v>203</v>
      </c>
      <c r="F719" s="48"/>
      <c r="G719" s="48"/>
      <c r="H719" s="49" t="s">
        <v>301</v>
      </c>
      <c r="I719" s="51">
        <v>93.92</v>
      </c>
      <c r="J719" s="51" t="s">
        <v>55</v>
      </c>
      <c r="K71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19" s="52"/>
      <c r="M719" s="58"/>
      <c r="N71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93.92</v>
      </c>
      <c r="O719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719" s="49" t="s">
        <v>25</v>
      </c>
      <c r="Q719" s="49" t="s">
        <v>1270</v>
      </c>
      <c r="R719" s="48">
        <v>46072</v>
      </c>
      <c r="S719" s="49" t="s">
        <v>45</v>
      </c>
      <c r="U719" s="49" t="s">
        <v>32</v>
      </c>
    </row>
    <row r="720" spans="2:21" s="49" customFormat="1" ht="18.75" hidden="1" customHeight="1">
      <c r="B720" s="56">
        <v>46092</v>
      </c>
      <c r="C720" s="57" t="s">
        <v>1271</v>
      </c>
      <c r="D720" s="48">
        <v>46122</v>
      </c>
      <c r="E720" s="50">
        <v>409</v>
      </c>
      <c r="F720" s="48"/>
      <c r="G720" s="48"/>
      <c r="H720" s="49" t="s">
        <v>301</v>
      </c>
      <c r="I720" s="51">
        <v>98.24</v>
      </c>
      <c r="J720" s="51" t="s">
        <v>55</v>
      </c>
      <c r="K72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20" s="52"/>
      <c r="M720" s="58"/>
      <c r="N72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98.24</v>
      </c>
      <c r="O720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720" s="49" t="s">
        <v>25</v>
      </c>
      <c r="Q720" s="49" t="s">
        <v>561</v>
      </c>
      <c r="R720" s="48">
        <v>46121</v>
      </c>
      <c r="S720" s="59" t="s">
        <v>45</v>
      </c>
      <c r="U720" s="49" t="s">
        <v>32</v>
      </c>
    </row>
    <row r="721" spans="2:21" s="49" customFormat="1" ht="18.75" hidden="1" customHeight="1">
      <c r="B721" s="48">
        <v>46038</v>
      </c>
      <c r="C721" s="49" t="s">
        <v>1272</v>
      </c>
      <c r="D721" s="48">
        <v>46076</v>
      </c>
      <c r="E721" s="50">
        <v>197</v>
      </c>
      <c r="F721" s="48"/>
      <c r="G721" s="48"/>
      <c r="H721" s="49" t="s">
        <v>301</v>
      </c>
      <c r="I721" s="66">
        <v>101.12</v>
      </c>
      <c r="J721" s="66" t="s">
        <v>55</v>
      </c>
      <c r="K72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21" s="67"/>
      <c r="M721" s="95"/>
      <c r="N72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101.12</v>
      </c>
      <c r="O721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721" s="49" t="s">
        <v>25</v>
      </c>
      <c r="Q721" s="49" t="s">
        <v>1273</v>
      </c>
      <c r="R721" s="48">
        <v>46072</v>
      </c>
      <c r="S721" s="49" t="s">
        <v>45</v>
      </c>
      <c r="U721" s="49" t="s">
        <v>32</v>
      </c>
    </row>
    <row r="722" spans="2:21" s="49" customFormat="1" ht="18.75" hidden="1" customHeight="1">
      <c r="B722" s="48">
        <v>46031</v>
      </c>
      <c r="C722" s="49" t="s">
        <v>1274</v>
      </c>
      <c r="D722" s="48">
        <v>46076</v>
      </c>
      <c r="E722" s="50">
        <v>198</v>
      </c>
      <c r="F722" s="48"/>
      <c r="G722" s="48"/>
      <c r="H722" s="49" t="s">
        <v>301</v>
      </c>
      <c r="I722" s="66">
        <v>104</v>
      </c>
      <c r="J722" s="66" t="s">
        <v>55</v>
      </c>
      <c r="K72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22" s="67"/>
      <c r="M722" s="95"/>
      <c r="N72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104</v>
      </c>
      <c r="O722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722" s="49" t="s">
        <v>25</v>
      </c>
      <c r="Q722" s="49" t="s">
        <v>1275</v>
      </c>
      <c r="R722" s="48">
        <v>46072</v>
      </c>
      <c r="S722" s="49" t="s">
        <v>45</v>
      </c>
      <c r="U722" s="49" t="s">
        <v>32</v>
      </c>
    </row>
    <row r="723" spans="2:21" s="49" customFormat="1" ht="18.75" hidden="1" customHeight="1">
      <c r="B723" s="56">
        <v>46092</v>
      </c>
      <c r="C723" s="57" t="s">
        <v>1276</v>
      </c>
      <c r="D723" s="48">
        <v>46122</v>
      </c>
      <c r="E723" s="50">
        <v>408</v>
      </c>
      <c r="F723" s="48"/>
      <c r="G723" s="48"/>
      <c r="H723" s="49" t="s">
        <v>301</v>
      </c>
      <c r="I723" s="51">
        <v>108.32</v>
      </c>
      <c r="J723" s="51" t="s">
        <v>55</v>
      </c>
      <c r="K72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23" s="52"/>
      <c r="M723" s="58"/>
      <c r="N72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108.32</v>
      </c>
      <c r="O723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723" s="49" t="s">
        <v>25</v>
      </c>
      <c r="Q723" s="49" t="s">
        <v>1277</v>
      </c>
      <c r="R723" s="48">
        <v>46121</v>
      </c>
      <c r="S723" s="59" t="s">
        <v>45</v>
      </c>
      <c r="U723" s="49" t="s">
        <v>32</v>
      </c>
    </row>
    <row r="724" spans="2:21" s="49" customFormat="1" ht="18.75" hidden="1" customHeight="1">
      <c r="B724" s="1"/>
      <c r="C724" s="7"/>
      <c r="D724" s="1">
        <v>46071</v>
      </c>
      <c r="E724" s="29" t="s">
        <v>1278</v>
      </c>
      <c r="F724" s="1"/>
      <c r="G724" s="1"/>
      <c r="H724" t="s">
        <v>364</v>
      </c>
      <c r="I724" s="2">
        <v>6835</v>
      </c>
      <c r="J724" s="2" t="s">
        <v>43</v>
      </c>
      <c r="K72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24" s="3"/>
      <c r="M724"/>
      <c r="N72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6835</v>
      </c>
      <c r="O72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46071</v>
      </c>
      <c r="P724" t="s">
        <v>25</v>
      </c>
      <c r="Q724" t="s">
        <v>1279</v>
      </c>
      <c r="R724" s="1">
        <v>46072</v>
      </c>
      <c r="S724" s="24" t="s">
        <v>45</v>
      </c>
      <c r="T724"/>
      <c r="U724"/>
    </row>
    <row r="725" spans="2:21" s="49" customFormat="1" ht="18.75" customHeight="1">
      <c r="B725" s="56">
        <v>46063</v>
      </c>
      <c r="C725" s="57" t="s">
        <v>1280</v>
      </c>
      <c r="D725" s="48">
        <v>46128</v>
      </c>
      <c r="E725" s="50" t="s">
        <v>1281</v>
      </c>
      <c r="F725" s="48"/>
      <c r="G725" s="48"/>
      <c r="H725" s="49" t="s">
        <v>196</v>
      </c>
      <c r="I725" s="51">
        <v>13057</v>
      </c>
      <c r="J725" s="51" t="s">
        <v>78</v>
      </c>
      <c r="K725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6528.5</v>
      </c>
      <c r="L725" s="52">
        <v>46128</v>
      </c>
      <c r="M725" s="58" t="s">
        <v>25</v>
      </c>
      <c r="N725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6528.5</v>
      </c>
      <c r="O725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46188</v>
      </c>
      <c r="P725" s="49" t="s">
        <v>25</v>
      </c>
      <c r="Q725" s="49" t="s">
        <v>344</v>
      </c>
      <c r="R725" s="48">
        <v>46184</v>
      </c>
      <c r="S725" s="59" t="s">
        <v>27</v>
      </c>
      <c r="U725" s="49" t="s">
        <v>32</v>
      </c>
    </row>
    <row r="726" spans="2:21" s="49" customFormat="1" ht="18.75" hidden="1" customHeight="1">
      <c r="B726" s="48"/>
      <c r="D726" s="48">
        <v>46042</v>
      </c>
      <c r="E726" s="50" t="s">
        <v>1282</v>
      </c>
      <c r="F726" s="48">
        <v>46073</v>
      </c>
      <c r="G726" s="48"/>
      <c r="H726" s="49" t="s">
        <v>329</v>
      </c>
      <c r="I726" s="51">
        <v>342.06</v>
      </c>
      <c r="J726" s="51" t="s">
        <v>55</v>
      </c>
      <c r="K72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26" s="52"/>
      <c r="M726" s="58"/>
      <c r="N72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342.06</v>
      </c>
      <c r="O72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46073</v>
      </c>
      <c r="P726" s="49" t="s">
        <v>25</v>
      </c>
      <c r="Q726" s="49" t="s">
        <v>594</v>
      </c>
      <c r="R726" s="48">
        <v>46072</v>
      </c>
      <c r="S726" s="49" t="s">
        <v>27</v>
      </c>
      <c r="U726" s="49" t="s">
        <v>32</v>
      </c>
    </row>
    <row r="727" spans="2:21" s="49" customFormat="1" ht="18.75" hidden="1" customHeight="1">
      <c r="B727" s="48"/>
      <c r="D727" s="48">
        <v>46042</v>
      </c>
      <c r="E727" s="50" t="s">
        <v>1283</v>
      </c>
      <c r="F727" s="48">
        <v>46073</v>
      </c>
      <c r="G727" s="48"/>
      <c r="H727" s="49" t="s">
        <v>329</v>
      </c>
      <c r="I727" s="51">
        <v>342.06</v>
      </c>
      <c r="J727" s="51" t="s">
        <v>55</v>
      </c>
      <c r="K72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27" s="52"/>
      <c r="M727" s="58"/>
      <c r="N72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342.06</v>
      </c>
      <c r="O72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46073</v>
      </c>
      <c r="P727" s="49" t="s">
        <v>25</v>
      </c>
      <c r="Q727" s="49" t="s">
        <v>602</v>
      </c>
      <c r="R727" s="48">
        <v>46072</v>
      </c>
      <c r="S727" s="49" t="s">
        <v>27</v>
      </c>
      <c r="U727" s="49" t="s">
        <v>32</v>
      </c>
    </row>
    <row r="728" spans="2:21" s="49" customFormat="1" ht="18.75" hidden="1" customHeight="1">
      <c r="B728" s="48"/>
      <c r="D728" s="48">
        <v>46042</v>
      </c>
      <c r="E728" s="50" t="s">
        <v>1284</v>
      </c>
      <c r="F728" s="48">
        <v>46073</v>
      </c>
      <c r="G728" s="48"/>
      <c r="H728" s="49" t="s">
        <v>329</v>
      </c>
      <c r="I728" s="51">
        <v>342.06</v>
      </c>
      <c r="J728" s="51" t="s">
        <v>55</v>
      </c>
      <c r="K72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28" s="52"/>
      <c r="M728" s="58"/>
      <c r="N72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342.06</v>
      </c>
      <c r="O72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46073</v>
      </c>
      <c r="P728" s="49" t="s">
        <v>25</v>
      </c>
      <c r="Q728" s="49" t="s">
        <v>91</v>
      </c>
      <c r="R728" s="48">
        <v>46072</v>
      </c>
      <c r="S728" s="49" t="s">
        <v>27</v>
      </c>
      <c r="U728" s="49" t="s">
        <v>32</v>
      </c>
    </row>
    <row r="729" spans="2:21" s="49" customFormat="1" ht="18.75" hidden="1" customHeight="1">
      <c r="B729" s="48"/>
      <c r="D729" s="48">
        <v>46042</v>
      </c>
      <c r="E729" s="50" t="s">
        <v>1285</v>
      </c>
      <c r="F729" s="48">
        <v>46073</v>
      </c>
      <c r="G729" s="48"/>
      <c r="H729" s="49" t="s">
        <v>329</v>
      </c>
      <c r="I729" s="51">
        <v>342.06</v>
      </c>
      <c r="J729" s="51" t="s">
        <v>55</v>
      </c>
      <c r="K72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29" s="52"/>
      <c r="M729" s="58"/>
      <c r="N72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342.06</v>
      </c>
      <c r="O72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46073</v>
      </c>
      <c r="P729" s="49" t="s">
        <v>25</v>
      </c>
      <c r="Q729" s="49" t="s">
        <v>70</v>
      </c>
      <c r="R729" s="48">
        <v>46072</v>
      </c>
      <c r="S729" s="49" t="s">
        <v>27</v>
      </c>
      <c r="U729" s="49" t="s">
        <v>32</v>
      </c>
    </row>
    <row r="730" spans="2:21" s="49" customFormat="1" ht="18.75" hidden="1" customHeight="1">
      <c r="B730" s="1">
        <v>46031</v>
      </c>
      <c r="C730">
        <v>96645</v>
      </c>
      <c r="D730" s="1">
        <v>46094</v>
      </c>
      <c r="E730" s="29">
        <v>2026200842</v>
      </c>
      <c r="F730" s="1">
        <v>46051</v>
      </c>
      <c r="G730" s="1">
        <v>46072</v>
      </c>
      <c r="H730" t="s">
        <v>77</v>
      </c>
      <c r="I730" s="2">
        <v>25622.09</v>
      </c>
      <c r="J730" s="2" t="s">
        <v>78</v>
      </c>
      <c r="K73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12811.045</v>
      </c>
      <c r="L730" s="17">
        <v>46051</v>
      </c>
      <c r="M730" t="s">
        <v>25</v>
      </c>
      <c r="N73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12811.045</v>
      </c>
      <c r="O73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46154</v>
      </c>
      <c r="P730" t="s">
        <v>25</v>
      </c>
      <c r="Q730" t="s">
        <v>1286</v>
      </c>
      <c r="R730" s="1">
        <v>46072</v>
      </c>
      <c r="S730" t="s">
        <v>45</v>
      </c>
      <c r="T730"/>
      <c r="U730"/>
    </row>
    <row r="731" spans="2:21" s="49" customFormat="1" ht="18.75" hidden="1" customHeight="1">
      <c r="B731" s="48">
        <v>46031</v>
      </c>
      <c r="C731" s="49">
        <v>96646</v>
      </c>
      <c r="D731" s="48">
        <v>46105</v>
      </c>
      <c r="E731" s="50">
        <v>2026200926</v>
      </c>
      <c r="F731" s="107">
        <v>46051</v>
      </c>
      <c r="G731" s="107">
        <v>46072</v>
      </c>
      <c r="H731" s="49" t="s">
        <v>77</v>
      </c>
      <c r="I731" s="51">
        <v>16953.12</v>
      </c>
      <c r="J731" s="51" t="s">
        <v>78</v>
      </c>
      <c r="K73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8476.56</v>
      </c>
      <c r="L731" s="92">
        <v>46051</v>
      </c>
      <c r="M731" s="49" t="s">
        <v>25</v>
      </c>
      <c r="N73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8476.56</v>
      </c>
      <c r="O73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46165</v>
      </c>
      <c r="P731" s="49" t="s">
        <v>25</v>
      </c>
      <c r="Q731" s="49" t="s">
        <v>1287</v>
      </c>
      <c r="R731" s="48">
        <v>46072</v>
      </c>
      <c r="S731" s="49" t="s">
        <v>45</v>
      </c>
    </row>
    <row r="732" spans="2:21" s="49" customFormat="1" ht="18.75" hidden="1" customHeight="1">
      <c r="B732" s="1"/>
      <c r="C732" s="7"/>
      <c r="D732" s="1">
        <v>46067</v>
      </c>
      <c r="E732" s="29" t="s">
        <v>1288</v>
      </c>
      <c r="F732" s="1"/>
      <c r="G732" s="1"/>
      <c r="H732" t="s">
        <v>1289</v>
      </c>
      <c r="I732" s="2">
        <v>9900</v>
      </c>
      <c r="J732" s="2" t="s">
        <v>43</v>
      </c>
      <c r="K73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32" s="3"/>
      <c r="M732"/>
      <c r="N73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9900</v>
      </c>
      <c r="O73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46067</v>
      </c>
      <c r="P732" t="s">
        <v>25</v>
      </c>
      <c r="Q732"/>
      <c r="R732" s="19">
        <v>46069</v>
      </c>
      <c r="S732" s="24"/>
      <c r="T732"/>
      <c r="U732"/>
    </row>
    <row r="733" spans="2:21" s="49" customFormat="1" ht="18.75" hidden="1" customHeight="1">
      <c r="B733" s="1"/>
      <c r="C733" s="7"/>
      <c r="D733" s="1"/>
      <c r="E733" s="29"/>
      <c r="F733" s="1">
        <v>46064</v>
      </c>
      <c r="G733" s="1"/>
      <c r="H733" t="s">
        <v>92</v>
      </c>
      <c r="I733" s="2">
        <v>25</v>
      </c>
      <c r="J733" s="2" t="s">
        <v>55</v>
      </c>
      <c r="K73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33" s="3"/>
      <c r="M733"/>
      <c r="N73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25</v>
      </c>
      <c r="O73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46064</v>
      </c>
      <c r="P733" t="s">
        <v>25</v>
      </c>
      <c r="Q733" t="s">
        <v>1290</v>
      </c>
      <c r="R733" s="1">
        <v>46066</v>
      </c>
      <c r="S733" s="24" t="s">
        <v>94</v>
      </c>
      <c r="T733"/>
      <c r="U733"/>
    </row>
    <row r="734" spans="2:21" s="63" customFormat="1" ht="18.75" hidden="1" customHeight="1">
      <c r="B734" s="56"/>
      <c r="C734" s="57"/>
      <c r="D734" s="48">
        <v>46139</v>
      </c>
      <c r="E734" s="50" t="s">
        <v>1291</v>
      </c>
      <c r="F734" s="48"/>
      <c r="G734" s="48"/>
      <c r="H734" s="49" t="s">
        <v>1046</v>
      </c>
      <c r="I734" s="51">
        <v>120</v>
      </c>
      <c r="J734" s="51" t="s">
        <v>43</v>
      </c>
      <c r="K73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34" s="52"/>
      <c r="M734" s="58"/>
      <c r="N73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73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46139</v>
      </c>
      <c r="P734" t="s">
        <v>25</v>
      </c>
      <c r="Q734" s="49" t="s">
        <v>1292</v>
      </c>
      <c r="R734" s="48">
        <v>46142</v>
      </c>
      <c r="S734" s="59" t="s">
        <v>45</v>
      </c>
      <c r="T734" s="49"/>
      <c r="U734" s="49" t="s">
        <v>32</v>
      </c>
    </row>
    <row r="735" spans="2:21" s="49" customFormat="1" ht="18.75" hidden="1" customHeight="1">
      <c r="B735" s="1"/>
      <c r="C735" s="7"/>
      <c r="D735" s="1">
        <v>46057</v>
      </c>
      <c r="E735" s="29" t="s">
        <v>1293</v>
      </c>
      <c r="F735" s="1"/>
      <c r="G735" s="1"/>
      <c r="H735" t="s">
        <v>808</v>
      </c>
      <c r="I735" s="2">
        <v>246</v>
      </c>
      <c r="J735" s="2" t="s">
        <v>43</v>
      </c>
      <c r="K73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35" s="3"/>
      <c r="M735" s="11"/>
      <c r="N73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246</v>
      </c>
      <c r="O73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46057</v>
      </c>
      <c r="P735" t="s">
        <v>25</v>
      </c>
      <c r="Q735"/>
      <c r="R735" s="1">
        <v>46066</v>
      </c>
      <c r="S735" s="24" t="s">
        <v>27</v>
      </c>
      <c r="T735"/>
      <c r="U735"/>
    </row>
    <row r="736" spans="2:21" s="49" customFormat="1" ht="18.75" customHeight="1">
      <c r="B736" s="56">
        <v>46073</v>
      </c>
      <c r="C736" s="57" t="s">
        <v>1294</v>
      </c>
      <c r="D736" s="48">
        <v>46132</v>
      </c>
      <c r="E736" s="50" t="s">
        <v>1295</v>
      </c>
      <c r="F736" s="48"/>
      <c r="G736" s="48"/>
      <c r="H736" s="49" t="s">
        <v>196</v>
      </c>
      <c r="I736" s="51">
        <v>12095</v>
      </c>
      <c r="J736" s="51" t="s">
        <v>78</v>
      </c>
      <c r="K73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6047.5</v>
      </c>
      <c r="L736" s="52">
        <v>46134</v>
      </c>
      <c r="M736" s="143" t="s">
        <v>25</v>
      </c>
      <c r="N736" s="10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6047.5</v>
      </c>
      <c r="O73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46192</v>
      </c>
      <c r="P736" s="49" t="s">
        <v>25</v>
      </c>
      <c r="Q736" s="49" t="s">
        <v>1114</v>
      </c>
      <c r="R736" s="48">
        <v>46191</v>
      </c>
      <c r="S736" s="59" t="s">
        <v>27</v>
      </c>
      <c r="U736" s="49" t="s">
        <v>32</v>
      </c>
    </row>
    <row r="737" spans="1:21" s="49" customFormat="1" ht="18.75" hidden="1" customHeight="1">
      <c r="B737" s="1"/>
      <c r="C737" s="7"/>
      <c r="D737" s="1">
        <v>46072</v>
      </c>
      <c r="E737" s="29" t="s">
        <v>1296</v>
      </c>
      <c r="F737" s="1"/>
      <c r="G737" s="1"/>
      <c r="H737" t="s">
        <v>1297</v>
      </c>
      <c r="I737" s="2">
        <v>2200</v>
      </c>
      <c r="J737" s="2" t="s">
        <v>55</v>
      </c>
      <c r="K73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37" s="3"/>
      <c r="M737"/>
      <c r="N73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2200</v>
      </c>
      <c r="O737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737" t="s">
        <v>25</v>
      </c>
      <c r="Q737" t="s">
        <v>1298</v>
      </c>
      <c r="R737" s="1">
        <v>46066</v>
      </c>
      <c r="S737" s="24" t="s">
        <v>27</v>
      </c>
      <c r="T737" t="s">
        <v>1299</v>
      </c>
      <c r="U737"/>
    </row>
    <row r="738" spans="1:21" s="49" customFormat="1" ht="18.75" hidden="1" customHeight="1">
      <c r="B738" s="56"/>
      <c r="C738" s="57"/>
      <c r="D738" s="48">
        <v>46067</v>
      </c>
      <c r="E738" s="50" t="s">
        <v>1300</v>
      </c>
      <c r="F738" s="48"/>
      <c r="G738" s="48"/>
      <c r="H738" s="49" t="s">
        <v>1118</v>
      </c>
      <c r="I738" s="51">
        <v>238.44</v>
      </c>
      <c r="J738" s="51" t="s">
        <v>43</v>
      </c>
      <c r="K73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38" s="52"/>
      <c r="M738" s="58"/>
      <c r="N73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238.44</v>
      </c>
      <c r="O73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46067</v>
      </c>
      <c r="P738" s="49" t="s">
        <v>25</v>
      </c>
      <c r="R738" s="48">
        <v>46066</v>
      </c>
      <c r="S738" s="59"/>
    </row>
    <row r="739" spans="1:21" s="49" customFormat="1" ht="18.75" hidden="1" customHeight="1">
      <c r="B739" s="56"/>
      <c r="C739" s="57"/>
      <c r="D739" s="48">
        <v>46077</v>
      </c>
      <c r="E739" s="50" t="s">
        <v>1301</v>
      </c>
      <c r="F739" s="48"/>
      <c r="G739" s="48"/>
      <c r="H739" s="49" t="s">
        <v>1254</v>
      </c>
      <c r="I739" s="51">
        <v>547.5</v>
      </c>
      <c r="J739" s="51" t="s">
        <v>55</v>
      </c>
      <c r="K73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39" s="52"/>
      <c r="M739" s="58"/>
      <c r="N73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547.5</v>
      </c>
      <c r="O739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739" s="49" t="s">
        <v>25</v>
      </c>
      <c r="R739" s="48">
        <v>46066</v>
      </c>
      <c r="S739" s="59"/>
    </row>
    <row r="740" spans="1:21" s="49" customFormat="1" ht="18.75" hidden="1" customHeight="1">
      <c r="B740" s="56"/>
      <c r="C740" s="57"/>
      <c r="D740" s="48">
        <v>46077</v>
      </c>
      <c r="E740" s="50" t="s">
        <v>1302</v>
      </c>
      <c r="F740" s="48"/>
      <c r="G740" s="48"/>
      <c r="H740" s="49" t="s">
        <v>1254</v>
      </c>
      <c r="I740" s="51">
        <v>322.77</v>
      </c>
      <c r="J740" s="51" t="s">
        <v>55</v>
      </c>
      <c r="K74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40" s="52"/>
      <c r="M740" s="58"/>
      <c r="N74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322.77</v>
      </c>
      <c r="O740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740" s="49" t="s">
        <v>25</v>
      </c>
      <c r="R740" s="48">
        <v>46066</v>
      </c>
      <c r="S740" s="59"/>
    </row>
    <row r="741" spans="1:21" s="49" customFormat="1" ht="18.75" hidden="1" customHeight="1">
      <c r="B741" s="56"/>
      <c r="C741" s="57"/>
      <c r="D741" s="48">
        <v>46067</v>
      </c>
      <c r="E741" s="50" t="s">
        <v>1303</v>
      </c>
      <c r="F741" s="48"/>
      <c r="G741" s="48"/>
      <c r="H741" s="49" t="s">
        <v>1118</v>
      </c>
      <c r="I741" s="51">
        <v>576.67999999999995</v>
      </c>
      <c r="J741" s="51" t="s">
        <v>43</v>
      </c>
      <c r="K74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41" s="52"/>
      <c r="M741" s="58"/>
      <c r="N74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576.67999999999995</v>
      </c>
      <c r="O74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46067</v>
      </c>
      <c r="P741" s="49" t="s">
        <v>25</v>
      </c>
      <c r="R741" s="48">
        <v>46066</v>
      </c>
      <c r="S741" s="59"/>
    </row>
    <row r="742" spans="1:21" s="49" customFormat="1" ht="18.75" hidden="1" customHeight="1">
      <c r="B742" s="44"/>
      <c r="C742" s="7"/>
      <c r="D742" s="1">
        <v>46078</v>
      </c>
      <c r="E742" s="29" t="s">
        <v>1304</v>
      </c>
      <c r="F742" s="1"/>
      <c r="G742" s="1"/>
      <c r="H742" t="s">
        <v>59</v>
      </c>
      <c r="I742" s="2">
        <v>551.21</v>
      </c>
      <c r="J742" s="2" t="s">
        <v>43</v>
      </c>
      <c r="K74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42" s="3"/>
      <c r="M742" s="11"/>
      <c r="N74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551.21</v>
      </c>
      <c r="O74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46078</v>
      </c>
      <c r="P742" t="s">
        <v>25</v>
      </c>
      <c r="Q742" t="s">
        <v>1305</v>
      </c>
      <c r="R742" s="1">
        <v>46066</v>
      </c>
      <c r="S742" s="24"/>
      <c r="T742"/>
      <c r="U742"/>
    </row>
    <row r="743" spans="1:21" s="49" customFormat="1" ht="18.75" hidden="1" customHeight="1">
      <c r="B743" s="83"/>
      <c r="C743" s="77"/>
      <c r="D743" s="76">
        <v>46072</v>
      </c>
      <c r="E743" s="78" t="s">
        <v>1296</v>
      </c>
      <c r="F743" s="76"/>
      <c r="G743" s="76"/>
      <c r="H743" s="63" t="s">
        <v>1159</v>
      </c>
      <c r="I743" s="79">
        <v>2200</v>
      </c>
      <c r="J743" s="79" t="s">
        <v>55</v>
      </c>
      <c r="K74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43" s="80"/>
      <c r="M743" s="79"/>
      <c r="N74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2200</v>
      </c>
      <c r="O743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743" s="63" t="s">
        <v>25</v>
      </c>
      <c r="Q743" s="63" t="s">
        <v>1306</v>
      </c>
      <c r="R743" s="76">
        <v>46066</v>
      </c>
      <c r="S743" s="82"/>
      <c r="T743" s="63"/>
      <c r="U743" s="63"/>
    </row>
    <row r="744" spans="1:21" s="49" customFormat="1" ht="18.75" hidden="1" customHeight="1">
      <c r="B744" s="56"/>
      <c r="C744" s="57"/>
      <c r="D744" s="48">
        <v>46066</v>
      </c>
      <c r="E744" s="48" t="s">
        <v>1307</v>
      </c>
      <c r="F744" s="48"/>
      <c r="G744" s="48"/>
      <c r="H744" s="49" t="s">
        <v>859</v>
      </c>
      <c r="I744" s="51">
        <v>109.8</v>
      </c>
      <c r="J744" s="51" t="s">
        <v>43</v>
      </c>
      <c r="K74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44" s="52"/>
      <c r="M744" s="58"/>
      <c r="N74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109.8</v>
      </c>
      <c r="O74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46066</v>
      </c>
      <c r="P744" s="49" t="s">
        <v>25</v>
      </c>
      <c r="Q744" s="49" t="s">
        <v>860</v>
      </c>
      <c r="R744" s="48">
        <v>46066</v>
      </c>
      <c r="S744" s="59"/>
    </row>
    <row r="745" spans="1:21" s="49" customFormat="1" ht="18.75" hidden="1" customHeight="1">
      <c r="B745" s="56"/>
      <c r="C745" s="57"/>
      <c r="D745" s="48">
        <v>46104</v>
      </c>
      <c r="E745" s="50" t="s">
        <v>1308</v>
      </c>
      <c r="F745" s="48"/>
      <c r="G745" s="48"/>
      <c r="H745" s="49" t="s">
        <v>29</v>
      </c>
      <c r="I745" s="51">
        <v>42112.3</v>
      </c>
      <c r="J745" s="51" t="s">
        <v>30</v>
      </c>
      <c r="K745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45" s="52"/>
      <c r="M745" s="58"/>
      <c r="N745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42112.3</v>
      </c>
      <c r="O745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46164</v>
      </c>
      <c r="P745" s="49" t="s">
        <v>25</v>
      </c>
      <c r="Q745" s="49" t="s">
        <v>292</v>
      </c>
      <c r="R745" s="94">
        <v>46154</v>
      </c>
      <c r="S745" s="59" t="s">
        <v>27</v>
      </c>
      <c r="U745" s="49" t="s">
        <v>32</v>
      </c>
    </row>
    <row r="746" spans="1:21" s="49" customFormat="1" ht="18.75" hidden="1" customHeight="1">
      <c r="B746" s="56"/>
      <c r="C746" s="57"/>
      <c r="D746" s="48">
        <v>46104</v>
      </c>
      <c r="E746" s="50" t="s">
        <v>1309</v>
      </c>
      <c r="F746" s="48"/>
      <c r="G746" s="48"/>
      <c r="H746" s="49" t="s">
        <v>29</v>
      </c>
      <c r="I746" s="51">
        <v>29787.03</v>
      </c>
      <c r="J746" s="51" t="s">
        <v>30</v>
      </c>
      <c r="K746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46" s="52"/>
      <c r="M746" s="58"/>
      <c r="N746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29787.03</v>
      </c>
      <c r="O746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46164</v>
      </c>
      <c r="P746" s="49" t="s">
        <v>25</v>
      </c>
      <c r="Q746" s="49" t="s">
        <v>1038</v>
      </c>
      <c r="R746" s="94">
        <v>46154</v>
      </c>
      <c r="S746" s="59" t="s">
        <v>27</v>
      </c>
      <c r="U746" s="49" t="s">
        <v>32</v>
      </c>
    </row>
    <row r="747" spans="1:21" s="49" customFormat="1" ht="18.75" hidden="1" customHeight="1">
      <c r="B747" s="56"/>
      <c r="C747" s="57"/>
      <c r="D747" s="48">
        <v>46104</v>
      </c>
      <c r="E747" s="50" t="s">
        <v>1310</v>
      </c>
      <c r="F747" s="48"/>
      <c r="G747" s="48"/>
      <c r="H747" s="49" t="s">
        <v>29</v>
      </c>
      <c r="I747" s="51">
        <v>26810.82</v>
      </c>
      <c r="J747" s="51" t="s">
        <v>30</v>
      </c>
      <c r="K747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47" s="52"/>
      <c r="M747" s="58"/>
      <c r="N747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26810.82</v>
      </c>
      <c r="O747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46164</v>
      </c>
      <c r="P747" s="49" t="s">
        <v>25</v>
      </c>
      <c r="Q747" s="49" t="s">
        <v>891</v>
      </c>
      <c r="R747" s="94">
        <v>46154</v>
      </c>
      <c r="S747" s="59" t="s">
        <v>27</v>
      </c>
      <c r="U747" s="49" t="s">
        <v>32</v>
      </c>
    </row>
    <row r="748" spans="1:21" s="49" customFormat="1" ht="18.75" hidden="1" customHeight="1">
      <c r="B748" s="56"/>
      <c r="C748" s="57"/>
      <c r="D748" s="48">
        <v>46106</v>
      </c>
      <c r="E748" s="50" t="s">
        <v>1311</v>
      </c>
      <c r="F748" s="48"/>
      <c r="G748" s="48"/>
      <c r="H748" s="49" t="s">
        <v>29</v>
      </c>
      <c r="I748" s="51">
        <v>30455.279999999999</v>
      </c>
      <c r="J748" s="51" t="s">
        <v>30</v>
      </c>
      <c r="K748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48" s="52"/>
      <c r="M748" s="58"/>
      <c r="N748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30455.279999999999</v>
      </c>
      <c r="O748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46166</v>
      </c>
      <c r="P748" s="49" t="s">
        <v>25</v>
      </c>
      <c r="Q748" s="49" t="s">
        <v>292</v>
      </c>
      <c r="R748" s="94">
        <v>46154</v>
      </c>
      <c r="S748" s="59" t="s">
        <v>27</v>
      </c>
      <c r="U748" s="49" t="s">
        <v>32</v>
      </c>
    </row>
    <row r="749" spans="1:21" s="49" customFormat="1" ht="18.75" hidden="1" customHeight="1">
      <c r="B749" s="56"/>
      <c r="C749" s="57"/>
      <c r="D749" s="48">
        <v>46106</v>
      </c>
      <c r="E749" s="50" t="s">
        <v>1312</v>
      </c>
      <c r="F749" s="48"/>
      <c r="G749" s="48"/>
      <c r="H749" s="49" t="s">
        <v>29</v>
      </c>
      <c r="I749" s="51">
        <v>25035.599999999999</v>
      </c>
      <c r="J749" s="51" t="s">
        <v>30</v>
      </c>
      <c r="K749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49" s="52"/>
      <c r="M749" s="58"/>
      <c r="N749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25035.599999999999</v>
      </c>
      <c r="O749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46166</v>
      </c>
      <c r="P749" s="49" t="s">
        <v>25</v>
      </c>
      <c r="Q749" s="49" t="s">
        <v>292</v>
      </c>
      <c r="R749" s="94">
        <v>46154</v>
      </c>
      <c r="S749" s="59" t="s">
        <v>27</v>
      </c>
      <c r="U749" s="49" t="s">
        <v>32</v>
      </c>
    </row>
    <row r="750" spans="1:21" s="49" customFormat="1" ht="18.75" hidden="1" customHeight="1">
      <c r="A750" s="49" t="s">
        <v>453</v>
      </c>
      <c r="B750" s="56"/>
      <c r="C750" s="57"/>
      <c r="D750" s="48">
        <v>46107</v>
      </c>
      <c r="E750" s="50" t="s">
        <v>1313</v>
      </c>
      <c r="F750" s="48"/>
      <c r="G750" s="48"/>
      <c r="H750" s="49" t="s">
        <v>29</v>
      </c>
      <c r="I750" s="51">
        <v>34324.559999999998</v>
      </c>
      <c r="J750" s="51" t="s">
        <v>30</v>
      </c>
      <c r="K750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50" s="52"/>
      <c r="M750" s="58"/>
      <c r="N750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34324.559999999998</v>
      </c>
      <c r="O750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46167</v>
      </c>
      <c r="P750" s="49" t="s">
        <v>25</v>
      </c>
      <c r="Q750" s="49" t="s">
        <v>292</v>
      </c>
      <c r="R750" s="94">
        <v>46154</v>
      </c>
      <c r="S750" s="59" t="s">
        <v>27</v>
      </c>
      <c r="U750" s="49" t="s">
        <v>32</v>
      </c>
    </row>
    <row r="751" spans="1:21" s="49" customFormat="1" ht="18.75" hidden="1" customHeight="1">
      <c r="B751" s="56"/>
      <c r="C751" s="57"/>
      <c r="D751" s="48">
        <v>46107</v>
      </c>
      <c r="E751" s="50" t="s">
        <v>1314</v>
      </c>
      <c r="F751" s="48"/>
      <c r="G751" s="48"/>
      <c r="H751" s="49" t="s">
        <v>29</v>
      </c>
      <c r="I751" s="51">
        <v>33481.199999999997</v>
      </c>
      <c r="J751" s="51" t="s">
        <v>30</v>
      </c>
      <c r="K751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51" s="52"/>
      <c r="M751" s="58"/>
      <c r="N751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33481.199999999997</v>
      </c>
      <c r="O751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46167</v>
      </c>
      <c r="P751" s="49" t="s">
        <v>25</v>
      </c>
      <c r="Q751" s="49" t="s">
        <v>292</v>
      </c>
      <c r="R751" s="94">
        <v>46154</v>
      </c>
      <c r="S751" s="59" t="s">
        <v>27</v>
      </c>
      <c r="U751" s="49" t="s">
        <v>32</v>
      </c>
    </row>
    <row r="752" spans="1:21" s="49" customFormat="1" ht="18.75" hidden="1" customHeight="1">
      <c r="B752" s="56"/>
      <c r="C752" s="57"/>
      <c r="D752" s="48">
        <v>46107</v>
      </c>
      <c r="E752" s="50" t="s">
        <v>1315</v>
      </c>
      <c r="F752" s="48"/>
      <c r="G752" s="48"/>
      <c r="H752" s="49" t="s">
        <v>29</v>
      </c>
      <c r="I752" s="51">
        <v>34060.5</v>
      </c>
      <c r="J752" s="51" t="s">
        <v>30</v>
      </c>
      <c r="K752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52" s="52"/>
      <c r="M752" s="58"/>
      <c r="N752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34060.5</v>
      </c>
      <c r="O752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46167</v>
      </c>
      <c r="P752" s="49" t="s">
        <v>25</v>
      </c>
      <c r="Q752" s="49" t="s">
        <v>292</v>
      </c>
      <c r="R752" s="94">
        <v>46154</v>
      </c>
      <c r="S752" s="59" t="s">
        <v>27</v>
      </c>
      <c r="U752" s="49" t="s">
        <v>32</v>
      </c>
    </row>
    <row r="753" spans="2:21" s="49" customFormat="1" ht="18.75" hidden="1" customHeight="1">
      <c r="B753" s="56"/>
      <c r="C753" s="57"/>
      <c r="D753" s="48">
        <v>46107</v>
      </c>
      <c r="E753" s="50" t="s">
        <v>1316</v>
      </c>
      <c r="F753" s="48"/>
      <c r="G753" s="48"/>
      <c r="H753" s="49" t="s">
        <v>29</v>
      </c>
      <c r="I753" s="51">
        <v>36293.18</v>
      </c>
      <c r="J753" s="51" t="s">
        <v>30</v>
      </c>
      <c r="K753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53" s="52"/>
      <c r="M753" s="58"/>
      <c r="N753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36293.18</v>
      </c>
      <c r="O753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46167</v>
      </c>
      <c r="P753" s="49" t="s">
        <v>25</v>
      </c>
      <c r="Q753" s="49" t="s">
        <v>292</v>
      </c>
      <c r="R753" s="94">
        <v>46154</v>
      </c>
      <c r="S753" s="59" t="s">
        <v>27</v>
      </c>
      <c r="U753" s="49" t="s">
        <v>32</v>
      </c>
    </row>
    <row r="754" spans="2:21" s="49" customFormat="1" ht="18.75" hidden="1" customHeight="1">
      <c r="B754" s="56"/>
      <c r="C754" s="57"/>
      <c r="D754" s="48">
        <v>46107</v>
      </c>
      <c r="E754" s="50" t="s">
        <v>1317</v>
      </c>
      <c r="F754" s="48"/>
      <c r="G754" s="48"/>
      <c r="H754" s="49" t="s">
        <v>29</v>
      </c>
      <c r="I754" s="58">
        <v>39930.65</v>
      </c>
      <c r="J754" s="58" t="s">
        <v>30</v>
      </c>
      <c r="K754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54" s="90"/>
      <c r="M754" s="58"/>
      <c r="N754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39930.65</v>
      </c>
      <c r="O754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46167</v>
      </c>
      <c r="P754" s="49" t="s">
        <v>25</v>
      </c>
      <c r="Q754" s="49" t="s">
        <v>522</v>
      </c>
      <c r="R754" s="48">
        <v>46154</v>
      </c>
      <c r="S754" s="59" t="s">
        <v>27</v>
      </c>
      <c r="U754" s="49" t="s">
        <v>32</v>
      </c>
    </row>
    <row r="755" spans="2:21" s="49" customFormat="1" ht="18.75" hidden="1" customHeight="1">
      <c r="B755" s="56"/>
      <c r="C755" s="57"/>
      <c r="D755" s="48">
        <v>46108</v>
      </c>
      <c r="E755" s="50" t="s">
        <v>1318</v>
      </c>
      <c r="F755" s="48"/>
      <c r="G755" s="48"/>
      <c r="H755" s="49" t="s">
        <v>29</v>
      </c>
      <c r="I755" s="51">
        <v>170</v>
      </c>
      <c r="J755" s="51" t="s">
        <v>30</v>
      </c>
      <c r="K755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55" s="52"/>
      <c r="M755" s="58"/>
      <c r="N755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170</v>
      </c>
      <c r="O755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46168</v>
      </c>
      <c r="P755" s="49" t="s">
        <v>25</v>
      </c>
      <c r="Q755" s="49" t="s">
        <v>522</v>
      </c>
      <c r="R755" s="94">
        <v>46154</v>
      </c>
      <c r="S755" s="59" t="s">
        <v>27</v>
      </c>
      <c r="U755" s="49" t="s">
        <v>32</v>
      </c>
    </row>
    <row r="756" spans="2:21" s="49" customFormat="1" ht="18.75" hidden="1" customHeight="1">
      <c r="B756" s="56"/>
      <c r="C756" s="57"/>
      <c r="D756" s="48">
        <v>46108</v>
      </c>
      <c r="E756" s="50" t="s">
        <v>1319</v>
      </c>
      <c r="F756" s="48"/>
      <c r="G756" s="48"/>
      <c r="H756" s="49" t="s">
        <v>29</v>
      </c>
      <c r="I756" s="51">
        <v>31639.74</v>
      </c>
      <c r="J756" s="51" t="s">
        <v>30</v>
      </c>
      <c r="K756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56" s="52"/>
      <c r="M756" s="58"/>
      <c r="N756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31639.74</v>
      </c>
      <c r="O756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46168</v>
      </c>
      <c r="P756" s="49" t="s">
        <v>25</v>
      </c>
      <c r="Q756" s="49" t="s">
        <v>522</v>
      </c>
      <c r="R756" s="94">
        <v>46154</v>
      </c>
      <c r="S756" s="59" t="s">
        <v>27</v>
      </c>
      <c r="U756" s="49" t="s">
        <v>32</v>
      </c>
    </row>
    <row r="757" spans="2:21" s="49" customFormat="1" ht="18.75" hidden="1" customHeight="1">
      <c r="B757" s="56"/>
      <c r="C757" s="57"/>
      <c r="D757" s="48">
        <v>46108</v>
      </c>
      <c r="E757" s="50" t="s">
        <v>1320</v>
      </c>
      <c r="F757" s="48"/>
      <c r="G757" s="48"/>
      <c r="H757" s="49" t="s">
        <v>29</v>
      </c>
      <c r="I757" s="51">
        <v>33141.83</v>
      </c>
      <c r="J757" s="51" t="s">
        <v>30</v>
      </c>
      <c r="K757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57" s="52"/>
      <c r="M757" s="58"/>
      <c r="N757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33141.83</v>
      </c>
      <c r="O757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46168</v>
      </c>
      <c r="P757" s="49" t="s">
        <v>25</v>
      </c>
      <c r="Q757" s="49" t="s">
        <v>292</v>
      </c>
      <c r="R757" s="94">
        <v>46154</v>
      </c>
      <c r="S757" s="59" t="s">
        <v>27</v>
      </c>
      <c r="U757" s="49" t="s">
        <v>32</v>
      </c>
    </row>
    <row r="758" spans="2:21" s="49" customFormat="1" ht="18.75" hidden="1" customHeight="1">
      <c r="B758" s="56"/>
      <c r="C758" s="57"/>
      <c r="D758" s="48">
        <v>46111</v>
      </c>
      <c r="E758" s="50" t="s">
        <v>1321</v>
      </c>
      <c r="F758" s="48"/>
      <c r="G758" s="48"/>
      <c r="H758" s="49" t="s">
        <v>29</v>
      </c>
      <c r="I758" s="51">
        <v>35171.43</v>
      </c>
      <c r="J758" s="51" t="s">
        <v>30</v>
      </c>
      <c r="K758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58" s="52"/>
      <c r="M758" s="58"/>
      <c r="N758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35171.43</v>
      </c>
      <c r="O758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46171</v>
      </c>
      <c r="P758" s="49" t="s">
        <v>25</v>
      </c>
      <c r="Q758" s="49" t="s">
        <v>477</v>
      </c>
      <c r="R758" s="94">
        <v>46154</v>
      </c>
      <c r="S758" s="59" t="s">
        <v>27</v>
      </c>
      <c r="U758" s="49" t="s">
        <v>32</v>
      </c>
    </row>
    <row r="759" spans="2:21" s="49" customFormat="1" ht="18.75" hidden="1" customHeight="1">
      <c r="B759" s="56"/>
      <c r="C759" s="57"/>
      <c r="D759" s="48">
        <v>46112</v>
      </c>
      <c r="E759" s="50" t="s">
        <v>1322</v>
      </c>
      <c r="F759" s="48"/>
      <c r="G759" s="48"/>
      <c r="H759" s="49" t="s">
        <v>29</v>
      </c>
      <c r="I759" s="51">
        <v>30927.08</v>
      </c>
      <c r="J759" s="51" t="s">
        <v>30</v>
      </c>
      <c r="K759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59" s="52"/>
      <c r="M759" s="58"/>
      <c r="N759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30927.08</v>
      </c>
      <c r="O759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46172</v>
      </c>
      <c r="P759" s="49" t="s">
        <v>25</v>
      </c>
      <c r="Q759" s="49" t="s">
        <v>705</v>
      </c>
      <c r="R759" s="94">
        <v>46154</v>
      </c>
      <c r="S759" s="59" t="s">
        <v>27</v>
      </c>
      <c r="U759" s="49" t="s">
        <v>32</v>
      </c>
    </row>
    <row r="760" spans="2:21" s="49" customFormat="1" ht="18.75" hidden="1" customHeight="1">
      <c r="B760" s="56"/>
      <c r="C760" s="57"/>
      <c r="D760" s="48">
        <v>46112</v>
      </c>
      <c r="E760" s="50" t="s">
        <v>1323</v>
      </c>
      <c r="F760" s="48"/>
      <c r="G760" s="48"/>
      <c r="H760" s="49" t="s">
        <v>29</v>
      </c>
      <c r="I760" s="51">
        <v>27883.59</v>
      </c>
      <c r="J760" s="51" t="s">
        <v>30</v>
      </c>
      <c r="K760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60" s="52"/>
      <c r="M760" s="58"/>
      <c r="N760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27883.59</v>
      </c>
      <c r="O760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46172</v>
      </c>
      <c r="P760" s="49" t="s">
        <v>25</v>
      </c>
      <c r="Q760" s="49" t="s">
        <v>705</v>
      </c>
      <c r="R760" s="94">
        <v>46154</v>
      </c>
      <c r="S760" s="59" t="s">
        <v>27</v>
      </c>
      <c r="U760" s="49" t="s">
        <v>32</v>
      </c>
    </row>
    <row r="761" spans="2:21" s="49" customFormat="1" ht="18.75" hidden="1" customHeight="1">
      <c r="B761" s="56"/>
      <c r="C761" s="57"/>
      <c r="D761" s="48">
        <v>46112</v>
      </c>
      <c r="E761" s="50" t="s">
        <v>1324</v>
      </c>
      <c r="F761" s="48"/>
      <c r="G761" s="48"/>
      <c r="H761" s="49" t="s">
        <v>29</v>
      </c>
      <c r="I761" s="51">
        <v>12923.61</v>
      </c>
      <c r="J761" s="51" t="s">
        <v>30</v>
      </c>
      <c r="K761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61" s="52"/>
      <c r="M761" s="58"/>
      <c r="N761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12923.61</v>
      </c>
      <c r="O761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46172</v>
      </c>
      <c r="P761" s="49" t="s">
        <v>25</v>
      </c>
      <c r="Q761" s="49" t="s">
        <v>1114</v>
      </c>
      <c r="R761" s="94">
        <v>46154</v>
      </c>
      <c r="S761" s="59" t="s">
        <v>27</v>
      </c>
      <c r="U761" s="49" t="s">
        <v>32</v>
      </c>
    </row>
    <row r="762" spans="2:21" s="49" customFormat="1" ht="18.75" hidden="1" customHeight="1">
      <c r="B762" s="56"/>
      <c r="C762" s="57"/>
      <c r="D762" s="48">
        <v>46112</v>
      </c>
      <c r="E762" s="50" t="s">
        <v>1325</v>
      </c>
      <c r="F762" s="48"/>
      <c r="G762" s="48"/>
      <c r="H762" s="49" t="s">
        <v>29</v>
      </c>
      <c r="I762" s="51">
        <v>5546.2</v>
      </c>
      <c r="J762" s="51" t="s">
        <v>30</v>
      </c>
      <c r="K762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62" s="52"/>
      <c r="M762" s="58"/>
      <c r="N762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5546.2</v>
      </c>
      <c r="O762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46172</v>
      </c>
      <c r="P762" s="49" t="s">
        <v>25</v>
      </c>
      <c r="Q762" s="49" t="s">
        <v>1015</v>
      </c>
      <c r="R762" s="94">
        <v>46154</v>
      </c>
      <c r="S762" s="59" t="s">
        <v>27</v>
      </c>
      <c r="U762" s="49" t="s">
        <v>32</v>
      </c>
    </row>
    <row r="763" spans="2:21" s="49" customFormat="1" ht="18.75" hidden="1" customHeight="1">
      <c r="B763" s="56"/>
      <c r="C763" s="57"/>
      <c r="D763" s="48">
        <v>46113</v>
      </c>
      <c r="E763" s="50" t="s">
        <v>1326</v>
      </c>
      <c r="F763" s="48"/>
      <c r="G763" s="48"/>
      <c r="H763" s="49" t="s">
        <v>29</v>
      </c>
      <c r="I763" s="51">
        <v>6419.94</v>
      </c>
      <c r="J763" s="51" t="s">
        <v>30</v>
      </c>
      <c r="K763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63" s="52"/>
      <c r="M763" s="58"/>
      <c r="N763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6419.94</v>
      </c>
      <c r="O763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46173</v>
      </c>
      <c r="P763" s="49" t="s">
        <v>25</v>
      </c>
      <c r="Q763" s="49" t="s">
        <v>1114</v>
      </c>
      <c r="R763" s="94">
        <v>46154</v>
      </c>
      <c r="S763" s="59" t="s">
        <v>27</v>
      </c>
      <c r="U763" s="49" t="s">
        <v>32</v>
      </c>
    </row>
    <row r="764" spans="2:21" s="49" customFormat="1" ht="18.75" hidden="1" customHeight="1">
      <c r="B764" s="56"/>
      <c r="C764" s="57"/>
      <c r="D764" s="48">
        <v>46113</v>
      </c>
      <c r="E764" s="50" t="s">
        <v>1327</v>
      </c>
      <c r="F764" s="48"/>
      <c r="G764" s="48"/>
      <c r="H764" s="49" t="s">
        <v>29</v>
      </c>
      <c r="I764" s="51">
        <v>34095</v>
      </c>
      <c r="J764" s="51" t="s">
        <v>30</v>
      </c>
      <c r="K764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64" s="52"/>
      <c r="M764" s="58"/>
      <c r="N764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34095</v>
      </c>
      <c r="O764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46173</v>
      </c>
      <c r="P764" s="49" t="s">
        <v>25</v>
      </c>
      <c r="Q764" s="49" t="s">
        <v>477</v>
      </c>
      <c r="R764" s="94">
        <v>46154</v>
      </c>
      <c r="S764" s="59" t="s">
        <v>27</v>
      </c>
      <c r="U764" s="49" t="s">
        <v>32</v>
      </c>
    </row>
    <row r="765" spans="2:21" s="49" customFormat="1" ht="18.75" hidden="1" customHeight="1">
      <c r="B765" s="56"/>
      <c r="C765" s="57"/>
      <c r="D765" s="48">
        <v>46113</v>
      </c>
      <c r="E765" s="50" t="s">
        <v>1328</v>
      </c>
      <c r="F765" s="48"/>
      <c r="G765" s="48"/>
      <c r="H765" s="49" t="s">
        <v>29</v>
      </c>
      <c r="I765" s="51">
        <v>32348.639999999999</v>
      </c>
      <c r="J765" s="51" t="s">
        <v>30</v>
      </c>
      <c r="K765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65" s="52"/>
      <c r="M765" s="58"/>
      <c r="N765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32348.639999999999</v>
      </c>
      <c r="O765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46173</v>
      </c>
      <c r="P765" s="49" t="s">
        <v>25</v>
      </c>
      <c r="Q765" s="49" t="s">
        <v>477</v>
      </c>
      <c r="R765" s="94">
        <v>46154</v>
      </c>
      <c r="S765" s="59" t="s">
        <v>27</v>
      </c>
      <c r="U765" s="49" t="s">
        <v>32</v>
      </c>
    </row>
    <row r="766" spans="2:21" s="49" customFormat="1" ht="18.75" hidden="1" customHeight="1">
      <c r="B766" s="56"/>
      <c r="C766" s="57"/>
      <c r="D766" s="48">
        <v>46113</v>
      </c>
      <c r="E766" s="50" t="s">
        <v>1329</v>
      </c>
      <c r="F766" s="48"/>
      <c r="G766" s="48"/>
      <c r="H766" s="49" t="s">
        <v>29</v>
      </c>
      <c r="I766" s="51">
        <v>18167.47</v>
      </c>
      <c r="J766" s="51" t="s">
        <v>30</v>
      </c>
      <c r="K766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66" s="52"/>
      <c r="M766" s="58"/>
      <c r="N766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18167.47</v>
      </c>
      <c r="O766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46173</v>
      </c>
      <c r="P766" s="49" t="s">
        <v>25</v>
      </c>
      <c r="Q766" s="49" t="s">
        <v>344</v>
      </c>
      <c r="R766" s="94">
        <v>46154</v>
      </c>
      <c r="S766" s="59" t="s">
        <v>27</v>
      </c>
      <c r="U766" s="49" t="s">
        <v>32</v>
      </c>
    </row>
    <row r="767" spans="2:21" s="49" customFormat="1" ht="18.75" hidden="1" customHeight="1">
      <c r="B767" s="56"/>
      <c r="C767" s="57"/>
      <c r="D767" s="48">
        <v>46113</v>
      </c>
      <c r="E767" s="50" t="s">
        <v>1330</v>
      </c>
      <c r="F767" s="48"/>
      <c r="G767" s="48"/>
      <c r="H767" s="49" t="s">
        <v>29</v>
      </c>
      <c r="I767" s="51">
        <v>21211.32</v>
      </c>
      <c r="J767" s="51" t="s">
        <v>30</v>
      </c>
      <c r="K767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67" s="52"/>
      <c r="M767" s="58"/>
      <c r="N767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21211.32</v>
      </c>
      <c r="O767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46173</v>
      </c>
      <c r="P767" s="49" t="s">
        <v>25</v>
      </c>
      <c r="Q767" s="49" t="s">
        <v>1114</v>
      </c>
      <c r="R767" s="94">
        <v>46154</v>
      </c>
      <c r="S767" s="59" t="s">
        <v>27</v>
      </c>
      <c r="U767" s="49" t="s">
        <v>32</v>
      </c>
    </row>
    <row r="768" spans="2:21" s="49" customFormat="1" ht="18.75" hidden="1" customHeight="1">
      <c r="B768" s="158"/>
      <c r="C768" s="159"/>
      <c r="D768" s="150">
        <v>46065</v>
      </c>
      <c r="E768" s="152" t="s">
        <v>1331</v>
      </c>
      <c r="F768" s="150"/>
      <c r="G768" s="150"/>
      <c r="H768" s="151" t="s">
        <v>1067</v>
      </c>
      <c r="I768" s="153">
        <v>23.97</v>
      </c>
      <c r="J768" s="153" t="s">
        <v>43</v>
      </c>
      <c r="K768" s="157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68" s="154"/>
      <c r="M768" s="160"/>
      <c r="N768" s="157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23.97</v>
      </c>
      <c r="O768" s="167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46065</v>
      </c>
      <c r="P768" s="151" t="s">
        <v>25</v>
      </c>
      <c r="Q768" s="151" t="s">
        <v>1332</v>
      </c>
      <c r="R768" s="150">
        <v>46062</v>
      </c>
      <c r="S768" s="155"/>
      <c r="T768" s="151"/>
      <c r="U768" s="151"/>
    </row>
    <row r="769" spans="2:21" s="49" customFormat="1" ht="18.75" hidden="1" customHeight="1">
      <c r="B769" s="56"/>
      <c r="C769" s="57"/>
      <c r="D769" s="48">
        <v>46113</v>
      </c>
      <c r="E769" s="50" t="s">
        <v>1333</v>
      </c>
      <c r="F769" s="48"/>
      <c r="G769" s="48"/>
      <c r="H769" s="49" t="s">
        <v>29</v>
      </c>
      <c r="I769" s="58">
        <v>37409.370000000003</v>
      </c>
      <c r="J769" s="58" t="s">
        <v>30</v>
      </c>
      <c r="K769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69" s="90"/>
      <c r="M769" s="58"/>
      <c r="N769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37409.370000000003</v>
      </c>
      <c r="O769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46173</v>
      </c>
      <c r="P769" s="49" t="s">
        <v>25</v>
      </c>
      <c r="Q769" s="49" t="s">
        <v>1114</v>
      </c>
      <c r="R769" s="48">
        <v>46154</v>
      </c>
      <c r="S769" s="59" t="s">
        <v>27</v>
      </c>
      <c r="U769" s="49" t="s">
        <v>32</v>
      </c>
    </row>
    <row r="770" spans="2:21" s="49" customFormat="1" ht="18.75" hidden="1" customHeight="1">
      <c r="B770" s="56"/>
      <c r="C770" s="57"/>
      <c r="D770" s="48">
        <v>46113</v>
      </c>
      <c r="E770" s="50" t="s">
        <v>1334</v>
      </c>
      <c r="F770" s="48"/>
      <c r="G770" s="48"/>
      <c r="H770" s="49" t="s">
        <v>29</v>
      </c>
      <c r="I770" s="58">
        <v>48196.959999999999</v>
      </c>
      <c r="J770" s="58" t="s">
        <v>30</v>
      </c>
      <c r="K770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70" s="90"/>
      <c r="M770" s="58"/>
      <c r="N770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48196.959999999999</v>
      </c>
      <c r="O770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46173</v>
      </c>
      <c r="P770" s="49" t="s">
        <v>25</v>
      </c>
      <c r="Q770" s="49" t="s">
        <v>477</v>
      </c>
      <c r="R770" s="48">
        <v>46154</v>
      </c>
      <c r="S770" s="59" t="s">
        <v>27</v>
      </c>
      <c r="U770" s="49" t="s">
        <v>32</v>
      </c>
    </row>
    <row r="771" spans="2:21" s="49" customFormat="1" ht="18.75" hidden="1" customHeight="1">
      <c r="B771" s="56"/>
      <c r="C771" s="57"/>
      <c r="D771" s="48">
        <v>46118</v>
      </c>
      <c r="E771" s="50" t="s">
        <v>1335</v>
      </c>
      <c r="F771" s="48"/>
      <c r="G771" s="48"/>
      <c r="H771" s="49" t="s">
        <v>29</v>
      </c>
      <c r="I771" s="51">
        <v>10989.1</v>
      </c>
      <c r="J771" s="51" t="s">
        <v>30</v>
      </c>
      <c r="K771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71" s="52"/>
      <c r="M771" s="58"/>
      <c r="N771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10989.1</v>
      </c>
      <c r="O771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46178</v>
      </c>
      <c r="P771" s="49" t="s">
        <v>25</v>
      </c>
      <c r="Q771" s="49" t="s">
        <v>1114</v>
      </c>
      <c r="R771" s="48">
        <v>46178</v>
      </c>
      <c r="S771" s="59" t="s">
        <v>27</v>
      </c>
      <c r="U771" s="49" t="s">
        <v>32</v>
      </c>
    </row>
    <row r="772" spans="2:21" s="49" customFormat="1" ht="18.75" hidden="1" customHeight="1">
      <c r="B772" s="56"/>
      <c r="C772" s="57"/>
      <c r="D772" s="48">
        <v>46118</v>
      </c>
      <c r="E772" s="50" t="s">
        <v>1336</v>
      </c>
      <c r="F772" s="48"/>
      <c r="G772" s="48"/>
      <c r="H772" s="49" t="s">
        <v>29</v>
      </c>
      <c r="I772" s="51">
        <v>29513.98</v>
      </c>
      <c r="J772" s="51" t="s">
        <v>30</v>
      </c>
      <c r="K772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72" s="52"/>
      <c r="M772" s="58"/>
      <c r="N772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29513.98</v>
      </c>
      <c r="O772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46178</v>
      </c>
      <c r="P772" s="49" t="s">
        <v>25</v>
      </c>
      <c r="Q772" s="49" t="s">
        <v>522</v>
      </c>
      <c r="R772" s="48">
        <v>46178</v>
      </c>
      <c r="S772" s="59" t="s">
        <v>27</v>
      </c>
      <c r="U772" s="49" t="s">
        <v>32</v>
      </c>
    </row>
    <row r="773" spans="2:21" s="49" customFormat="1" ht="18.75" hidden="1" customHeight="1">
      <c r="B773" s="56"/>
      <c r="C773" s="57"/>
      <c r="D773" s="48">
        <v>46119</v>
      </c>
      <c r="E773" s="50" t="s">
        <v>1337</v>
      </c>
      <c r="F773" s="48"/>
      <c r="G773" s="48"/>
      <c r="H773" s="49" t="s">
        <v>29</v>
      </c>
      <c r="I773" s="51">
        <v>32348.639999999999</v>
      </c>
      <c r="J773" s="51" t="s">
        <v>30</v>
      </c>
      <c r="K773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73" s="52"/>
      <c r="M773" s="58"/>
      <c r="N773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32348.639999999999</v>
      </c>
      <c r="O773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46179</v>
      </c>
      <c r="P773" s="49" t="s">
        <v>25</v>
      </c>
      <c r="Q773" s="49" t="s">
        <v>477</v>
      </c>
      <c r="R773" s="48">
        <v>46178</v>
      </c>
      <c r="S773" s="59" t="s">
        <v>27</v>
      </c>
      <c r="U773" s="49" t="s">
        <v>32</v>
      </c>
    </row>
    <row r="774" spans="2:21" s="49" customFormat="1" ht="18.75" hidden="1" customHeight="1">
      <c r="B774" s="56"/>
      <c r="C774" s="57"/>
      <c r="D774" s="48">
        <v>46120</v>
      </c>
      <c r="E774" s="50" t="s">
        <v>1338</v>
      </c>
      <c r="F774" s="48"/>
      <c r="G774" s="48"/>
      <c r="H774" s="49" t="s">
        <v>29</v>
      </c>
      <c r="I774" s="51">
        <v>37216.449999999997</v>
      </c>
      <c r="J774" s="51" t="s">
        <v>30</v>
      </c>
      <c r="K774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74" s="52"/>
      <c r="M774" s="58"/>
      <c r="N774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37216.449999999997</v>
      </c>
      <c r="O774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46180</v>
      </c>
      <c r="P774" s="49" t="s">
        <v>25</v>
      </c>
      <c r="Q774" s="49" t="s">
        <v>477</v>
      </c>
      <c r="R774" s="48">
        <v>46178</v>
      </c>
      <c r="S774" s="59" t="s">
        <v>27</v>
      </c>
      <c r="U774" s="49" t="s">
        <v>32</v>
      </c>
    </row>
    <row r="775" spans="2:21" ht="18.75" hidden="1" customHeight="1">
      <c r="B775" s="56"/>
      <c r="C775" s="57"/>
      <c r="D775" s="48">
        <v>46120</v>
      </c>
      <c r="E775" s="50" t="s">
        <v>1339</v>
      </c>
      <c r="F775" s="48"/>
      <c r="G775" s="48"/>
      <c r="H775" s="49" t="s">
        <v>29</v>
      </c>
      <c r="I775" s="51">
        <v>34062.61</v>
      </c>
      <c r="J775" s="51" t="s">
        <v>30</v>
      </c>
      <c r="K775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75" s="52"/>
      <c r="M775" s="58"/>
      <c r="N775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34062.61</v>
      </c>
      <c r="O775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46180</v>
      </c>
      <c r="P775" s="49" t="s">
        <v>25</v>
      </c>
      <c r="Q775" s="49" t="s">
        <v>477</v>
      </c>
      <c r="R775" s="48">
        <v>46178</v>
      </c>
      <c r="S775" s="59" t="s">
        <v>27</v>
      </c>
      <c r="T775" s="49"/>
      <c r="U775" s="49" t="s">
        <v>32</v>
      </c>
    </row>
    <row r="776" spans="2:21" ht="18.75" hidden="1" customHeight="1">
      <c r="B776" s="1"/>
      <c r="D776" s="1">
        <v>46037</v>
      </c>
      <c r="E776" s="29" t="s">
        <v>1340</v>
      </c>
      <c r="F776" s="1"/>
      <c r="G776" s="1"/>
      <c r="H776" t="s">
        <v>634</v>
      </c>
      <c r="I776" s="2">
        <v>322.3</v>
      </c>
      <c r="J776" s="2" t="s">
        <v>43</v>
      </c>
      <c r="K77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76" s="3"/>
      <c r="M776" s="11"/>
      <c r="N77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322.3</v>
      </c>
      <c r="O77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46037</v>
      </c>
      <c r="P776" t="s">
        <v>25</v>
      </c>
      <c r="Q776" t="s">
        <v>1341</v>
      </c>
      <c r="R776" s="1">
        <v>46059</v>
      </c>
      <c r="S776" t="s">
        <v>27</v>
      </c>
      <c r="T776" s="24"/>
    </row>
    <row r="777" spans="2:21" ht="18.75" hidden="1" customHeight="1">
      <c r="B777" s="1"/>
      <c r="D777" s="1">
        <v>46054</v>
      </c>
      <c r="E777" s="29"/>
      <c r="F777" s="1">
        <v>46058</v>
      </c>
      <c r="G777" s="1"/>
      <c r="H777" t="s">
        <v>155</v>
      </c>
      <c r="I777" s="2">
        <v>2000</v>
      </c>
      <c r="J777" s="2" t="s">
        <v>55</v>
      </c>
      <c r="K77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77" s="3"/>
      <c r="M777" s="11"/>
      <c r="N77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2000</v>
      </c>
      <c r="O77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46058</v>
      </c>
      <c r="P777" t="s">
        <v>25</v>
      </c>
      <c r="Q777" t="s">
        <v>1342</v>
      </c>
      <c r="R777" s="1">
        <v>46059</v>
      </c>
      <c r="S777" t="s">
        <v>27</v>
      </c>
      <c r="T777" s="24" t="s">
        <v>1055</v>
      </c>
    </row>
    <row r="778" spans="2:21" s="49" customFormat="1" ht="18.75" hidden="1" customHeight="1">
      <c r="B778" s="1"/>
      <c r="C778" s="7"/>
      <c r="D778" s="1">
        <v>46056</v>
      </c>
      <c r="E778" s="29" t="s">
        <v>1343</v>
      </c>
      <c r="F778" s="1"/>
      <c r="G778" s="1"/>
      <c r="H778" t="s">
        <v>1216</v>
      </c>
      <c r="I778" s="2">
        <v>4479.3599999999997</v>
      </c>
      <c r="J778" s="2" t="s">
        <v>43</v>
      </c>
      <c r="K77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78" s="3"/>
      <c r="M778" s="11"/>
      <c r="N77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4479.3599999999997</v>
      </c>
      <c r="O77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46056</v>
      </c>
      <c r="P778" t="s">
        <v>25</v>
      </c>
      <c r="Q778" t="s">
        <v>1344</v>
      </c>
      <c r="R778" s="1">
        <v>46059</v>
      </c>
      <c r="S778" t="s">
        <v>27</v>
      </c>
      <c r="T778" s="24"/>
      <c r="U778"/>
    </row>
    <row r="779" spans="2:21" ht="18.75" hidden="1" customHeight="1">
      <c r="B779" s="1"/>
      <c r="D779" s="1">
        <v>46052</v>
      </c>
      <c r="E779" s="34">
        <v>46052</v>
      </c>
      <c r="F779" s="1"/>
      <c r="G779" s="1"/>
      <c r="H779" t="s">
        <v>432</v>
      </c>
      <c r="I779" s="2">
        <v>2000</v>
      </c>
      <c r="J779" s="2" t="s">
        <v>43</v>
      </c>
      <c r="K77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79" s="3"/>
      <c r="M779" s="11"/>
      <c r="N77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2000</v>
      </c>
      <c r="O77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46052</v>
      </c>
      <c r="P779" t="s">
        <v>25</v>
      </c>
      <c r="Q779" s="24" t="s">
        <v>1345</v>
      </c>
      <c r="R779" s="1">
        <v>46059</v>
      </c>
      <c r="S779" t="s">
        <v>45</v>
      </c>
      <c r="T779" s="24"/>
    </row>
    <row r="780" spans="2:21" s="49" customFormat="1" ht="18.75" hidden="1" customHeight="1">
      <c r="B780" s="1"/>
      <c r="C780" s="7"/>
      <c r="D780" s="1">
        <v>46052</v>
      </c>
      <c r="E780" s="29" t="s">
        <v>1079</v>
      </c>
      <c r="F780" s="1"/>
      <c r="G780" s="1"/>
      <c r="H780" t="s">
        <v>1080</v>
      </c>
      <c r="I780" s="41">
        <v>12350</v>
      </c>
      <c r="J780" s="41" t="s">
        <v>43</v>
      </c>
      <c r="K78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80" s="43"/>
      <c r="M780" s="42"/>
      <c r="N78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12350</v>
      </c>
      <c r="O78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46052</v>
      </c>
      <c r="P780" t="s">
        <v>25</v>
      </c>
      <c r="Q780" t="s">
        <v>1346</v>
      </c>
      <c r="R780" s="1">
        <v>46059</v>
      </c>
      <c r="S780" t="s">
        <v>45</v>
      </c>
      <c r="T780" s="24"/>
      <c r="U780"/>
    </row>
    <row r="781" spans="2:21" s="49" customFormat="1" ht="18.75" hidden="1" customHeight="1">
      <c r="B781" s="1"/>
      <c r="C781" s="7"/>
      <c r="D781" s="1">
        <v>46031</v>
      </c>
      <c r="E781" s="29" t="s">
        <v>1347</v>
      </c>
      <c r="F781" s="40">
        <v>46058</v>
      </c>
      <c r="G781" s="40"/>
      <c r="H781" t="s">
        <v>162</v>
      </c>
      <c r="I781" s="2">
        <v>1300</v>
      </c>
      <c r="J781" s="2" t="s">
        <v>55</v>
      </c>
      <c r="K78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81" s="3"/>
      <c r="M781" s="11"/>
      <c r="N78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1300</v>
      </c>
      <c r="O78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46058</v>
      </c>
      <c r="P781" t="s">
        <v>25</v>
      </c>
      <c r="Q781" t="s">
        <v>1348</v>
      </c>
      <c r="R781" s="1">
        <v>46059</v>
      </c>
      <c r="S781" t="s">
        <v>27</v>
      </c>
      <c r="T781" s="24"/>
      <c r="U781"/>
    </row>
    <row r="782" spans="2:21" s="49" customFormat="1" ht="18.75" hidden="1" customHeight="1">
      <c r="B782" s="1"/>
      <c r="C782"/>
      <c r="D782" s="1">
        <v>46000</v>
      </c>
      <c r="E782" s="29" t="s">
        <v>1349</v>
      </c>
      <c r="F782" s="1"/>
      <c r="G782" s="1"/>
      <c r="H782" t="s">
        <v>108</v>
      </c>
      <c r="I782" s="2">
        <v>4156.2</v>
      </c>
      <c r="J782" s="2" t="s">
        <v>30</v>
      </c>
      <c r="K78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82" s="3"/>
      <c r="M782" s="11"/>
      <c r="N78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4156.2</v>
      </c>
      <c r="O78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46060</v>
      </c>
      <c r="P782" t="s">
        <v>25</v>
      </c>
      <c r="Q782" t="s">
        <v>514</v>
      </c>
      <c r="R782" s="1">
        <v>46059</v>
      </c>
      <c r="S782" t="s">
        <v>27</v>
      </c>
      <c r="T782" s="24"/>
      <c r="U782"/>
    </row>
    <row r="783" spans="2:21" s="49" customFormat="1" ht="18.75" hidden="1" customHeight="1">
      <c r="B783" s="56"/>
      <c r="C783" s="57"/>
      <c r="D783" s="48">
        <v>46139</v>
      </c>
      <c r="E783" s="50" t="s">
        <v>1350</v>
      </c>
      <c r="F783" s="48"/>
      <c r="G783" s="48"/>
      <c r="H783" s="49" t="s">
        <v>1046</v>
      </c>
      <c r="I783" s="51">
        <v>660</v>
      </c>
      <c r="J783" s="51" t="s">
        <v>43</v>
      </c>
      <c r="K78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83" s="52"/>
      <c r="M783" s="58"/>
      <c r="N78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660</v>
      </c>
      <c r="O78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46139</v>
      </c>
      <c r="P783" t="s">
        <v>25</v>
      </c>
      <c r="Q783" s="49" t="s">
        <v>1351</v>
      </c>
      <c r="R783" s="48">
        <v>46142</v>
      </c>
      <c r="S783" s="59" t="s">
        <v>45</v>
      </c>
      <c r="U783" s="49" t="s">
        <v>32</v>
      </c>
    </row>
    <row r="784" spans="2:21" s="49" customFormat="1" ht="18.75" hidden="1" customHeight="1">
      <c r="B784" s="56"/>
      <c r="C784" s="57"/>
      <c r="D784" s="48">
        <v>46139</v>
      </c>
      <c r="E784" s="50" t="s">
        <v>1352</v>
      </c>
      <c r="F784" s="48"/>
      <c r="G784" s="48"/>
      <c r="H784" s="49" t="s">
        <v>1046</v>
      </c>
      <c r="I784" s="51">
        <v>120</v>
      </c>
      <c r="J784" s="51" t="s">
        <v>43</v>
      </c>
      <c r="K78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84" s="52"/>
      <c r="M784" s="58"/>
      <c r="N78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78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46139</v>
      </c>
      <c r="P784" t="s">
        <v>25</v>
      </c>
      <c r="Q784" s="49" t="s">
        <v>1351</v>
      </c>
      <c r="R784" s="48">
        <v>46142</v>
      </c>
      <c r="S784" s="59" t="s">
        <v>45</v>
      </c>
      <c r="U784" s="49" t="s">
        <v>32</v>
      </c>
    </row>
    <row r="785" spans="2:21" s="49" customFormat="1" ht="18.75" hidden="1" customHeight="1">
      <c r="B785" s="56"/>
      <c r="C785" s="57"/>
      <c r="D785" s="48">
        <v>46139</v>
      </c>
      <c r="E785" s="50" t="s">
        <v>1353</v>
      </c>
      <c r="F785" s="48"/>
      <c r="G785" s="48"/>
      <c r="H785" s="49" t="s">
        <v>1046</v>
      </c>
      <c r="I785" s="51">
        <v>120</v>
      </c>
      <c r="J785" s="51" t="s">
        <v>43</v>
      </c>
      <c r="K78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85" s="52"/>
      <c r="M785" s="58"/>
      <c r="N78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78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46139</v>
      </c>
      <c r="P785" t="s">
        <v>25</v>
      </c>
      <c r="Q785" s="49" t="s">
        <v>1354</v>
      </c>
      <c r="R785" s="48">
        <v>46142</v>
      </c>
      <c r="S785" s="59" t="s">
        <v>45</v>
      </c>
      <c r="U785" s="49" t="s">
        <v>32</v>
      </c>
    </row>
    <row r="786" spans="2:21" s="49" customFormat="1" ht="18.75" hidden="1" customHeight="1">
      <c r="B786" s="56"/>
      <c r="C786" s="57"/>
      <c r="D786" s="48">
        <v>46139</v>
      </c>
      <c r="E786" s="50" t="s">
        <v>1355</v>
      </c>
      <c r="F786" s="48"/>
      <c r="G786" s="48"/>
      <c r="H786" s="49" t="s">
        <v>1046</v>
      </c>
      <c r="I786" s="51">
        <v>120</v>
      </c>
      <c r="J786" s="51" t="s">
        <v>43</v>
      </c>
      <c r="K78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86" s="52"/>
      <c r="M786" s="58"/>
      <c r="N78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78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46139</v>
      </c>
      <c r="P786" t="s">
        <v>25</v>
      </c>
      <c r="Q786" s="49" t="s">
        <v>1356</v>
      </c>
      <c r="R786" s="48">
        <v>46142</v>
      </c>
      <c r="S786" s="59" t="s">
        <v>45</v>
      </c>
      <c r="U786" s="49" t="s">
        <v>32</v>
      </c>
    </row>
    <row r="787" spans="2:21" s="49" customFormat="1" ht="18.75" hidden="1" customHeight="1">
      <c r="B787" s="56"/>
      <c r="C787" s="57"/>
      <c r="D787" s="48">
        <v>46121</v>
      </c>
      <c r="E787" s="50" t="s">
        <v>1357</v>
      </c>
      <c r="F787" s="48"/>
      <c r="G787" s="48"/>
      <c r="H787" s="49" t="s">
        <v>1046</v>
      </c>
      <c r="I787" s="66">
        <v>120</v>
      </c>
      <c r="J787" s="66" t="s">
        <v>43</v>
      </c>
      <c r="K78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87" s="67"/>
      <c r="M787" s="95"/>
      <c r="N78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78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46121</v>
      </c>
      <c r="P787" s="49" t="s">
        <v>25</v>
      </c>
      <c r="Q787" s="49" t="s">
        <v>193</v>
      </c>
      <c r="R787" s="48">
        <v>46128</v>
      </c>
      <c r="S787" s="59" t="s">
        <v>45</v>
      </c>
      <c r="U787" s="49" t="s">
        <v>32</v>
      </c>
    </row>
    <row r="788" spans="2:21" s="49" customFormat="1" ht="18.75" hidden="1" customHeight="1">
      <c r="B788" s="1"/>
      <c r="C788" s="7"/>
      <c r="D788" s="1">
        <v>46054</v>
      </c>
      <c r="E788" s="29" t="s">
        <v>739</v>
      </c>
      <c r="F788" s="1">
        <v>46058</v>
      </c>
      <c r="G788" s="1"/>
      <c r="H788" t="s">
        <v>148</v>
      </c>
      <c r="I788" s="2">
        <v>2702</v>
      </c>
      <c r="J788" s="2" t="s">
        <v>55</v>
      </c>
      <c r="K78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88" s="3"/>
      <c r="M788" s="11"/>
      <c r="N78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2702</v>
      </c>
      <c r="O78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46058</v>
      </c>
      <c r="P788" t="s">
        <v>25</v>
      </c>
      <c r="Q788" t="s">
        <v>1358</v>
      </c>
      <c r="R788" s="1">
        <v>46059</v>
      </c>
      <c r="S788" t="s">
        <v>27</v>
      </c>
      <c r="T788" s="24" t="s">
        <v>1359</v>
      </c>
      <c r="U788"/>
    </row>
    <row r="789" spans="2:21" s="49" customFormat="1" ht="18.75" hidden="1" customHeight="1">
      <c r="B789" s="1"/>
      <c r="C789" s="7"/>
      <c r="D789" s="1">
        <v>46083</v>
      </c>
      <c r="E789" s="29" t="s">
        <v>1360</v>
      </c>
      <c r="F789" s="1"/>
      <c r="G789" s="1"/>
      <c r="H789" t="s">
        <v>1153</v>
      </c>
      <c r="I789" s="2">
        <v>650</v>
      </c>
      <c r="J789" s="2" t="s">
        <v>43</v>
      </c>
      <c r="K78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89" s="3"/>
      <c r="M789" s="11"/>
      <c r="N78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650</v>
      </c>
      <c r="O78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46083</v>
      </c>
      <c r="P789" t="s">
        <v>25</v>
      </c>
      <c r="Q789" t="s">
        <v>1361</v>
      </c>
      <c r="R789" s="1">
        <v>46059</v>
      </c>
      <c r="S789" t="s">
        <v>27</v>
      </c>
      <c r="T789" s="24" t="s">
        <v>1362</v>
      </c>
      <c r="U789"/>
    </row>
    <row r="790" spans="2:21" s="49" customFormat="1" ht="18.75" customHeight="1">
      <c r="B790" s="56"/>
      <c r="C790" s="57"/>
      <c r="D790" s="48">
        <v>46135</v>
      </c>
      <c r="E790" s="50" t="s">
        <v>1363</v>
      </c>
      <c r="F790" s="48"/>
      <c r="G790" s="48"/>
      <c r="H790" s="49" t="s">
        <v>196</v>
      </c>
      <c r="I790" s="51">
        <v>658</v>
      </c>
      <c r="J790" s="51" t="s">
        <v>55</v>
      </c>
      <c r="K79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90" s="52"/>
      <c r="M790" s="58"/>
      <c r="N79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658</v>
      </c>
      <c r="O790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790" t="s">
        <v>25</v>
      </c>
      <c r="Q790" s="49" t="s">
        <v>1364</v>
      </c>
      <c r="R790" s="48">
        <v>46142</v>
      </c>
      <c r="S790" s="59" t="s">
        <v>45</v>
      </c>
      <c r="U790" s="49" t="s">
        <v>32</v>
      </c>
    </row>
    <row r="791" spans="2:21" s="49" customFormat="1" ht="18.75" hidden="1" customHeight="1">
      <c r="B791" s="1"/>
      <c r="C791"/>
      <c r="D791" s="1">
        <v>46036</v>
      </c>
      <c r="E791" s="29" t="s">
        <v>1365</v>
      </c>
      <c r="F791" s="1">
        <v>46021</v>
      </c>
      <c r="G791" s="1"/>
      <c r="H791" t="s">
        <v>54</v>
      </c>
      <c r="I791" s="2">
        <v>267</v>
      </c>
      <c r="J791" s="2" t="s">
        <v>55</v>
      </c>
      <c r="K79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91" s="3"/>
      <c r="M791" s="11"/>
      <c r="N79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267</v>
      </c>
      <c r="O79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46021</v>
      </c>
      <c r="P791" t="s">
        <v>25</v>
      </c>
      <c r="Q791" t="s">
        <v>1366</v>
      </c>
      <c r="R791"/>
      <c r="S791" t="s">
        <v>1367</v>
      </c>
      <c r="T791"/>
      <c r="U791" t="s">
        <v>32</v>
      </c>
    </row>
    <row r="792" spans="2:21" s="49" customFormat="1" ht="18.75" hidden="1" customHeight="1">
      <c r="B792" s="1"/>
      <c r="C792"/>
      <c r="D792" s="1">
        <v>46045</v>
      </c>
      <c r="E792" s="29" t="s">
        <v>1368</v>
      </c>
      <c r="F792" s="1"/>
      <c r="G792" s="1"/>
      <c r="H792" t="s">
        <v>54</v>
      </c>
      <c r="I792" s="2">
        <v>302.06</v>
      </c>
      <c r="J792" s="2" t="s">
        <v>55</v>
      </c>
      <c r="K79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92" s="3"/>
      <c r="M792" s="11"/>
      <c r="N79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302.06</v>
      </c>
      <c r="O792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792" t="s">
        <v>25</v>
      </c>
      <c r="Q792" s="9" t="s">
        <v>1369</v>
      </c>
      <c r="R792" s="1">
        <v>46044</v>
      </c>
      <c r="S792" t="s">
        <v>27</v>
      </c>
      <c r="T792"/>
      <c r="U792"/>
    </row>
    <row r="793" spans="2:21" s="49" customFormat="1" ht="18.75" hidden="1" customHeight="1">
      <c r="B793" s="56"/>
      <c r="C793" s="57"/>
      <c r="D793" s="48">
        <v>46057</v>
      </c>
      <c r="E793" s="50" t="s">
        <v>1370</v>
      </c>
      <c r="F793" s="48"/>
      <c r="G793" s="48"/>
      <c r="H793" s="49" t="s">
        <v>1067</v>
      </c>
      <c r="I793" s="51">
        <v>20.6</v>
      </c>
      <c r="J793" s="51" t="s">
        <v>43</v>
      </c>
      <c r="K79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93" s="52"/>
      <c r="M793" s="58"/>
      <c r="N79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20.6</v>
      </c>
      <c r="O79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46057</v>
      </c>
      <c r="P793" s="49" t="s">
        <v>25</v>
      </c>
      <c r="Q793" s="49" t="s">
        <v>1371</v>
      </c>
      <c r="R793" s="48">
        <v>46057</v>
      </c>
      <c r="S793" s="59"/>
    </row>
    <row r="794" spans="2:21" s="49" customFormat="1" ht="18.75" hidden="1" customHeight="1">
      <c r="B794" s="56"/>
      <c r="C794" s="57"/>
      <c r="D794" s="48">
        <v>46058</v>
      </c>
      <c r="E794" s="50" t="s">
        <v>1372</v>
      </c>
      <c r="F794" s="48"/>
      <c r="G794" s="48"/>
      <c r="H794" s="49" t="s">
        <v>1067</v>
      </c>
      <c r="I794" s="51">
        <v>34.9</v>
      </c>
      <c r="J794" s="51" t="s">
        <v>43</v>
      </c>
      <c r="K79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94" s="52"/>
      <c r="M794" s="58"/>
      <c r="N79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34.9</v>
      </c>
      <c r="O79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46058</v>
      </c>
      <c r="P794" s="49" t="s">
        <v>25</v>
      </c>
      <c r="Q794" s="49" t="s">
        <v>1373</v>
      </c>
      <c r="R794" s="48">
        <v>46057</v>
      </c>
      <c r="S794" s="59"/>
    </row>
    <row r="795" spans="2:21" s="49" customFormat="1" ht="18.75" hidden="1" customHeight="1">
      <c r="B795" s="56"/>
      <c r="C795" s="57"/>
      <c r="D795" s="48">
        <v>46085</v>
      </c>
      <c r="E795" s="50" t="s">
        <v>1374</v>
      </c>
      <c r="F795" s="48"/>
      <c r="G795" s="48"/>
      <c r="H795" s="49" t="s">
        <v>1067</v>
      </c>
      <c r="I795" s="51">
        <v>51.29</v>
      </c>
      <c r="J795" s="51" t="s">
        <v>43</v>
      </c>
      <c r="K79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95" s="52"/>
      <c r="M795" s="58"/>
      <c r="N79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51.29</v>
      </c>
      <c r="O79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46085</v>
      </c>
      <c r="P795" s="49" t="s">
        <v>25</v>
      </c>
      <c r="Q795" s="49" t="s">
        <v>1375</v>
      </c>
      <c r="R795" s="48">
        <v>46057</v>
      </c>
      <c r="S795" s="59"/>
    </row>
    <row r="796" spans="2:21" s="49" customFormat="1" ht="18.75" hidden="1" customHeight="1">
      <c r="B796" s="56"/>
      <c r="C796" s="57"/>
      <c r="D796" s="48">
        <v>46085</v>
      </c>
      <c r="E796" s="50"/>
      <c r="F796" s="48"/>
      <c r="G796" s="48"/>
      <c r="H796" s="49" t="s">
        <v>1064</v>
      </c>
      <c r="I796" s="51">
        <v>38.78</v>
      </c>
      <c r="J796" s="51" t="s">
        <v>43</v>
      </c>
      <c r="K79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96" s="52"/>
      <c r="M796" s="58"/>
      <c r="N79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38.78</v>
      </c>
      <c r="O79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46085</v>
      </c>
      <c r="P796" s="49" t="s">
        <v>25</v>
      </c>
      <c r="Q796" s="49" t="s">
        <v>1376</v>
      </c>
      <c r="R796" s="48">
        <v>46057</v>
      </c>
      <c r="S796" s="59"/>
    </row>
    <row r="797" spans="2:21" s="49" customFormat="1" ht="18.75" hidden="1" customHeight="1">
      <c r="B797" s="56"/>
      <c r="C797" s="57"/>
      <c r="D797" s="48">
        <v>46056</v>
      </c>
      <c r="E797" s="50" t="s">
        <v>1377</v>
      </c>
      <c r="F797" s="48"/>
      <c r="G797" s="48"/>
      <c r="H797" s="49" t="s">
        <v>1067</v>
      </c>
      <c r="I797" s="51">
        <v>37.04</v>
      </c>
      <c r="J797" s="51" t="s">
        <v>43</v>
      </c>
      <c r="K79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97" s="52"/>
      <c r="M797" s="58"/>
      <c r="N79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37.04</v>
      </c>
      <c r="O79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46056</v>
      </c>
      <c r="P797" s="49" t="s">
        <v>25</v>
      </c>
      <c r="Q797" s="49" t="s">
        <v>1378</v>
      </c>
      <c r="R797" s="48">
        <v>46056</v>
      </c>
      <c r="S797" s="59"/>
    </row>
    <row r="798" spans="2:21" s="49" customFormat="1" ht="18.75" hidden="1" customHeight="1">
      <c r="B798" s="56"/>
      <c r="C798" s="57"/>
      <c r="D798" s="48">
        <v>46058</v>
      </c>
      <c r="E798" s="50" t="s">
        <v>1379</v>
      </c>
      <c r="F798" s="48"/>
      <c r="G798" s="48"/>
      <c r="H798" s="49" t="s">
        <v>1067</v>
      </c>
      <c r="I798" s="51">
        <v>36.82</v>
      </c>
      <c r="J798" s="51" t="s">
        <v>43</v>
      </c>
      <c r="K79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98" s="52"/>
      <c r="M798" s="58"/>
      <c r="N79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36.82</v>
      </c>
      <c r="O79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46058</v>
      </c>
      <c r="P798" s="49" t="s">
        <v>25</v>
      </c>
      <c r="Q798" s="49" t="s">
        <v>1380</v>
      </c>
      <c r="R798" s="48">
        <v>46056</v>
      </c>
      <c r="S798" s="59"/>
    </row>
    <row r="799" spans="2:21" s="49" customFormat="1" ht="18.75" hidden="1" customHeight="1">
      <c r="B799" s="56"/>
      <c r="C799" s="57"/>
      <c r="D799" s="48">
        <v>46120</v>
      </c>
      <c r="E799" s="50" t="s">
        <v>1381</v>
      </c>
      <c r="F799" s="48"/>
      <c r="G799" s="48"/>
      <c r="H799" s="49" t="s">
        <v>29</v>
      </c>
      <c r="I799" s="51">
        <v>31553.15</v>
      </c>
      <c r="J799" s="51" t="s">
        <v>30</v>
      </c>
      <c r="K799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799" s="52"/>
      <c r="M799" s="58"/>
      <c r="N799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31553.15</v>
      </c>
      <c r="O799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46180</v>
      </c>
      <c r="P799" s="49" t="s">
        <v>25</v>
      </c>
      <c r="Q799" s="49" t="s">
        <v>899</v>
      </c>
      <c r="R799" s="48">
        <v>46178</v>
      </c>
      <c r="S799" s="59" t="s">
        <v>27</v>
      </c>
      <c r="U799" s="49" t="s">
        <v>32</v>
      </c>
    </row>
    <row r="800" spans="2:21" s="49" customFormat="1" ht="18.75" hidden="1" customHeight="1">
      <c r="B800" s="56"/>
      <c r="C800" s="57"/>
      <c r="D800" s="48">
        <v>46120</v>
      </c>
      <c r="E800" s="50" t="s">
        <v>1382</v>
      </c>
      <c r="F800" s="48"/>
      <c r="G800" s="48"/>
      <c r="H800" s="49" t="s">
        <v>29</v>
      </c>
      <c r="I800" s="51">
        <v>35793.96</v>
      </c>
      <c r="J800" s="51" t="s">
        <v>30</v>
      </c>
      <c r="K800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00" s="52"/>
      <c r="M800" s="58"/>
      <c r="N800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35793.96</v>
      </c>
      <c r="O800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46180</v>
      </c>
      <c r="P800" s="49" t="s">
        <v>25</v>
      </c>
      <c r="Q800" s="49" t="s">
        <v>235</v>
      </c>
      <c r="R800" s="48">
        <v>46178</v>
      </c>
      <c r="S800" s="59" t="s">
        <v>27</v>
      </c>
      <c r="U800" s="49" t="s">
        <v>32</v>
      </c>
    </row>
    <row r="801" spans="2:21" s="49" customFormat="1" ht="18.75" hidden="1" customHeight="1">
      <c r="B801" s="56"/>
      <c r="C801" s="57"/>
      <c r="D801" s="48">
        <v>46121</v>
      </c>
      <c r="E801" s="50" t="s">
        <v>1383</v>
      </c>
      <c r="F801" s="48"/>
      <c r="G801" s="48"/>
      <c r="H801" s="49" t="s">
        <v>29</v>
      </c>
      <c r="I801" s="51">
        <v>29510.98</v>
      </c>
      <c r="J801" s="51" t="s">
        <v>30</v>
      </c>
      <c r="K801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01" s="52"/>
      <c r="M801" s="58"/>
      <c r="N801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29510.98</v>
      </c>
      <c r="O801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46181</v>
      </c>
      <c r="P801" s="49" t="s">
        <v>25</v>
      </c>
      <c r="Q801" s="49" t="s">
        <v>477</v>
      </c>
      <c r="R801" s="48">
        <v>46178</v>
      </c>
      <c r="S801" s="59" t="s">
        <v>27</v>
      </c>
      <c r="U801" s="49" t="s">
        <v>32</v>
      </c>
    </row>
    <row r="802" spans="2:21" s="49" customFormat="1" ht="18.75" hidden="1" customHeight="1">
      <c r="B802" s="56"/>
      <c r="C802" s="57"/>
      <c r="D802" s="48">
        <v>46122</v>
      </c>
      <c r="E802" s="50" t="s">
        <v>1384</v>
      </c>
      <c r="F802" s="48"/>
      <c r="G802" s="48"/>
      <c r="H802" s="49" t="s">
        <v>29</v>
      </c>
      <c r="I802" s="51">
        <v>32915.64</v>
      </c>
      <c r="J802" s="51" t="s">
        <v>30</v>
      </c>
      <c r="K802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02" s="52"/>
      <c r="M802" s="58"/>
      <c r="N802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32915.64</v>
      </c>
      <c r="O802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46182</v>
      </c>
      <c r="P802" s="49" t="s">
        <v>25</v>
      </c>
      <c r="Q802" s="49" t="s">
        <v>477</v>
      </c>
      <c r="R802" s="48">
        <v>46178</v>
      </c>
      <c r="S802" s="59" t="s">
        <v>27</v>
      </c>
      <c r="U802" s="49" t="s">
        <v>32</v>
      </c>
    </row>
    <row r="803" spans="2:21" s="49" customFormat="1" ht="18.75" hidden="1" customHeight="1">
      <c r="B803" s="56"/>
      <c r="C803" s="57"/>
      <c r="D803" s="48">
        <v>46127</v>
      </c>
      <c r="E803" s="50" t="s">
        <v>1385</v>
      </c>
      <c r="F803" s="48"/>
      <c r="G803" s="48"/>
      <c r="H803" s="49" t="s">
        <v>29</v>
      </c>
      <c r="I803" s="51">
        <v>-4994.72</v>
      </c>
      <c r="J803" s="51" t="s">
        <v>30</v>
      </c>
      <c r="K803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03" s="52"/>
      <c r="M803" s="58"/>
      <c r="N803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-4994.72</v>
      </c>
      <c r="O803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46187</v>
      </c>
      <c r="P803" s="49" t="s">
        <v>25</v>
      </c>
      <c r="Q803" s="49" t="s">
        <v>1386</v>
      </c>
      <c r="R803" s="48"/>
      <c r="S803" s="59"/>
      <c r="U803" s="49" t="s">
        <v>32</v>
      </c>
    </row>
    <row r="804" spans="2:21" s="49" customFormat="1" ht="18.75" hidden="1" customHeight="1">
      <c r="B804" s="56"/>
      <c r="C804" s="57"/>
      <c r="D804" s="48">
        <v>46127</v>
      </c>
      <c r="E804" s="50" t="s">
        <v>1387</v>
      </c>
      <c r="F804" s="48"/>
      <c r="G804" s="48"/>
      <c r="H804" s="49" t="s">
        <v>29</v>
      </c>
      <c r="I804" s="51">
        <v>27549.919999999998</v>
      </c>
      <c r="J804" s="51" t="s">
        <v>30</v>
      </c>
      <c r="K804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04" s="52"/>
      <c r="M804" s="58"/>
      <c r="N804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27549.919999999998</v>
      </c>
      <c r="O804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46187</v>
      </c>
      <c r="P804" s="49" t="s">
        <v>25</v>
      </c>
      <c r="Q804" s="49" t="s">
        <v>711</v>
      </c>
      <c r="R804" s="48">
        <v>46184</v>
      </c>
      <c r="S804" s="59" t="s">
        <v>27</v>
      </c>
      <c r="U804" s="49" t="s">
        <v>32</v>
      </c>
    </row>
    <row r="805" spans="2:21" s="49" customFormat="1" ht="18.75" hidden="1" customHeight="1">
      <c r="B805" s="1"/>
      <c r="C805"/>
      <c r="D805" s="1">
        <v>46042</v>
      </c>
      <c r="E805" s="29">
        <v>6002000411</v>
      </c>
      <c r="F805" s="1">
        <v>46051</v>
      </c>
      <c r="G805" s="1"/>
      <c r="H805" t="s">
        <v>557</v>
      </c>
      <c r="I805" s="2">
        <v>12919.79</v>
      </c>
      <c r="J805" s="2" t="s">
        <v>43</v>
      </c>
      <c r="K80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05" s="3"/>
      <c r="M805" s="11"/>
      <c r="N80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12919.79</v>
      </c>
      <c r="O80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46042</v>
      </c>
      <c r="P805" t="s">
        <v>25</v>
      </c>
      <c r="Q805" t="s">
        <v>1388</v>
      </c>
      <c r="R805" s="1">
        <v>46051</v>
      </c>
      <c r="S805" t="s">
        <v>27</v>
      </c>
      <c r="T805"/>
      <c r="U805"/>
    </row>
    <row r="806" spans="2:21" s="49" customFormat="1" ht="18.75" hidden="1" customHeight="1">
      <c r="B806" s="1">
        <v>46010</v>
      </c>
      <c r="C806" s="7" t="s">
        <v>1389</v>
      </c>
      <c r="D806" s="1"/>
      <c r="E806" s="29"/>
      <c r="F806" s="1">
        <v>46051</v>
      </c>
      <c r="G806" s="1"/>
      <c r="H806" t="s">
        <v>862</v>
      </c>
      <c r="I806" s="2">
        <v>870</v>
      </c>
      <c r="J806" s="2" t="s">
        <v>55</v>
      </c>
      <c r="K80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06" s="3"/>
      <c r="M806" s="11"/>
      <c r="N80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870</v>
      </c>
      <c r="O80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46051</v>
      </c>
      <c r="P806" t="s">
        <v>25</v>
      </c>
      <c r="Q806"/>
      <c r="R806" s="1">
        <v>46051</v>
      </c>
      <c r="S806" t="s">
        <v>1390</v>
      </c>
      <c r="T806"/>
      <c r="U806"/>
    </row>
    <row r="807" spans="2:21" s="49" customFormat="1" ht="18.75" hidden="1" customHeight="1">
      <c r="B807" s="48">
        <v>46045</v>
      </c>
      <c r="C807" s="57" t="s">
        <v>1391</v>
      </c>
      <c r="D807" s="48">
        <v>46045</v>
      </c>
      <c r="E807" s="50" t="s">
        <v>1391</v>
      </c>
      <c r="F807" s="48">
        <v>46051</v>
      </c>
      <c r="G807" s="48"/>
      <c r="H807" s="49" t="s">
        <v>862</v>
      </c>
      <c r="I807" s="51">
        <v>4960</v>
      </c>
      <c r="J807" s="51" t="s">
        <v>55</v>
      </c>
      <c r="K80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07" s="52"/>
      <c r="M807" s="58"/>
      <c r="N80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4960</v>
      </c>
      <c r="O80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46051</v>
      </c>
      <c r="P807" s="49" t="s">
        <v>25</v>
      </c>
      <c r="R807" s="48">
        <v>46051</v>
      </c>
      <c r="S807" s="49" t="s">
        <v>1390</v>
      </c>
    </row>
    <row r="808" spans="2:21" s="49" customFormat="1" ht="18.75" hidden="1" customHeight="1">
      <c r="B808" s="1"/>
      <c r="C808"/>
      <c r="D808" s="1">
        <v>45991</v>
      </c>
      <c r="E808" s="29" t="s">
        <v>1392</v>
      </c>
      <c r="F808" s="1"/>
      <c r="G808" s="1"/>
      <c r="H808" t="s">
        <v>108</v>
      </c>
      <c r="I808" s="2">
        <v>13216.2</v>
      </c>
      <c r="J808" s="2" t="s">
        <v>30</v>
      </c>
      <c r="K80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08" s="3"/>
      <c r="M808" s="11"/>
      <c r="N80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13216.2</v>
      </c>
      <c r="O80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46051</v>
      </c>
      <c r="P808" t="s">
        <v>25</v>
      </c>
      <c r="Q808" t="s">
        <v>492</v>
      </c>
      <c r="R808" s="1">
        <v>46051</v>
      </c>
      <c r="S808" t="s">
        <v>27</v>
      </c>
      <c r="T808" s="24"/>
      <c r="U808"/>
    </row>
    <row r="809" spans="2:21" s="49" customFormat="1" ht="18.75" hidden="1" customHeight="1">
      <c r="B809" s="56"/>
      <c r="C809" s="57"/>
      <c r="D809" s="48">
        <v>46121</v>
      </c>
      <c r="E809" s="50" t="s">
        <v>1393</v>
      </c>
      <c r="F809" s="48"/>
      <c r="G809" s="48"/>
      <c r="H809" s="49" t="s">
        <v>1046</v>
      </c>
      <c r="I809" s="51">
        <v>296.39999999999998</v>
      </c>
      <c r="J809" s="51" t="s">
        <v>43</v>
      </c>
      <c r="K80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09" s="52"/>
      <c r="M809" s="58"/>
      <c r="N80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296.39999999999998</v>
      </c>
      <c r="O80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46121</v>
      </c>
      <c r="P809" s="49" t="s">
        <v>25</v>
      </c>
      <c r="Q809" s="49" t="s">
        <v>700</v>
      </c>
      <c r="R809" s="48">
        <v>46128</v>
      </c>
      <c r="S809" s="59" t="s">
        <v>45</v>
      </c>
      <c r="U809" s="49" t="s">
        <v>32</v>
      </c>
    </row>
    <row r="810" spans="2:21" s="151" customFormat="1" ht="18.75" hidden="1" customHeight="1">
      <c r="B810" s="56"/>
      <c r="C810" s="57"/>
      <c r="D810" s="48">
        <v>46122</v>
      </c>
      <c r="E810" s="50" t="s">
        <v>1394</v>
      </c>
      <c r="F810" s="48"/>
      <c r="G810" s="48"/>
      <c r="H810" s="49" t="s">
        <v>1046</v>
      </c>
      <c r="I810" s="51">
        <v>120</v>
      </c>
      <c r="J810" s="51" t="s">
        <v>43</v>
      </c>
      <c r="K81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10" s="52"/>
      <c r="M810" s="58"/>
      <c r="N81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81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46122</v>
      </c>
      <c r="P810" s="49" t="s">
        <v>25</v>
      </c>
      <c r="Q810" s="49" t="s">
        <v>1395</v>
      </c>
      <c r="R810" s="48">
        <v>46128</v>
      </c>
      <c r="S810" s="59" t="s">
        <v>45</v>
      </c>
      <c r="T810" s="49"/>
      <c r="U810" s="49" t="s">
        <v>32</v>
      </c>
    </row>
    <row r="811" spans="2:21" s="49" customFormat="1" ht="18.75" hidden="1" customHeight="1">
      <c r="B811" s="56"/>
      <c r="C811" s="57"/>
      <c r="D811" s="48">
        <v>46122</v>
      </c>
      <c r="E811" s="50" t="s">
        <v>1396</v>
      </c>
      <c r="F811" s="48"/>
      <c r="G811" s="48"/>
      <c r="H811" s="49" t="s">
        <v>1046</v>
      </c>
      <c r="I811" s="51">
        <v>120</v>
      </c>
      <c r="J811" s="51" t="s">
        <v>43</v>
      </c>
      <c r="K81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11" s="52"/>
      <c r="M811" s="58"/>
      <c r="N81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81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46122</v>
      </c>
      <c r="P811" s="49" t="s">
        <v>25</v>
      </c>
      <c r="Q811" s="49" t="s">
        <v>1397</v>
      </c>
      <c r="R811" s="48">
        <v>46128</v>
      </c>
      <c r="S811" s="59" t="s">
        <v>45</v>
      </c>
      <c r="U811" s="49" t="s">
        <v>32</v>
      </c>
    </row>
    <row r="812" spans="2:21" s="60" customFormat="1" ht="18.75" hidden="1" customHeight="1">
      <c r="B812" s="56"/>
      <c r="C812" s="57"/>
      <c r="D812" s="48">
        <v>46122</v>
      </c>
      <c r="E812" s="50" t="s">
        <v>1398</v>
      </c>
      <c r="F812" s="48"/>
      <c r="G812" s="48"/>
      <c r="H812" s="49" t="s">
        <v>1046</v>
      </c>
      <c r="I812" s="51">
        <v>120</v>
      </c>
      <c r="J812" s="51" t="s">
        <v>43</v>
      </c>
      <c r="K81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12" s="52"/>
      <c r="M812" s="58"/>
      <c r="N81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81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46122</v>
      </c>
      <c r="P812" s="49" t="s">
        <v>25</v>
      </c>
      <c r="Q812" s="49" t="s">
        <v>1399</v>
      </c>
      <c r="R812" s="48">
        <v>46128</v>
      </c>
      <c r="S812" s="59" t="s">
        <v>45</v>
      </c>
      <c r="T812" s="49"/>
      <c r="U812" s="49" t="s">
        <v>32</v>
      </c>
    </row>
    <row r="813" spans="2:21" s="49" customFormat="1" ht="18.75" hidden="1" customHeight="1">
      <c r="B813" s="56"/>
      <c r="C813" s="57"/>
      <c r="D813" s="48">
        <v>46122</v>
      </c>
      <c r="E813" s="50" t="s">
        <v>1400</v>
      </c>
      <c r="F813" s="48"/>
      <c r="G813" s="48"/>
      <c r="H813" s="49" t="s">
        <v>1046</v>
      </c>
      <c r="I813" s="51">
        <v>120</v>
      </c>
      <c r="J813" s="51" t="s">
        <v>43</v>
      </c>
      <c r="K81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13" s="52"/>
      <c r="M813" s="58"/>
      <c r="N81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81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46122</v>
      </c>
      <c r="P813" s="49" t="s">
        <v>25</v>
      </c>
      <c r="Q813" s="49" t="s">
        <v>1401</v>
      </c>
      <c r="R813" s="48">
        <v>46128</v>
      </c>
      <c r="S813" s="59" t="s">
        <v>45</v>
      </c>
      <c r="U813" s="49" t="s">
        <v>32</v>
      </c>
    </row>
    <row r="814" spans="2:21" s="49" customFormat="1" ht="18.75" hidden="1" customHeight="1">
      <c r="B814" s="56"/>
      <c r="C814" s="57"/>
      <c r="D814" s="48">
        <v>46122</v>
      </c>
      <c r="E814" s="50" t="s">
        <v>1402</v>
      </c>
      <c r="F814" s="48"/>
      <c r="G814" s="48"/>
      <c r="H814" s="49" t="s">
        <v>1046</v>
      </c>
      <c r="I814" s="51">
        <v>120</v>
      </c>
      <c r="J814" s="51" t="s">
        <v>43</v>
      </c>
      <c r="K81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14" s="52"/>
      <c r="M814" s="58"/>
      <c r="N81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81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46122</v>
      </c>
      <c r="P814" s="49" t="s">
        <v>25</v>
      </c>
      <c r="Q814" s="49" t="s">
        <v>1403</v>
      </c>
      <c r="R814" s="48">
        <v>46128</v>
      </c>
      <c r="S814" s="59" t="s">
        <v>45</v>
      </c>
      <c r="U814" s="49" t="s">
        <v>32</v>
      </c>
    </row>
    <row r="815" spans="2:21" s="49" customFormat="1" ht="18.75" hidden="1" customHeight="1">
      <c r="B815" s="56"/>
      <c r="C815" s="57"/>
      <c r="D815" s="48">
        <v>46122</v>
      </c>
      <c r="E815" s="50" t="s">
        <v>1404</v>
      </c>
      <c r="F815" s="48"/>
      <c r="G815" s="48"/>
      <c r="H815" s="49" t="s">
        <v>1046</v>
      </c>
      <c r="I815" s="51">
        <v>660</v>
      </c>
      <c r="J815" s="51" t="s">
        <v>43</v>
      </c>
      <c r="K81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15" s="52"/>
      <c r="M815" s="58"/>
      <c r="N81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660</v>
      </c>
      <c r="O81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46122</v>
      </c>
      <c r="P815" s="49" t="s">
        <v>25</v>
      </c>
      <c r="Q815" s="49" t="s">
        <v>193</v>
      </c>
      <c r="R815" s="48">
        <v>46128</v>
      </c>
      <c r="S815" s="59" t="s">
        <v>45</v>
      </c>
      <c r="U815" s="49" t="s">
        <v>32</v>
      </c>
    </row>
    <row r="816" spans="2:21" s="49" customFormat="1" ht="18.75" hidden="1" customHeight="1">
      <c r="B816" s="56"/>
      <c r="C816" s="57"/>
      <c r="D816" s="48">
        <v>46122</v>
      </c>
      <c r="E816" s="50" t="s">
        <v>1405</v>
      </c>
      <c r="F816" s="48"/>
      <c r="G816" s="48"/>
      <c r="H816" s="49" t="s">
        <v>1046</v>
      </c>
      <c r="I816" s="51">
        <v>120</v>
      </c>
      <c r="J816" s="51" t="s">
        <v>43</v>
      </c>
      <c r="K81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16" s="52"/>
      <c r="M816" s="58"/>
      <c r="N81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81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46122</v>
      </c>
      <c r="P816" s="49" t="s">
        <v>25</v>
      </c>
      <c r="Q816" s="49" t="s">
        <v>1406</v>
      </c>
      <c r="R816" s="48">
        <v>46128</v>
      </c>
      <c r="S816" s="59" t="s">
        <v>45</v>
      </c>
      <c r="U816" s="49" t="s">
        <v>32</v>
      </c>
    </row>
    <row r="817" spans="2:21" s="49" customFormat="1" ht="18.75" hidden="1" customHeight="1">
      <c r="B817" s="56"/>
      <c r="C817" s="57"/>
      <c r="D817" s="48">
        <v>46122</v>
      </c>
      <c r="E817" s="50" t="s">
        <v>1407</v>
      </c>
      <c r="F817" s="48"/>
      <c r="G817" s="48"/>
      <c r="H817" s="49" t="s">
        <v>1046</v>
      </c>
      <c r="I817" s="51">
        <v>120</v>
      </c>
      <c r="J817" s="51" t="s">
        <v>43</v>
      </c>
      <c r="K81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17" s="52"/>
      <c r="M817" s="58"/>
      <c r="N81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81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46122</v>
      </c>
      <c r="P817" s="49" t="s">
        <v>25</v>
      </c>
      <c r="Q817" s="49" t="s">
        <v>1408</v>
      </c>
      <c r="R817" s="48">
        <v>46128</v>
      </c>
      <c r="S817" s="59" t="s">
        <v>45</v>
      </c>
      <c r="U817" s="49" t="s">
        <v>32</v>
      </c>
    </row>
    <row r="818" spans="2:21" s="49" customFormat="1" ht="18.75" hidden="1" customHeight="1">
      <c r="B818" s="56">
        <v>46146</v>
      </c>
      <c r="C818" s="57" t="s">
        <v>1409</v>
      </c>
      <c r="D818" s="48">
        <v>46156</v>
      </c>
      <c r="E818" s="50">
        <v>545</v>
      </c>
      <c r="F818" s="48"/>
      <c r="G818" s="48"/>
      <c r="H818" s="49" t="s">
        <v>301</v>
      </c>
      <c r="I818" s="51">
        <v>146.4</v>
      </c>
      <c r="J818" s="51" t="s">
        <v>55</v>
      </c>
      <c r="K81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18" s="52"/>
      <c r="M818" s="58"/>
      <c r="N81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146.4</v>
      </c>
      <c r="O818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818" s="49" t="s">
        <v>25</v>
      </c>
      <c r="Q818" s="49" t="s">
        <v>232</v>
      </c>
      <c r="R818" s="48">
        <v>46156</v>
      </c>
      <c r="S818" s="59" t="s">
        <v>45</v>
      </c>
      <c r="U818" s="49" t="s">
        <v>32</v>
      </c>
    </row>
    <row r="819" spans="2:21" s="49" customFormat="1" ht="18.75" hidden="1" customHeight="1">
      <c r="B819" s="14"/>
      <c r="C819" s="18"/>
      <c r="D819" s="14"/>
      <c r="E819" s="32"/>
      <c r="F819" s="14">
        <v>46051</v>
      </c>
      <c r="G819" s="14"/>
      <c r="H819" s="15" t="s">
        <v>145</v>
      </c>
      <c r="I819" s="16">
        <f>9600+284.25</f>
        <v>9884.25</v>
      </c>
      <c r="J819" s="16" t="s">
        <v>55</v>
      </c>
      <c r="K81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19" s="17"/>
      <c r="M819" s="16"/>
      <c r="N81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9884.25</v>
      </c>
      <c r="O81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46051</v>
      </c>
      <c r="P819" s="15" t="s">
        <v>25</v>
      </c>
      <c r="Q819" s="46" t="s">
        <v>1410</v>
      </c>
      <c r="R819" s="14">
        <v>46051</v>
      </c>
      <c r="S819" s="15" t="s">
        <v>27</v>
      </c>
      <c r="T819" s="15"/>
      <c r="U819" s="15"/>
    </row>
    <row r="820" spans="2:21" s="49" customFormat="1" ht="18.75" hidden="1" customHeight="1">
      <c r="B820" s="1"/>
      <c r="C820"/>
      <c r="D820" s="1">
        <v>46022</v>
      </c>
      <c r="E820" s="29" t="s">
        <v>1411</v>
      </c>
      <c r="F820" s="1">
        <v>46051</v>
      </c>
      <c r="G820" s="1"/>
      <c r="H820" t="s">
        <v>329</v>
      </c>
      <c r="I820" s="2">
        <v>2750</v>
      </c>
      <c r="J820" s="2" t="s">
        <v>55</v>
      </c>
      <c r="K82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20" s="3"/>
      <c r="M820" s="11"/>
      <c r="N82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2750</v>
      </c>
      <c r="O82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46051</v>
      </c>
      <c r="P820" s="252" t="s">
        <v>25</v>
      </c>
      <c r="Q820" t="s">
        <v>1412</v>
      </c>
      <c r="R820" s="1">
        <v>46051</v>
      </c>
      <c r="S820" t="s">
        <v>27</v>
      </c>
      <c r="T820"/>
      <c r="U820"/>
    </row>
    <row r="821" spans="2:21" ht="18.75" hidden="1" customHeight="1">
      <c r="B821" s="1"/>
      <c r="C821"/>
      <c r="D821" s="1">
        <v>46022</v>
      </c>
      <c r="E821" s="29" t="s">
        <v>1413</v>
      </c>
      <c r="F821" s="1">
        <v>46051</v>
      </c>
      <c r="G821" s="1"/>
      <c r="H821" t="s">
        <v>329</v>
      </c>
      <c r="I821" s="2">
        <v>278.2</v>
      </c>
      <c r="J821" s="2" t="s">
        <v>55</v>
      </c>
      <c r="K82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21" s="3"/>
      <c r="M821" s="11"/>
      <c r="N82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278.2</v>
      </c>
      <c r="O82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46051</v>
      </c>
      <c r="P821" s="252" t="s">
        <v>25</v>
      </c>
      <c r="Q821" t="s">
        <v>1414</v>
      </c>
      <c r="R821" s="1">
        <v>46051</v>
      </c>
      <c r="S821" t="s">
        <v>27</v>
      </c>
    </row>
    <row r="822" spans="2:21" s="49" customFormat="1" ht="18.75" hidden="1" customHeight="1">
      <c r="B822" s="1"/>
      <c r="C822"/>
      <c r="D822" s="1">
        <v>46022</v>
      </c>
      <c r="E822" s="29" t="s">
        <v>1415</v>
      </c>
      <c r="F822" s="1">
        <v>46051</v>
      </c>
      <c r="G822" s="1"/>
      <c r="H822" t="s">
        <v>329</v>
      </c>
      <c r="I822" s="2">
        <v>4149.58</v>
      </c>
      <c r="J822" s="2" t="s">
        <v>55</v>
      </c>
      <c r="K82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22" s="3"/>
      <c r="M822" s="11"/>
      <c r="N82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4149.58</v>
      </c>
      <c r="O82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46051</v>
      </c>
      <c r="P822" t="s">
        <v>25</v>
      </c>
      <c r="Q822" t="s">
        <v>1416</v>
      </c>
      <c r="R822" s="1">
        <v>46051</v>
      </c>
      <c r="S822" t="s">
        <v>27</v>
      </c>
      <c r="T822"/>
      <c r="U822"/>
    </row>
    <row r="823" spans="2:21" s="49" customFormat="1" ht="18.75" hidden="1" customHeight="1">
      <c r="B823" s="1"/>
      <c r="C823" s="7"/>
      <c r="D823" s="1">
        <v>46044</v>
      </c>
      <c r="E823" s="29">
        <v>33</v>
      </c>
      <c r="F823" s="1"/>
      <c r="G823" s="1"/>
      <c r="H823" t="s">
        <v>1251</v>
      </c>
      <c r="I823" s="2">
        <v>15900</v>
      </c>
      <c r="J823" s="2" t="s">
        <v>55</v>
      </c>
      <c r="K82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23" s="3"/>
      <c r="M823"/>
      <c r="N82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15900</v>
      </c>
      <c r="O823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823" t="s">
        <v>25</v>
      </c>
      <c r="Q823"/>
      <c r="R823" s="19">
        <v>46048</v>
      </c>
      <c r="S823" s="24"/>
      <c r="T823"/>
      <c r="U823" t="s">
        <v>32</v>
      </c>
    </row>
    <row r="824" spans="2:21" s="49" customFormat="1" ht="18.75" hidden="1" customHeight="1">
      <c r="B824" s="56"/>
      <c r="C824" s="57"/>
      <c r="D824" s="48">
        <v>46128</v>
      </c>
      <c r="E824" s="50" t="s">
        <v>1417</v>
      </c>
      <c r="F824" s="48"/>
      <c r="G824" s="48"/>
      <c r="H824" s="49" t="s">
        <v>29</v>
      </c>
      <c r="I824" s="51">
        <v>32418.83</v>
      </c>
      <c r="J824" s="51" t="s">
        <v>30</v>
      </c>
      <c r="K824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24" s="52"/>
      <c r="M824" s="58"/>
      <c r="N824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32418.83</v>
      </c>
      <c r="O824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46188</v>
      </c>
      <c r="P824" s="49" t="s">
        <v>25</v>
      </c>
      <c r="Q824" s="49" t="s">
        <v>711</v>
      </c>
      <c r="R824" s="48">
        <v>46184</v>
      </c>
      <c r="S824" s="59" t="s">
        <v>27</v>
      </c>
      <c r="U824" s="49" t="s">
        <v>32</v>
      </c>
    </row>
    <row r="825" spans="2:21" s="49" customFormat="1" ht="18.75" hidden="1" customHeight="1">
      <c r="B825" s="56"/>
      <c r="C825" s="57"/>
      <c r="D825" s="48">
        <v>46128</v>
      </c>
      <c r="E825" s="50" t="s">
        <v>1418</v>
      </c>
      <c r="F825" s="48"/>
      <c r="G825" s="48"/>
      <c r="H825" s="49" t="s">
        <v>29</v>
      </c>
      <c r="I825" s="51">
        <v>34468.720000000001</v>
      </c>
      <c r="J825" s="51" t="s">
        <v>30</v>
      </c>
      <c r="K825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25" s="52"/>
      <c r="M825" s="58"/>
      <c r="N825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34468.720000000001</v>
      </c>
      <c r="O825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46188</v>
      </c>
      <c r="P825" s="49" t="s">
        <v>25</v>
      </c>
      <c r="Q825" s="49" t="s">
        <v>261</v>
      </c>
      <c r="R825" s="48">
        <v>46184</v>
      </c>
      <c r="S825" s="59" t="s">
        <v>27</v>
      </c>
      <c r="U825" s="49" t="s">
        <v>32</v>
      </c>
    </row>
    <row r="826" spans="2:21" s="49" customFormat="1" ht="18.75" hidden="1" customHeight="1">
      <c r="B826" s="56"/>
      <c r="C826" s="57"/>
      <c r="D826" s="48">
        <v>46129</v>
      </c>
      <c r="E826" s="50" t="s">
        <v>1419</v>
      </c>
      <c r="F826" s="48"/>
      <c r="G826" s="48"/>
      <c r="H826" s="49" t="s">
        <v>29</v>
      </c>
      <c r="I826" s="51">
        <v>38028.89</v>
      </c>
      <c r="J826" s="51" t="s">
        <v>30</v>
      </c>
      <c r="K826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26" s="52"/>
      <c r="M826" s="58"/>
      <c r="N826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38028.89</v>
      </c>
      <c r="O826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46189</v>
      </c>
      <c r="P826" s="49" t="s">
        <v>25</v>
      </c>
      <c r="Q826" s="49" t="s">
        <v>261</v>
      </c>
      <c r="R826" s="48">
        <v>46184</v>
      </c>
      <c r="S826" s="59" t="s">
        <v>27</v>
      </c>
      <c r="U826" s="49" t="s">
        <v>32</v>
      </c>
    </row>
    <row r="827" spans="2:21" s="49" customFormat="1" ht="18.75" hidden="1" customHeight="1">
      <c r="B827" s="56"/>
      <c r="C827" s="57"/>
      <c r="D827" s="48">
        <v>46171</v>
      </c>
      <c r="E827" s="50" t="s">
        <v>1420</v>
      </c>
      <c r="F827" s="48"/>
      <c r="G827" s="48"/>
      <c r="H827" s="49" t="s">
        <v>1421</v>
      </c>
      <c r="I827" s="51">
        <v>430.5</v>
      </c>
      <c r="J827" s="51" t="s">
        <v>43</v>
      </c>
      <c r="K827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27" s="52"/>
      <c r="M827" s="58"/>
      <c r="N827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430.5</v>
      </c>
      <c r="O827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46171</v>
      </c>
      <c r="P827" s="49" t="s">
        <v>25</v>
      </c>
      <c r="Q827" s="49" t="s">
        <v>1422</v>
      </c>
      <c r="R827" s="48">
        <v>46184</v>
      </c>
      <c r="S827" s="59" t="s">
        <v>183</v>
      </c>
    </row>
    <row r="828" spans="2:21" s="49" customFormat="1" ht="18.75" hidden="1" customHeight="1">
      <c r="B828" s="56"/>
      <c r="C828" s="57"/>
      <c r="D828" s="48">
        <v>46178</v>
      </c>
      <c r="E828" s="50" t="s">
        <v>1423</v>
      </c>
      <c r="F828" s="48"/>
      <c r="G828" s="48"/>
      <c r="H828" s="49" t="s">
        <v>105</v>
      </c>
      <c r="I828" s="51">
        <v>2018.07</v>
      </c>
      <c r="J828" s="51" t="s">
        <v>55</v>
      </c>
      <c r="K828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28" s="52"/>
      <c r="M828" s="58"/>
      <c r="N828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2018.07</v>
      </c>
      <c r="O828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828" s="49" t="s">
        <v>25</v>
      </c>
      <c r="Q828" s="49" t="s">
        <v>1424</v>
      </c>
      <c r="R828" s="48">
        <v>46184</v>
      </c>
      <c r="S828" s="59" t="s">
        <v>27</v>
      </c>
    </row>
    <row r="829" spans="2:21" s="49" customFormat="1" ht="18.75" hidden="1" customHeight="1">
      <c r="B829" s="1"/>
      <c r="C829"/>
      <c r="D829" s="1">
        <v>46031</v>
      </c>
      <c r="E829" s="29" t="s">
        <v>1425</v>
      </c>
      <c r="F829" s="1">
        <v>46044</v>
      </c>
      <c r="G829" s="1"/>
      <c r="H829" t="s">
        <v>569</v>
      </c>
      <c r="I829" s="2">
        <v>1092.8</v>
      </c>
      <c r="J829" s="2" t="s">
        <v>43</v>
      </c>
      <c r="K82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29" s="3"/>
      <c r="M829" s="11"/>
      <c r="N82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1092.8</v>
      </c>
      <c r="O82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46031</v>
      </c>
      <c r="P829" t="s">
        <v>25</v>
      </c>
      <c r="Q829"/>
      <c r="R829" s="1">
        <v>46044</v>
      </c>
      <c r="S829" t="s">
        <v>27</v>
      </c>
      <c r="T829" s="24"/>
      <c r="U829"/>
    </row>
    <row r="830" spans="2:21" s="49" customFormat="1" ht="18.75" hidden="1" customHeight="1">
      <c r="B830" s="56"/>
      <c r="C830" s="57"/>
      <c r="D830" s="48">
        <v>46125</v>
      </c>
      <c r="E830" s="50" t="s">
        <v>1426</v>
      </c>
      <c r="F830" s="48"/>
      <c r="G830" s="48"/>
      <c r="H830" s="49" t="s">
        <v>1046</v>
      </c>
      <c r="I830" s="51">
        <v>660</v>
      </c>
      <c r="J830" s="51" t="s">
        <v>43</v>
      </c>
      <c r="K83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30" s="52"/>
      <c r="M830" s="58"/>
      <c r="N83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660</v>
      </c>
      <c r="O83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46125</v>
      </c>
      <c r="P830" s="49" t="s">
        <v>25</v>
      </c>
      <c r="Q830" s="49" t="s">
        <v>1395</v>
      </c>
      <c r="R830" s="48">
        <v>46128</v>
      </c>
      <c r="S830" s="59" t="s">
        <v>45</v>
      </c>
      <c r="U830" s="49" t="s">
        <v>32</v>
      </c>
    </row>
    <row r="831" spans="2:21" s="49" customFormat="1" ht="18.75" hidden="1" customHeight="1">
      <c r="B831" s="56"/>
      <c r="C831" s="57"/>
      <c r="D831" s="48">
        <v>46125</v>
      </c>
      <c r="E831" s="50" t="s">
        <v>1427</v>
      </c>
      <c r="F831" s="48"/>
      <c r="G831" s="48"/>
      <c r="H831" s="49" t="s">
        <v>1046</v>
      </c>
      <c r="I831" s="51">
        <v>660</v>
      </c>
      <c r="J831" s="51" t="s">
        <v>43</v>
      </c>
      <c r="K83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31" s="52"/>
      <c r="M831" s="58"/>
      <c r="N83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660</v>
      </c>
      <c r="O83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46125</v>
      </c>
      <c r="P831" s="49" t="s">
        <v>25</v>
      </c>
      <c r="Q831" s="49" t="s">
        <v>1406</v>
      </c>
      <c r="R831" s="48">
        <v>46128</v>
      </c>
      <c r="S831" s="59" t="s">
        <v>45</v>
      </c>
      <c r="U831" s="49" t="s">
        <v>32</v>
      </c>
    </row>
    <row r="832" spans="2:21" s="49" customFormat="1" ht="18.75" hidden="1" customHeight="1">
      <c r="B832" s="56"/>
      <c r="C832" s="57"/>
      <c r="D832" s="48">
        <v>46125</v>
      </c>
      <c r="E832" s="50" t="s">
        <v>1428</v>
      </c>
      <c r="F832" s="48"/>
      <c r="G832" s="48"/>
      <c r="H832" s="49" t="s">
        <v>1046</v>
      </c>
      <c r="I832" s="51">
        <v>120</v>
      </c>
      <c r="J832" s="51" t="s">
        <v>43</v>
      </c>
      <c r="K83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32" s="52"/>
      <c r="M832" s="58"/>
      <c r="N83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83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46125</v>
      </c>
      <c r="P832" s="49" t="s">
        <v>25</v>
      </c>
      <c r="Q832" s="49" t="s">
        <v>1429</v>
      </c>
      <c r="R832" s="48">
        <v>46128</v>
      </c>
      <c r="S832" s="59" t="s">
        <v>45</v>
      </c>
      <c r="U832" s="49" t="s">
        <v>32</v>
      </c>
    </row>
    <row r="833" spans="2:21" s="49" customFormat="1" ht="18.75" hidden="1" customHeight="1">
      <c r="B833" s="56"/>
      <c r="C833" s="57"/>
      <c r="D833" s="48">
        <v>46125</v>
      </c>
      <c r="E833" s="50" t="s">
        <v>1430</v>
      </c>
      <c r="F833" s="48"/>
      <c r="G833" s="48"/>
      <c r="H833" s="49" t="s">
        <v>1046</v>
      </c>
      <c r="I833" s="51">
        <v>36</v>
      </c>
      <c r="J833" s="51" t="s">
        <v>43</v>
      </c>
      <c r="K83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33" s="52"/>
      <c r="M833" s="58"/>
      <c r="N83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36</v>
      </c>
      <c r="O83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46125</v>
      </c>
      <c r="P833" s="49" t="s">
        <v>25</v>
      </c>
      <c r="Q833" s="49" t="s">
        <v>1431</v>
      </c>
      <c r="R833" s="48">
        <v>46128</v>
      </c>
      <c r="S833" s="59" t="s">
        <v>45</v>
      </c>
      <c r="U833" s="49" t="s">
        <v>32</v>
      </c>
    </row>
    <row r="834" spans="2:21" s="49" customFormat="1" ht="18.75" hidden="1" customHeight="1">
      <c r="B834" s="56"/>
      <c r="C834" s="57"/>
      <c r="D834" s="48">
        <v>46111</v>
      </c>
      <c r="E834" s="50" t="s">
        <v>1432</v>
      </c>
      <c r="F834" s="48"/>
      <c r="G834" s="48"/>
      <c r="H834" s="49" t="s">
        <v>1046</v>
      </c>
      <c r="I834" s="51">
        <v>120</v>
      </c>
      <c r="J834" s="51" t="s">
        <v>43</v>
      </c>
      <c r="K83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34" s="52"/>
      <c r="M834" s="58"/>
      <c r="N83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83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46111</v>
      </c>
      <c r="P834" s="49" t="s">
        <v>25</v>
      </c>
      <c r="Q834" s="49" t="s">
        <v>1433</v>
      </c>
      <c r="R834" s="48">
        <v>46121</v>
      </c>
      <c r="S834" s="59" t="s">
        <v>45</v>
      </c>
      <c r="U834" s="49" t="s">
        <v>32</v>
      </c>
    </row>
    <row r="835" spans="2:21" s="49" customFormat="1" ht="18.75" hidden="1" customHeight="1">
      <c r="B835" s="56"/>
      <c r="C835" s="57"/>
      <c r="D835" s="48">
        <v>46113</v>
      </c>
      <c r="E835" s="50" t="s">
        <v>1434</v>
      </c>
      <c r="F835" s="48"/>
      <c r="G835" s="48"/>
      <c r="H835" s="49" t="s">
        <v>1046</v>
      </c>
      <c r="I835" s="51">
        <v>36</v>
      </c>
      <c r="J835" s="51" t="s">
        <v>43</v>
      </c>
      <c r="K83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35" s="52"/>
      <c r="M835" s="58"/>
      <c r="N83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36</v>
      </c>
      <c r="O83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46113</v>
      </c>
      <c r="P835" s="49" t="s">
        <v>25</v>
      </c>
      <c r="Q835" s="49" t="s">
        <v>1431</v>
      </c>
      <c r="R835" s="48">
        <v>46121</v>
      </c>
      <c r="S835" s="59" t="s">
        <v>45</v>
      </c>
      <c r="U835" s="49" t="s">
        <v>32</v>
      </c>
    </row>
    <row r="836" spans="2:21" s="49" customFormat="1" ht="18.75" hidden="1" customHeight="1">
      <c r="B836" s="56"/>
      <c r="C836" s="57"/>
      <c r="D836" s="48">
        <v>46160</v>
      </c>
      <c r="E836" s="50" t="s">
        <v>1435</v>
      </c>
      <c r="F836" s="48"/>
      <c r="G836" s="48"/>
      <c r="H836" s="49" t="s">
        <v>1046</v>
      </c>
      <c r="I836" s="51">
        <v>120</v>
      </c>
      <c r="J836" s="51" t="s">
        <v>43</v>
      </c>
      <c r="K83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36" s="52"/>
      <c r="M836" s="58"/>
      <c r="N83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83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46160</v>
      </c>
      <c r="P836" s="49" t="s">
        <v>25</v>
      </c>
      <c r="Q836" s="49" t="s">
        <v>198</v>
      </c>
      <c r="R836" s="48">
        <v>46163</v>
      </c>
      <c r="S836" s="59" t="s">
        <v>45</v>
      </c>
      <c r="U836" s="49" t="s">
        <v>32</v>
      </c>
    </row>
    <row r="837" spans="2:21" s="49" customFormat="1" ht="18.75" hidden="1" customHeight="1">
      <c r="B837" s="56"/>
      <c r="C837" s="57"/>
      <c r="D837" s="48">
        <v>46080</v>
      </c>
      <c r="E837" s="50" t="s">
        <v>1436</v>
      </c>
      <c r="F837" s="48"/>
      <c r="G837" s="48"/>
      <c r="H837" s="49" t="s">
        <v>1046</v>
      </c>
      <c r="I837" s="51">
        <v>660</v>
      </c>
      <c r="J837" s="51" t="s">
        <v>43</v>
      </c>
      <c r="K83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37" s="52"/>
      <c r="M837" s="58"/>
      <c r="N83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660</v>
      </c>
      <c r="O83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46080</v>
      </c>
      <c r="P837" t="s">
        <v>25</v>
      </c>
      <c r="Q837" s="49" t="s">
        <v>1437</v>
      </c>
      <c r="R837" s="48">
        <v>46086</v>
      </c>
      <c r="S837" s="59" t="s">
        <v>45</v>
      </c>
      <c r="U837" s="49" t="s">
        <v>32</v>
      </c>
    </row>
    <row r="838" spans="2:21" s="49" customFormat="1" ht="18.75" hidden="1" customHeight="1">
      <c r="B838" s="56">
        <v>46146</v>
      </c>
      <c r="C838" s="57" t="s">
        <v>1438</v>
      </c>
      <c r="D838" s="48">
        <v>46168</v>
      </c>
      <c r="E838" s="50">
        <v>601</v>
      </c>
      <c r="F838" s="48"/>
      <c r="G838" s="48"/>
      <c r="H838" s="49" t="s">
        <v>301</v>
      </c>
      <c r="I838" s="51">
        <v>157.04</v>
      </c>
      <c r="J838" s="51" t="s">
        <v>55</v>
      </c>
      <c r="K838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38" s="52"/>
      <c r="M838" s="58"/>
      <c r="N838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157.04</v>
      </c>
      <c r="O838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838" s="49" t="s">
        <v>25</v>
      </c>
      <c r="Q838" s="49" t="s">
        <v>135</v>
      </c>
      <c r="R838" s="48">
        <v>46170</v>
      </c>
      <c r="S838" s="59" t="s">
        <v>45</v>
      </c>
      <c r="U838" s="49" t="s">
        <v>32</v>
      </c>
    </row>
    <row r="839" spans="2:21" s="49" customFormat="1" ht="18.75" hidden="1" customHeight="1">
      <c r="B839" s="1"/>
      <c r="C839" s="7"/>
      <c r="D839" s="1">
        <v>46055</v>
      </c>
      <c r="E839" s="29" t="s">
        <v>1439</v>
      </c>
      <c r="F839" s="1"/>
      <c r="G839" s="1"/>
      <c r="H839" t="s">
        <v>54</v>
      </c>
      <c r="I839" s="2">
        <v>294.86</v>
      </c>
      <c r="J839" s="2" t="s">
        <v>55</v>
      </c>
      <c r="K83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39" s="3"/>
      <c r="M839" s="11"/>
      <c r="N83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294.86</v>
      </c>
      <c r="O839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839" t="s">
        <v>25</v>
      </c>
      <c r="Q839"/>
      <c r="R839"/>
      <c r="S839"/>
      <c r="T839"/>
      <c r="U839" t="s">
        <v>32</v>
      </c>
    </row>
    <row r="840" spans="2:21" s="49" customFormat="1" ht="18.75" hidden="1" customHeight="1">
      <c r="B840" s="1"/>
      <c r="C840"/>
      <c r="D840" s="1">
        <v>46040</v>
      </c>
      <c r="E840" s="29" t="s">
        <v>1440</v>
      </c>
      <c r="F840" s="1"/>
      <c r="G840" s="1"/>
      <c r="H840" t="s">
        <v>1441</v>
      </c>
      <c r="I840" s="41">
        <v>15.98</v>
      </c>
      <c r="J840" s="41" t="s">
        <v>43</v>
      </c>
      <c r="K84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40" s="43"/>
      <c r="M840" s="42"/>
      <c r="N84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15.98</v>
      </c>
      <c r="O84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46040</v>
      </c>
      <c r="P840" t="s">
        <v>25</v>
      </c>
      <c r="Q840"/>
      <c r="R840" s="1">
        <v>46042</v>
      </c>
      <c r="S840"/>
      <c r="T840"/>
      <c r="U840"/>
    </row>
    <row r="841" spans="2:21" s="49" customFormat="1" ht="18.75" hidden="1" customHeight="1">
      <c r="B841" s="1"/>
      <c r="C841"/>
      <c r="D841" s="1">
        <v>46042</v>
      </c>
      <c r="E841" s="29" t="s">
        <v>1442</v>
      </c>
      <c r="F841" s="1">
        <v>46042</v>
      </c>
      <c r="G841" s="1"/>
      <c r="H841" t="s">
        <v>1443</v>
      </c>
      <c r="I841" s="2">
        <v>10</v>
      </c>
      <c r="J841" s="2" t="s">
        <v>55</v>
      </c>
      <c r="K84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41" s="3"/>
      <c r="M841" s="11"/>
      <c r="N84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10</v>
      </c>
      <c r="O84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46042</v>
      </c>
      <c r="P841" t="s">
        <v>25</v>
      </c>
      <c r="Q841" t="s">
        <v>1444</v>
      </c>
      <c r="R841" s="1">
        <v>46042</v>
      </c>
      <c r="S841" t="s">
        <v>27</v>
      </c>
      <c r="T841" s="24"/>
      <c r="U841"/>
    </row>
    <row r="842" spans="2:21" s="49" customFormat="1" ht="18.75" hidden="1" customHeight="1">
      <c r="B842" s="1"/>
      <c r="C842"/>
      <c r="D842" s="1">
        <v>46037</v>
      </c>
      <c r="E842" s="29" t="s">
        <v>1445</v>
      </c>
      <c r="F842" s="1"/>
      <c r="G842" s="1"/>
      <c r="H842" t="s">
        <v>859</v>
      </c>
      <c r="I842" s="2">
        <v>134.6</v>
      </c>
      <c r="J842" s="2" t="s">
        <v>55</v>
      </c>
      <c r="K84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42" s="3"/>
      <c r="M842" s="11"/>
      <c r="N84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134.6</v>
      </c>
      <c r="O842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842" t="s">
        <v>25</v>
      </c>
      <c r="Q842"/>
      <c r="R842" s="1">
        <v>46041</v>
      </c>
      <c r="S842"/>
      <c r="T842"/>
      <c r="U842"/>
    </row>
    <row r="843" spans="2:21" s="49" customFormat="1" ht="18.75" hidden="1" customHeight="1">
      <c r="B843" s="1"/>
      <c r="C843"/>
      <c r="D843" s="1">
        <v>46037</v>
      </c>
      <c r="E843" s="36" t="s">
        <v>1446</v>
      </c>
      <c r="F843" s="27" t="s">
        <v>1447</v>
      </c>
      <c r="G843" s="27"/>
      <c r="H843" t="s">
        <v>859</v>
      </c>
      <c r="I843" s="2">
        <v>-72.8</v>
      </c>
      <c r="J843" s="2" t="s">
        <v>55</v>
      </c>
      <c r="K84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43" s="3"/>
      <c r="M843" s="11"/>
      <c r="N84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-72.8</v>
      </c>
      <c r="O843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19/01/206</v>
      </c>
      <c r="P843" t="s">
        <v>25</v>
      </c>
      <c r="Q843" t="s">
        <v>1448</v>
      </c>
      <c r="R843" s="1">
        <v>46041</v>
      </c>
      <c r="S843"/>
      <c r="T843"/>
      <c r="U843"/>
    </row>
    <row r="844" spans="2:21" s="49" customFormat="1" ht="18.75" hidden="1" customHeight="1">
      <c r="B844" s="1"/>
      <c r="C844"/>
      <c r="D844" s="1">
        <v>46037</v>
      </c>
      <c r="E844" s="29" t="s">
        <v>1449</v>
      </c>
      <c r="F844" s="1"/>
      <c r="G844" s="1"/>
      <c r="H844" t="s">
        <v>1067</v>
      </c>
      <c r="I844" s="2">
        <v>89.09</v>
      </c>
      <c r="J844" s="2" t="s">
        <v>43</v>
      </c>
      <c r="K84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44" s="3"/>
      <c r="M844" s="11"/>
      <c r="N84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89.09</v>
      </c>
      <c r="O84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46037</v>
      </c>
      <c r="P844" t="s">
        <v>25</v>
      </c>
      <c r="Q844" t="s">
        <v>1450</v>
      </c>
      <c r="R844" s="1">
        <v>46040</v>
      </c>
      <c r="S844"/>
      <c r="T844"/>
      <c r="U844"/>
    </row>
    <row r="845" spans="2:21" s="49" customFormat="1" ht="18.75" hidden="1" customHeight="1">
      <c r="B845" s="1"/>
      <c r="C845"/>
      <c r="D845" s="1">
        <v>46037</v>
      </c>
      <c r="E845" s="29" t="s">
        <v>1451</v>
      </c>
      <c r="F845" s="1"/>
      <c r="G845" s="1"/>
      <c r="H845" s="49" t="s">
        <v>849</v>
      </c>
      <c r="I845" s="2">
        <v>3965</v>
      </c>
      <c r="J845" s="2" t="s">
        <v>55</v>
      </c>
      <c r="K84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45" s="3"/>
      <c r="M845" s="11"/>
      <c r="N84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3965</v>
      </c>
      <c r="O845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845" t="s">
        <v>25</v>
      </c>
      <c r="Q845"/>
      <c r="R845" s="1">
        <v>46038</v>
      </c>
      <c r="S845"/>
      <c r="T845"/>
      <c r="U845" t="s">
        <v>32</v>
      </c>
    </row>
    <row r="846" spans="2:21" s="49" customFormat="1" ht="18.75" hidden="1" customHeight="1">
      <c r="B846" s="1"/>
      <c r="C846"/>
      <c r="D846" s="1">
        <v>46030</v>
      </c>
      <c r="E846" s="29"/>
      <c r="F846" s="1"/>
      <c r="G846" s="1"/>
      <c r="H846" t="s">
        <v>1452</v>
      </c>
      <c r="I846" s="2">
        <v>492</v>
      </c>
      <c r="J846" s="2" t="s">
        <v>55</v>
      </c>
      <c r="K84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46" s="3"/>
      <c r="M846" s="11"/>
      <c r="N84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492</v>
      </c>
      <c r="O846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846" t="s">
        <v>25</v>
      </c>
      <c r="Q846"/>
      <c r="R846" s="1">
        <v>46038</v>
      </c>
      <c r="S846"/>
      <c r="T846" s="24"/>
      <c r="U846"/>
    </row>
    <row r="847" spans="2:21" s="49" customFormat="1" ht="18.75" hidden="1" customHeight="1">
      <c r="B847" s="1"/>
      <c r="C847"/>
      <c r="D847" s="1">
        <v>46036</v>
      </c>
      <c r="E847" s="29" t="s">
        <v>1453</v>
      </c>
      <c r="F847" s="1"/>
      <c r="G847" s="1"/>
      <c r="H847" t="s">
        <v>1254</v>
      </c>
      <c r="I847" s="41">
        <v>124.14</v>
      </c>
      <c r="J847" s="41" t="s">
        <v>55</v>
      </c>
      <c r="K84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47" s="43"/>
      <c r="M847" s="42"/>
      <c r="N84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124.14</v>
      </c>
      <c r="O847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847" t="s">
        <v>25</v>
      </c>
      <c r="Q847" t="s">
        <v>1454</v>
      </c>
      <c r="R847" s="1">
        <v>46038</v>
      </c>
      <c r="S847"/>
      <c r="T847"/>
    </row>
    <row r="848" spans="2:21" s="49" customFormat="1" ht="18.75" hidden="1" customHeight="1">
      <c r="B848" s="1"/>
      <c r="C848"/>
      <c r="D848" s="1">
        <v>46036</v>
      </c>
      <c r="E848" s="29" t="s">
        <v>1455</v>
      </c>
      <c r="F848" s="1">
        <v>46038</v>
      </c>
      <c r="G848" s="1"/>
      <c r="H848" t="s">
        <v>86</v>
      </c>
      <c r="I848" s="2">
        <v>163.58000000000001</v>
      </c>
      <c r="J848" s="2" t="s">
        <v>55</v>
      </c>
      <c r="K84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48" s="3"/>
      <c r="M848" s="11"/>
      <c r="N84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163.58000000000001</v>
      </c>
      <c r="O84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46038</v>
      </c>
      <c r="P848" t="s">
        <v>25</v>
      </c>
      <c r="Q848" t="s">
        <v>1456</v>
      </c>
      <c r="R848" s="1">
        <v>46038</v>
      </c>
      <c r="S848"/>
      <c r="T848"/>
    </row>
    <row r="849" spans="2:21" s="49" customFormat="1" ht="18.75" hidden="1" customHeight="1">
      <c r="B849" s="83">
        <v>46188</v>
      </c>
      <c r="C849" s="77"/>
      <c r="D849" s="83">
        <v>46155</v>
      </c>
      <c r="E849" s="78" t="s">
        <v>1457</v>
      </c>
      <c r="F849" s="76"/>
      <c r="G849" s="76"/>
      <c r="H849" s="63" t="s">
        <v>181</v>
      </c>
      <c r="I849" s="79">
        <v>1125</v>
      </c>
      <c r="J849" s="79" t="s">
        <v>55</v>
      </c>
      <c r="K849" s="8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49" s="80"/>
      <c r="M849" s="81"/>
      <c r="N849" s="8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1125</v>
      </c>
      <c r="O849" s="138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849" s="63" t="s">
        <v>25</v>
      </c>
      <c r="Q849" s="63" t="s">
        <v>1458</v>
      </c>
      <c r="R849" s="76">
        <v>46155</v>
      </c>
      <c r="S849" s="82" t="s">
        <v>183</v>
      </c>
      <c r="T849" s="63" t="s">
        <v>1459</v>
      </c>
      <c r="U849" s="63"/>
    </row>
    <row r="850" spans="2:21" s="49" customFormat="1" ht="18.75" hidden="1" customHeight="1">
      <c r="B850" s="56"/>
      <c r="C850" s="57"/>
      <c r="D850" s="48">
        <v>46179</v>
      </c>
      <c r="E850" s="50">
        <v>7117161497</v>
      </c>
      <c r="F850" s="48"/>
      <c r="G850" s="48"/>
      <c r="H850" s="49" t="s">
        <v>1460</v>
      </c>
      <c r="I850" s="51">
        <v>85.9</v>
      </c>
      <c r="J850" s="51" t="s">
        <v>43</v>
      </c>
      <c r="K85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50" s="52"/>
      <c r="M850" s="58"/>
      <c r="N850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85.9</v>
      </c>
      <c r="O850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46179</v>
      </c>
      <c r="P850" s="49" t="s">
        <v>25</v>
      </c>
      <c r="Q850" s="49" t="s">
        <v>1461</v>
      </c>
      <c r="R850" s="48">
        <v>46191</v>
      </c>
      <c r="S850" s="59" t="s">
        <v>27</v>
      </c>
    </row>
    <row r="851" spans="2:21" s="49" customFormat="1" ht="18.75" hidden="1" customHeight="1">
      <c r="B851" s="56"/>
      <c r="C851" s="57"/>
      <c r="D851" s="48">
        <v>46132</v>
      </c>
      <c r="E851" s="50" t="s">
        <v>1462</v>
      </c>
      <c r="F851" s="48"/>
      <c r="G851" s="48"/>
      <c r="H851" s="49" t="s">
        <v>29</v>
      </c>
      <c r="I851" s="51">
        <v>29374.95</v>
      </c>
      <c r="J851" s="51" t="s">
        <v>30</v>
      </c>
      <c r="K851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51" s="52"/>
      <c r="M851" s="58"/>
      <c r="N851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29374.95</v>
      </c>
      <c r="O851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46192</v>
      </c>
      <c r="P851" s="49" t="s">
        <v>25</v>
      </c>
      <c r="Q851" s="49" t="s">
        <v>261</v>
      </c>
      <c r="R851" s="48">
        <v>46191</v>
      </c>
      <c r="S851" s="59" t="s">
        <v>27</v>
      </c>
      <c r="U851" s="49" t="s">
        <v>32</v>
      </c>
    </row>
    <row r="852" spans="2:21" s="49" customFormat="1" ht="18.75" hidden="1" customHeight="1">
      <c r="B852" s="56"/>
      <c r="C852" s="57"/>
      <c r="D852" s="48">
        <v>46132</v>
      </c>
      <c r="E852" s="50" t="s">
        <v>1463</v>
      </c>
      <c r="F852" s="48"/>
      <c r="G852" s="48"/>
      <c r="H852" s="49" t="s">
        <v>29</v>
      </c>
      <c r="I852" s="51">
        <v>40083.980000000003</v>
      </c>
      <c r="J852" s="51" t="s">
        <v>30</v>
      </c>
      <c r="K852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52" s="52"/>
      <c r="M852" s="58"/>
      <c r="N852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40083.980000000003</v>
      </c>
      <c r="O852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46192</v>
      </c>
      <c r="P852" s="49" t="s">
        <v>25</v>
      </c>
      <c r="Q852" s="49" t="s">
        <v>261</v>
      </c>
      <c r="R852" s="48">
        <v>46191</v>
      </c>
      <c r="S852" s="59" t="s">
        <v>27</v>
      </c>
      <c r="U852" s="49" t="s">
        <v>32</v>
      </c>
    </row>
    <row r="853" spans="2:21" s="49" customFormat="1" ht="18.75" hidden="1" customHeight="1">
      <c r="B853" s="56"/>
      <c r="C853" s="57"/>
      <c r="D853" s="48">
        <v>46132</v>
      </c>
      <c r="E853" s="50" t="s">
        <v>1464</v>
      </c>
      <c r="F853" s="48"/>
      <c r="G853" s="48"/>
      <c r="H853" s="49" t="s">
        <v>29</v>
      </c>
      <c r="I853" s="51">
        <v>22154.86</v>
      </c>
      <c r="J853" s="51" t="s">
        <v>30</v>
      </c>
      <c r="K853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53" s="52"/>
      <c r="M853" s="58"/>
      <c r="N853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22154.86</v>
      </c>
      <c r="O853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46192</v>
      </c>
      <c r="P853" s="49" t="s">
        <v>25</v>
      </c>
      <c r="Q853" s="49" t="s">
        <v>261</v>
      </c>
      <c r="R853" s="48">
        <v>46191</v>
      </c>
      <c r="S853" s="59" t="s">
        <v>27</v>
      </c>
      <c r="U853" s="49" t="s">
        <v>32</v>
      </c>
    </row>
    <row r="854" spans="2:21" s="49" customFormat="1" ht="18.75" hidden="1" customHeight="1">
      <c r="B854" s="56"/>
      <c r="C854" s="57"/>
      <c r="D854" s="48">
        <v>46132</v>
      </c>
      <c r="E854" s="50" t="s">
        <v>1465</v>
      </c>
      <c r="F854" s="48"/>
      <c r="G854" s="48"/>
      <c r="H854" s="49" t="s">
        <v>29</v>
      </c>
      <c r="I854" s="51">
        <v>31095.7</v>
      </c>
      <c r="J854" s="51" t="s">
        <v>30</v>
      </c>
      <c r="K854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54" s="52"/>
      <c r="M854" s="58"/>
      <c r="N854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31095.7</v>
      </c>
      <c r="O854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46192</v>
      </c>
      <c r="P854" s="49" t="s">
        <v>25</v>
      </c>
      <c r="Q854" s="49" t="s">
        <v>261</v>
      </c>
      <c r="R854" s="48">
        <v>46191</v>
      </c>
      <c r="S854" s="59" t="s">
        <v>27</v>
      </c>
      <c r="U854" s="49" t="s">
        <v>32</v>
      </c>
    </row>
    <row r="855" spans="2:21" s="49" customFormat="1" ht="18.75" hidden="1" customHeight="1">
      <c r="B855" s="56"/>
      <c r="C855" s="57"/>
      <c r="D855" s="48">
        <v>46133</v>
      </c>
      <c r="E855" s="50" t="s">
        <v>1466</v>
      </c>
      <c r="F855" s="48"/>
      <c r="G855" s="48"/>
      <c r="H855" s="49" t="s">
        <v>29</v>
      </c>
      <c r="I855" s="51">
        <v>65</v>
      </c>
      <c r="J855" s="51" t="s">
        <v>30</v>
      </c>
      <c r="K855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55" s="52"/>
      <c r="M855" s="58"/>
      <c r="N855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65</v>
      </c>
      <c r="O855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46193</v>
      </c>
      <c r="P855" s="49" t="s">
        <v>25</v>
      </c>
      <c r="Q855" s="49" t="s">
        <v>711</v>
      </c>
      <c r="R855" s="48">
        <v>46191</v>
      </c>
      <c r="S855" s="59" t="s">
        <v>27</v>
      </c>
      <c r="U855" s="49" t="s">
        <v>32</v>
      </c>
    </row>
    <row r="856" spans="2:21" s="49" customFormat="1" ht="18.75" hidden="1" customHeight="1">
      <c r="B856" s="1"/>
      <c r="C856"/>
      <c r="D856" s="1">
        <v>45978</v>
      </c>
      <c r="E856" s="29" t="s">
        <v>1467</v>
      </c>
      <c r="F856" s="1"/>
      <c r="G856" s="1"/>
      <c r="H856" t="s">
        <v>108</v>
      </c>
      <c r="I856" s="2">
        <v>18085.599999999999</v>
      </c>
      <c r="J856" s="2" t="s">
        <v>30</v>
      </c>
      <c r="K85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56" s="3"/>
      <c r="M856" s="11"/>
      <c r="N85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18085.599999999999</v>
      </c>
      <c r="O85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46038</v>
      </c>
      <c r="P856" t="s">
        <v>25</v>
      </c>
      <c r="Q856" t="s">
        <v>1468</v>
      </c>
      <c r="R856" s="1">
        <v>46037</v>
      </c>
      <c r="S856" t="s">
        <v>27</v>
      </c>
      <c r="T856" s="24"/>
      <c r="U856"/>
    </row>
    <row r="857" spans="2:21" s="49" customFormat="1" ht="18.75" hidden="1" customHeight="1">
      <c r="B857" s="56"/>
      <c r="C857" s="57"/>
      <c r="D857" s="48">
        <v>46080</v>
      </c>
      <c r="E857" s="50" t="s">
        <v>1469</v>
      </c>
      <c r="F857" s="48"/>
      <c r="G857" s="48"/>
      <c r="H857" s="49" t="s">
        <v>1046</v>
      </c>
      <c r="I857" s="51">
        <v>120</v>
      </c>
      <c r="J857" s="51" t="s">
        <v>43</v>
      </c>
      <c r="K85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57" s="52"/>
      <c r="M857" s="58"/>
      <c r="N85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85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46080</v>
      </c>
      <c r="P857" t="s">
        <v>25</v>
      </c>
      <c r="Q857" s="49" t="s">
        <v>1470</v>
      </c>
      <c r="R857" s="48">
        <v>46086</v>
      </c>
      <c r="S857" s="59" t="s">
        <v>45</v>
      </c>
      <c r="U857" s="49" t="s">
        <v>32</v>
      </c>
    </row>
    <row r="858" spans="2:21" s="49" customFormat="1" ht="18.75" hidden="1" customHeight="1">
      <c r="B858" s="56"/>
      <c r="C858" s="57"/>
      <c r="D858" s="48">
        <v>46076</v>
      </c>
      <c r="E858" s="50" t="s">
        <v>1471</v>
      </c>
      <c r="F858" s="48"/>
      <c r="G858" s="48"/>
      <c r="H858" s="49" t="s">
        <v>1046</v>
      </c>
      <c r="I858" s="58">
        <v>120</v>
      </c>
      <c r="J858" s="51" t="s">
        <v>43</v>
      </c>
      <c r="K85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58" s="52"/>
      <c r="M858" s="58"/>
      <c r="N85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85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46076</v>
      </c>
      <c r="P858" s="49" t="s">
        <v>25</v>
      </c>
      <c r="Q858" s="49" t="s">
        <v>1472</v>
      </c>
      <c r="R858" s="48">
        <v>46079</v>
      </c>
      <c r="S858" s="59" t="s">
        <v>45</v>
      </c>
      <c r="U858" s="49" t="s">
        <v>32</v>
      </c>
    </row>
    <row r="859" spans="2:21" s="49" customFormat="1" ht="18.75" hidden="1" customHeight="1">
      <c r="B859" s="56"/>
      <c r="C859" s="57"/>
      <c r="D859" s="48">
        <v>46078</v>
      </c>
      <c r="E859" s="50" t="s">
        <v>1473</v>
      </c>
      <c r="F859" s="48"/>
      <c r="G859" s="48"/>
      <c r="H859" s="49" t="s">
        <v>1046</v>
      </c>
      <c r="I859" s="51">
        <v>128.4</v>
      </c>
      <c r="J859" s="2" t="s">
        <v>43</v>
      </c>
      <c r="K85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59" s="3"/>
      <c r="M859" s="11"/>
      <c r="N85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128.4</v>
      </c>
      <c r="O85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46078</v>
      </c>
      <c r="P859" s="49" t="s">
        <v>25</v>
      </c>
      <c r="Q859" s="49" t="s">
        <v>1474</v>
      </c>
      <c r="R859" s="48">
        <v>46079</v>
      </c>
      <c r="S859" s="59" t="s">
        <v>45</v>
      </c>
      <c r="U859" t="s">
        <v>32</v>
      </c>
    </row>
    <row r="860" spans="2:21" s="49" customFormat="1" ht="18.75" hidden="1" customHeight="1">
      <c r="B860" s="56"/>
      <c r="C860" s="57"/>
      <c r="D860" s="48">
        <v>46078</v>
      </c>
      <c r="E860" s="50" t="s">
        <v>1475</v>
      </c>
      <c r="F860" s="48"/>
      <c r="G860" s="48"/>
      <c r="H860" s="49" t="s">
        <v>1046</v>
      </c>
      <c r="I860" s="51">
        <v>660</v>
      </c>
      <c r="J860" s="2" t="s">
        <v>43</v>
      </c>
      <c r="K86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60" s="3"/>
      <c r="M860" s="11"/>
      <c r="N86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660</v>
      </c>
      <c r="O86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46078</v>
      </c>
      <c r="P860" s="49" t="s">
        <v>25</v>
      </c>
      <c r="Q860" s="49" t="s">
        <v>1470</v>
      </c>
      <c r="R860" s="48">
        <v>46079</v>
      </c>
      <c r="S860" s="59" t="s">
        <v>45</v>
      </c>
      <c r="U860" t="s">
        <v>32</v>
      </c>
    </row>
    <row r="861" spans="2:21" s="49" customFormat="1" ht="18.75" hidden="1" customHeight="1">
      <c r="B861" s="1"/>
      <c r="C861"/>
      <c r="D861" s="1" t="s">
        <v>900</v>
      </c>
      <c r="E861" s="29" t="s">
        <v>1476</v>
      </c>
      <c r="F861" s="1"/>
      <c r="G861" s="1"/>
      <c r="H861" s="49" t="s">
        <v>69</v>
      </c>
      <c r="I861" s="2">
        <v>21536.99</v>
      </c>
      <c r="J861" s="2" t="s">
        <v>55</v>
      </c>
      <c r="K86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61" s="3"/>
      <c r="M861" s="11"/>
      <c r="N86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21536.99</v>
      </c>
      <c r="O861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861" t="s">
        <v>25</v>
      </c>
      <c r="Q861" t="s">
        <v>514</v>
      </c>
      <c r="R861" s="1">
        <v>46072</v>
      </c>
      <c r="S861" t="s">
        <v>45</v>
      </c>
      <c r="T861"/>
      <c r="U861"/>
    </row>
    <row r="862" spans="2:21" s="49" customFormat="1" ht="18.75" hidden="1" customHeight="1">
      <c r="B862" s="1"/>
      <c r="C862"/>
      <c r="D862" s="1" t="s">
        <v>900</v>
      </c>
      <c r="E862" s="29" t="s">
        <v>1477</v>
      </c>
      <c r="F862" s="1"/>
      <c r="G862" s="1"/>
      <c r="H862" s="49" t="s">
        <v>69</v>
      </c>
      <c r="I862" s="2">
        <v>52951.02</v>
      </c>
      <c r="J862" s="2" t="s">
        <v>55</v>
      </c>
      <c r="K86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62" s="3"/>
      <c r="M862" s="11"/>
      <c r="N86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52951.02</v>
      </c>
      <c r="O862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862" t="s">
        <v>25</v>
      </c>
      <c r="Q862" t="s">
        <v>486</v>
      </c>
      <c r="R862" s="1">
        <v>46072</v>
      </c>
      <c r="S862" t="s">
        <v>45</v>
      </c>
      <c r="T862"/>
      <c r="U862"/>
    </row>
    <row r="863" spans="2:21" ht="18.75" hidden="1" customHeight="1">
      <c r="B863" s="1"/>
      <c r="D863" s="1">
        <v>46066</v>
      </c>
      <c r="E863" s="29" t="s">
        <v>1478</v>
      </c>
      <c r="F863" s="1"/>
      <c r="G863" s="1"/>
      <c r="H863" t="s">
        <v>1046</v>
      </c>
      <c r="I863" s="2">
        <v>1635</v>
      </c>
      <c r="J863" s="2" t="s">
        <v>43</v>
      </c>
      <c r="K86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63" s="3"/>
      <c r="N86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1635</v>
      </c>
      <c r="O86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46066</v>
      </c>
      <c r="P863" t="s">
        <v>25</v>
      </c>
      <c r="Q863" t="s">
        <v>1479</v>
      </c>
      <c r="R863" s="1">
        <v>46072</v>
      </c>
      <c r="S863" s="24" t="s">
        <v>45</v>
      </c>
      <c r="U863" t="s">
        <v>32</v>
      </c>
    </row>
    <row r="864" spans="2:21" s="49" customFormat="1" ht="18.75" hidden="1" customHeight="1">
      <c r="B864" s="1"/>
      <c r="C864" s="7"/>
      <c r="D864" s="1">
        <v>46066</v>
      </c>
      <c r="E864" s="29" t="s">
        <v>1480</v>
      </c>
      <c r="F864" s="1"/>
      <c r="G864" s="1"/>
      <c r="H864" t="s">
        <v>1046</v>
      </c>
      <c r="I864" s="2">
        <v>1635</v>
      </c>
      <c r="J864" s="2" t="s">
        <v>43</v>
      </c>
      <c r="K86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64" s="3"/>
      <c r="M864"/>
      <c r="N86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1635</v>
      </c>
      <c r="O86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46066</v>
      </c>
      <c r="P864" t="s">
        <v>25</v>
      </c>
      <c r="Q864" t="s">
        <v>1481</v>
      </c>
      <c r="R864" s="1">
        <v>46072</v>
      </c>
      <c r="S864" s="24" t="s">
        <v>45</v>
      </c>
      <c r="T864"/>
      <c r="U864" t="s">
        <v>32</v>
      </c>
    </row>
    <row r="865" spans="2:21" s="49" customFormat="1" ht="18.75" hidden="1" customHeight="1">
      <c r="B865" s="1"/>
      <c r="C865" s="7"/>
      <c r="D865" s="1">
        <v>46063</v>
      </c>
      <c r="E865" s="29" t="s">
        <v>1482</v>
      </c>
      <c r="F865" s="1"/>
      <c r="G865" s="1"/>
      <c r="H865" t="s">
        <v>1046</v>
      </c>
      <c r="I865" s="2">
        <v>1320</v>
      </c>
      <c r="J865" s="2" t="s">
        <v>43</v>
      </c>
      <c r="K86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65" s="3"/>
      <c r="M865"/>
      <c r="N86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1320</v>
      </c>
      <c r="O86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46063</v>
      </c>
      <c r="P865" t="s">
        <v>25</v>
      </c>
      <c r="Q865" t="s">
        <v>1483</v>
      </c>
      <c r="R865" s="1">
        <v>46066</v>
      </c>
      <c r="S865" s="24" t="s">
        <v>45</v>
      </c>
      <c r="T865"/>
      <c r="U865" t="s">
        <v>32</v>
      </c>
    </row>
    <row r="866" spans="2:21" s="49" customFormat="1" ht="18.75" hidden="1" customHeight="1">
      <c r="B866" s="1"/>
      <c r="C866" s="7"/>
      <c r="D866" s="1">
        <v>46057</v>
      </c>
      <c r="E866" s="29" t="s">
        <v>1484</v>
      </c>
      <c r="F866" s="1"/>
      <c r="G866" s="1"/>
      <c r="H866" t="s">
        <v>1046</v>
      </c>
      <c r="I866" s="2">
        <v>188.4</v>
      </c>
      <c r="J866" s="2" t="s">
        <v>43</v>
      </c>
      <c r="K86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66" s="3"/>
      <c r="M866" s="11"/>
      <c r="N86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188.4</v>
      </c>
      <c r="O86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46057</v>
      </c>
      <c r="P866" t="s">
        <v>25</v>
      </c>
      <c r="Q866" t="s">
        <v>1483</v>
      </c>
      <c r="R866" s="1">
        <v>46059</v>
      </c>
      <c r="S866" t="s">
        <v>45</v>
      </c>
      <c r="T866" s="24"/>
      <c r="U866" t="s">
        <v>32</v>
      </c>
    </row>
    <row r="867" spans="2:21" s="49" customFormat="1" ht="18.75" hidden="1" customHeight="1">
      <c r="B867" s="1"/>
      <c r="C867"/>
      <c r="D867" s="1">
        <v>46028</v>
      </c>
      <c r="E867" s="29" t="s">
        <v>1485</v>
      </c>
      <c r="F867" s="1">
        <v>46037</v>
      </c>
      <c r="G867" s="1"/>
      <c r="H867" t="s">
        <v>808</v>
      </c>
      <c r="I867" s="2">
        <v>246</v>
      </c>
      <c r="J867" s="2" t="s">
        <v>43</v>
      </c>
      <c r="K86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67" s="3"/>
      <c r="M867" s="11"/>
      <c r="N86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246</v>
      </c>
      <c r="O86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46028</v>
      </c>
      <c r="P867" t="s">
        <v>25</v>
      </c>
      <c r="Q867"/>
      <c r="R867" s="1">
        <v>46037</v>
      </c>
      <c r="S867" t="s">
        <v>27</v>
      </c>
      <c r="T867"/>
      <c r="U867"/>
    </row>
    <row r="868" spans="2:21" s="49" customFormat="1" ht="18.75" customHeight="1">
      <c r="B868" s="56">
        <v>46058</v>
      </c>
      <c r="C868" s="57" t="s">
        <v>1486</v>
      </c>
      <c r="D868" s="48">
        <v>46135</v>
      </c>
      <c r="E868" s="50" t="s">
        <v>1487</v>
      </c>
      <c r="F868" s="48"/>
      <c r="G868" s="48"/>
      <c r="H868" s="49" t="s">
        <v>196</v>
      </c>
      <c r="I868" s="51">
        <v>88050</v>
      </c>
      <c r="J868" s="51" t="s">
        <v>78</v>
      </c>
      <c r="K86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44025</v>
      </c>
      <c r="L868" s="52">
        <v>46134</v>
      </c>
      <c r="M868" s="143" t="s">
        <v>25</v>
      </c>
      <c r="N868" s="10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44025</v>
      </c>
      <c r="O86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46195</v>
      </c>
      <c r="P868" s="49" t="s">
        <v>25</v>
      </c>
      <c r="Q868" s="49" t="s">
        <v>292</v>
      </c>
      <c r="R868" s="48">
        <v>46191</v>
      </c>
      <c r="S868" s="59" t="s">
        <v>27</v>
      </c>
      <c r="U868" s="49" t="s">
        <v>32</v>
      </c>
    </row>
    <row r="869" spans="2:21" s="49" customFormat="1" ht="18.75" customHeight="1">
      <c r="B869" s="56">
        <v>46037</v>
      </c>
      <c r="C869" s="57" t="s">
        <v>1488</v>
      </c>
      <c r="D869" s="48">
        <v>46135</v>
      </c>
      <c r="E869" s="50" t="s">
        <v>1489</v>
      </c>
      <c r="F869" s="48"/>
      <c r="G869" s="48"/>
      <c r="H869" s="49" t="s">
        <v>196</v>
      </c>
      <c r="I869" s="51">
        <v>14413</v>
      </c>
      <c r="J869" s="51" t="s">
        <v>78</v>
      </c>
      <c r="K86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7206.5</v>
      </c>
      <c r="L869" s="52">
        <v>46134</v>
      </c>
      <c r="M869" s="143" t="s">
        <v>25</v>
      </c>
      <c r="N869" s="10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7206.5</v>
      </c>
      <c r="O86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46195</v>
      </c>
      <c r="P869" s="49" t="s">
        <v>25</v>
      </c>
      <c r="Q869" s="49" t="s">
        <v>899</v>
      </c>
      <c r="R869" s="48">
        <v>46191</v>
      </c>
      <c r="S869" s="59" t="s">
        <v>27</v>
      </c>
      <c r="U869" s="49" t="s">
        <v>32</v>
      </c>
    </row>
    <row r="870" spans="2:21" s="49" customFormat="1" ht="18.75" customHeight="1">
      <c r="B870" s="56">
        <v>46112</v>
      </c>
      <c r="C870" s="57" t="s">
        <v>1490</v>
      </c>
      <c r="D870" s="48">
        <v>46135</v>
      </c>
      <c r="E870" s="48" t="s">
        <v>1491</v>
      </c>
      <c r="F870" s="48"/>
      <c r="G870" s="48"/>
      <c r="H870" s="49" t="s">
        <v>196</v>
      </c>
      <c r="I870" s="51">
        <v>10132</v>
      </c>
      <c r="J870" s="51" t="s">
        <v>78</v>
      </c>
      <c r="K87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5066</v>
      </c>
      <c r="L870" s="52">
        <v>46134</v>
      </c>
      <c r="M870" s="143" t="s">
        <v>25</v>
      </c>
      <c r="N870" s="10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5066</v>
      </c>
      <c r="O87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46195</v>
      </c>
      <c r="P870" s="49" t="s">
        <v>25</v>
      </c>
      <c r="Q870" s="49" t="s">
        <v>34</v>
      </c>
      <c r="R870" s="48">
        <v>46191</v>
      </c>
      <c r="S870" s="59" t="s">
        <v>27</v>
      </c>
      <c r="U870" s="49" t="s">
        <v>32</v>
      </c>
    </row>
    <row r="871" spans="2:21" s="49" customFormat="1" ht="18.75" customHeight="1">
      <c r="B871" s="56">
        <v>46027</v>
      </c>
      <c r="C871" s="57" t="s">
        <v>1492</v>
      </c>
      <c r="D871" s="48">
        <v>46135</v>
      </c>
      <c r="E871" s="50" t="s">
        <v>1493</v>
      </c>
      <c r="F871" s="48"/>
      <c r="G871" s="48"/>
      <c r="H871" s="49" t="s">
        <v>196</v>
      </c>
      <c r="I871" s="51">
        <v>8354</v>
      </c>
      <c r="J871" s="51" t="s">
        <v>43</v>
      </c>
      <c r="K871" s="11">
        <v>4219</v>
      </c>
      <c r="L871" s="52">
        <v>46134</v>
      </c>
      <c r="M871" s="143" t="s">
        <v>25</v>
      </c>
      <c r="N871" s="10">
        <v>4135</v>
      </c>
      <c r="O87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46135</v>
      </c>
      <c r="P871" s="49" t="s">
        <v>25</v>
      </c>
      <c r="Q871" s="49" t="s">
        <v>1494</v>
      </c>
      <c r="R871" s="48">
        <v>46191</v>
      </c>
      <c r="S871" s="59" t="s">
        <v>27</v>
      </c>
      <c r="T871" s="49" t="s">
        <v>1495</v>
      </c>
      <c r="U871" s="49" t="s">
        <v>32</v>
      </c>
    </row>
    <row r="872" spans="2:21" ht="18.75" customHeight="1">
      <c r="B872" s="56">
        <v>46031</v>
      </c>
      <c r="C872" s="57" t="s">
        <v>1496</v>
      </c>
      <c r="D872" s="48">
        <v>46135</v>
      </c>
      <c r="E872" s="50" t="s">
        <v>1497</v>
      </c>
      <c r="F872" s="48"/>
      <c r="G872" s="48"/>
      <c r="H872" s="49" t="s">
        <v>196</v>
      </c>
      <c r="I872" s="51">
        <v>9720</v>
      </c>
      <c r="J872" s="51" t="s">
        <v>78</v>
      </c>
      <c r="K87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4860</v>
      </c>
      <c r="L872" s="52">
        <v>46134</v>
      </c>
      <c r="M872" s="143" t="s">
        <v>25</v>
      </c>
      <c r="N872" s="10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4860</v>
      </c>
      <c r="O87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46195</v>
      </c>
      <c r="P872" s="49" t="s">
        <v>25</v>
      </c>
      <c r="Q872" s="49" t="s">
        <v>830</v>
      </c>
      <c r="R872" s="48">
        <v>46191</v>
      </c>
      <c r="S872" s="59" t="s">
        <v>27</v>
      </c>
      <c r="T872" s="49"/>
      <c r="U872" s="49" t="s">
        <v>32</v>
      </c>
    </row>
    <row r="873" spans="2:21" ht="18.75" hidden="1" customHeight="1">
      <c r="B873" s="48"/>
      <c r="C873" s="49"/>
      <c r="D873" s="48">
        <v>46035</v>
      </c>
      <c r="E873" s="50">
        <v>11000201</v>
      </c>
      <c r="F873" s="48"/>
      <c r="G873" s="48"/>
      <c r="H873" s="49" t="s">
        <v>1498</v>
      </c>
      <c r="I873" s="51">
        <v>-1578.24</v>
      </c>
      <c r="J873" s="51" t="s">
        <v>98</v>
      </c>
      <c r="K873" s="11" t="str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/>
      </c>
      <c r="L873" s="52"/>
      <c r="M873" s="58"/>
      <c r="N87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-1578.24</v>
      </c>
      <c r="O873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873" s="49" t="s">
        <v>25</v>
      </c>
      <c r="Q873" s="49" t="s">
        <v>1499</v>
      </c>
      <c r="R873" s="48">
        <v>46035</v>
      </c>
      <c r="S873" s="49"/>
      <c r="T873" s="49"/>
      <c r="U873" s="49"/>
    </row>
    <row r="874" spans="2:21" ht="18.75" hidden="1" customHeight="1">
      <c r="B874" s="1"/>
      <c r="C874"/>
      <c r="D874" s="1">
        <v>46035</v>
      </c>
      <c r="E874" s="29" t="s">
        <v>1500</v>
      </c>
      <c r="F874" s="1">
        <v>46034</v>
      </c>
      <c r="G874" s="1"/>
      <c r="H874" t="s">
        <v>86</v>
      </c>
      <c r="I874" s="2">
        <v>643.74</v>
      </c>
      <c r="J874" s="2" t="s">
        <v>55</v>
      </c>
      <c r="K87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74" s="3"/>
      <c r="M874" s="11"/>
      <c r="N87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643.74</v>
      </c>
      <c r="O87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46034</v>
      </c>
      <c r="P874" t="s">
        <v>25</v>
      </c>
      <c r="Q874" t="s">
        <v>1501</v>
      </c>
      <c r="R874" s="1">
        <v>46034</v>
      </c>
      <c r="S874"/>
      <c r="U874" s="49"/>
    </row>
    <row r="875" spans="2:21" ht="18.75" hidden="1" customHeight="1">
      <c r="B875" s="56"/>
      <c r="C875" s="57"/>
      <c r="D875" s="48">
        <v>46134</v>
      </c>
      <c r="E875" s="50" t="s">
        <v>1502</v>
      </c>
      <c r="F875" s="48"/>
      <c r="G875" s="48"/>
      <c r="H875" s="49" t="s">
        <v>29</v>
      </c>
      <c r="I875" s="51">
        <v>21392.799999999999</v>
      </c>
      <c r="J875" s="51" t="s">
        <v>30</v>
      </c>
      <c r="K875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75" s="52"/>
      <c r="M875" s="58"/>
      <c r="N875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21392.799999999999</v>
      </c>
      <c r="O875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46194</v>
      </c>
      <c r="P875" s="49" t="s">
        <v>25</v>
      </c>
      <c r="Q875" s="49" t="s">
        <v>261</v>
      </c>
      <c r="R875" s="48">
        <v>46191</v>
      </c>
      <c r="S875" s="59" t="s">
        <v>27</v>
      </c>
      <c r="T875" s="49"/>
      <c r="U875" s="49" t="s">
        <v>32</v>
      </c>
    </row>
    <row r="876" spans="2:21" ht="18.75" hidden="1" customHeight="1">
      <c r="B876" s="1"/>
      <c r="C876"/>
      <c r="D876" s="1">
        <v>46023</v>
      </c>
      <c r="E876" s="29"/>
      <c r="F876" s="1"/>
      <c r="G876" s="1"/>
      <c r="H876" t="s">
        <v>155</v>
      </c>
      <c r="I876" s="2">
        <v>2000</v>
      </c>
      <c r="J876" s="2" t="s">
        <v>55</v>
      </c>
      <c r="K87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76" s="3"/>
      <c r="M876" s="11"/>
      <c r="N87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2000</v>
      </c>
      <c r="O876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876" t="s">
        <v>25</v>
      </c>
      <c r="Q876" t="s">
        <v>1503</v>
      </c>
      <c r="R876" s="1">
        <v>46030</v>
      </c>
      <c r="S876" t="s">
        <v>27</v>
      </c>
      <c r="T876" s="24" t="s">
        <v>1055</v>
      </c>
    </row>
    <row r="877" spans="2:21" ht="18.75" hidden="1" customHeight="1">
      <c r="B877" s="1"/>
      <c r="C877"/>
      <c r="D877" s="1">
        <v>46031</v>
      </c>
      <c r="E877" s="29" t="s">
        <v>1504</v>
      </c>
      <c r="F877" s="1"/>
      <c r="G877" s="1"/>
      <c r="H877" t="s">
        <v>162</v>
      </c>
      <c r="I877" s="2">
        <v>1300</v>
      </c>
      <c r="J877" s="2" t="s">
        <v>55</v>
      </c>
      <c r="K87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77" s="3"/>
      <c r="M877" s="11"/>
      <c r="N87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1300</v>
      </c>
      <c r="O877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877" t="s">
        <v>25</v>
      </c>
      <c r="Q877" t="s">
        <v>1505</v>
      </c>
      <c r="R877" s="1">
        <v>46030</v>
      </c>
      <c r="S877"/>
      <c r="T877" s="24"/>
    </row>
    <row r="878" spans="2:21" ht="18.75" hidden="1" customHeight="1">
      <c r="B878" s="1"/>
      <c r="C878"/>
      <c r="D878" s="1">
        <v>45971</v>
      </c>
      <c r="E878" s="29" t="s">
        <v>1506</v>
      </c>
      <c r="F878" s="1"/>
      <c r="G878" s="1"/>
      <c r="H878" t="s">
        <v>108</v>
      </c>
      <c r="I878" s="2">
        <v>4813.8</v>
      </c>
      <c r="J878" s="2" t="s">
        <v>30</v>
      </c>
      <c r="K87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78" s="3"/>
      <c r="M878" s="11"/>
      <c r="N87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4813.8</v>
      </c>
      <c r="O87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46031</v>
      </c>
      <c r="P878" t="s">
        <v>25</v>
      </c>
      <c r="Q878" t="s">
        <v>669</v>
      </c>
      <c r="R878" s="1">
        <v>46030</v>
      </c>
      <c r="S878" t="s">
        <v>27</v>
      </c>
      <c r="T878" s="24"/>
    </row>
    <row r="879" spans="2:21" s="49" customFormat="1" ht="18.75" hidden="1" customHeight="1">
      <c r="B879" s="1"/>
      <c r="C879"/>
      <c r="D879" s="1">
        <v>46044</v>
      </c>
      <c r="E879" s="29" t="s">
        <v>1507</v>
      </c>
      <c r="F879" s="1">
        <v>46051</v>
      </c>
      <c r="G879" s="1"/>
      <c r="H879" t="s">
        <v>1046</v>
      </c>
      <c r="I879" s="2">
        <v>296.39999999999998</v>
      </c>
      <c r="J879" s="2" t="s">
        <v>43</v>
      </c>
      <c r="K87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79" s="3"/>
      <c r="M879" s="11"/>
      <c r="N87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296.39999999999998</v>
      </c>
      <c r="O87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46044</v>
      </c>
      <c r="P879" t="s">
        <v>25</v>
      </c>
      <c r="Q879" t="s">
        <v>1508</v>
      </c>
      <c r="R879" s="1">
        <v>46051</v>
      </c>
      <c r="S879" t="s">
        <v>45</v>
      </c>
      <c r="T879"/>
      <c r="U879" t="s">
        <v>32</v>
      </c>
    </row>
    <row r="880" spans="2:21" s="49" customFormat="1" ht="18.75" hidden="1" customHeight="1">
      <c r="B880" s="1"/>
      <c r="C880"/>
      <c r="D880" s="1">
        <v>46044</v>
      </c>
      <c r="E880" s="29" t="s">
        <v>1509</v>
      </c>
      <c r="F880" s="1">
        <v>46051</v>
      </c>
      <c r="G880" s="1"/>
      <c r="H880" t="s">
        <v>1046</v>
      </c>
      <c r="I880" s="2">
        <v>1320</v>
      </c>
      <c r="J880" s="2" t="s">
        <v>43</v>
      </c>
      <c r="K88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80" s="3"/>
      <c r="M880" s="11"/>
      <c r="N88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1320</v>
      </c>
      <c r="O88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46044</v>
      </c>
      <c r="P880" t="s">
        <v>25</v>
      </c>
      <c r="Q880" t="s">
        <v>1510</v>
      </c>
      <c r="R880" s="1">
        <v>46051</v>
      </c>
      <c r="S880" t="s">
        <v>45</v>
      </c>
      <c r="T880"/>
      <c r="U880" t="s">
        <v>32</v>
      </c>
    </row>
    <row r="881" spans="2:21" s="49" customFormat="1" ht="18.75" hidden="1" customHeight="1">
      <c r="B881" s="1"/>
      <c r="C881"/>
      <c r="D881" s="1">
        <v>46037</v>
      </c>
      <c r="E881" s="29" t="s">
        <v>1511</v>
      </c>
      <c r="F881" s="1"/>
      <c r="G881" s="1"/>
      <c r="H881" t="s">
        <v>1046</v>
      </c>
      <c r="I881" s="41">
        <v>655</v>
      </c>
      <c r="J881" s="41" t="s">
        <v>43</v>
      </c>
      <c r="K88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81" s="43"/>
      <c r="M881" s="42"/>
      <c r="N88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655</v>
      </c>
      <c r="O88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46037</v>
      </c>
      <c r="P881" t="s">
        <v>25</v>
      </c>
      <c r="Q881" t="s">
        <v>1512</v>
      </c>
      <c r="R881" s="1">
        <v>46044</v>
      </c>
      <c r="S881" t="s">
        <v>45</v>
      </c>
      <c r="T881"/>
      <c r="U881" t="s">
        <v>32</v>
      </c>
    </row>
    <row r="882" spans="2:21" s="49" customFormat="1" ht="18.75" customHeight="1">
      <c r="B882" s="56">
        <v>46031</v>
      </c>
      <c r="C882" s="57" t="s">
        <v>1513</v>
      </c>
      <c r="D882" s="48">
        <v>46135</v>
      </c>
      <c r="E882" s="50" t="s">
        <v>1514</v>
      </c>
      <c r="F882" s="48"/>
      <c r="G882" s="48"/>
      <c r="H882" s="49" t="s">
        <v>196</v>
      </c>
      <c r="I882" s="51">
        <v>8748</v>
      </c>
      <c r="J882" s="51" t="s">
        <v>78</v>
      </c>
      <c r="K88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4374</v>
      </c>
      <c r="L882" s="52">
        <v>46134</v>
      </c>
      <c r="M882" s="143" t="s">
        <v>25</v>
      </c>
      <c r="N882" s="10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4374</v>
      </c>
      <c r="O88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46195</v>
      </c>
      <c r="P882" s="49" t="s">
        <v>25</v>
      </c>
      <c r="Q882" s="49" t="s">
        <v>1287</v>
      </c>
      <c r="R882" s="48">
        <v>46191</v>
      </c>
      <c r="S882" s="59" t="s">
        <v>27</v>
      </c>
      <c r="U882" s="49" t="s">
        <v>32</v>
      </c>
    </row>
    <row r="883" spans="2:21" s="49" customFormat="1" ht="18.75" hidden="1" customHeight="1">
      <c r="B883" s="44"/>
      <c r="C883" s="7"/>
      <c r="D883" s="1">
        <v>46029</v>
      </c>
      <c r="E883" s="29" t="s">
        <v>1504</v>
      </c>
      <c r="F883" s="1"/>
      <c r="G883" s="1"/>
      <c r="H883" t="s">
        <v>148</v>
      </c>
      <c r="I883" s="2">
        <v>2702</v>
      </c>
      <c r="J883" s="2" t="s">
        <v>43</v>
      </c>
      <c r="K88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83" s="3"/>
      <c r="M883" s="11"/>
      <c r="N88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2702</v>
      </c>
      <c r="O88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46029</v>
      </c>
      <c r="P883" t="s">
        <v>25</v>
      </c>
      <c r="Q883" t="s">
        <v>1515</v>
      </c>
      <c r="R883" s="1">
        <v>46029</v>
      </c>
      <c r="S883" s="24" t="s">
        <v>27</v>
      </c>
      <c r="T883"/>
    </row>
    <row r="884" spans="2:21" s="49" customFormat="1" ht="18.75" hidden="1" customHeight="1">
      <c r="B884" s="1"/>
      <c r="C884"/>
      <c r="D884" s="1">
        <v>46037</v>
      </c>
      <c r="E884" s="29" t="s">
        <v>1516</v>
      </c>
      <c r="F884" s="1"/>
      <c r="G884" s="1"/>
      <c r="H884" t="s">
        <v>1046</v>
      </c>
      <c r="I884" s="2">
        <v>120</v>
      </c>
      <c r="J884" s="2" t="s">
        <v>43</v>
      </c>
      <c r="K88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84" s="3"/>
      <c r="M884" s="11"/>
      <c r="N88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88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46037</v>
      </c>
      <c r="P884" t="s">
        <v>25</v>
      </c>
      <c r="Q884" t="s">
        <v>1517</v>
      </c>
      <c r="R884" s="1">
        <v>46044</v>
      </c>
      <c r="S884" t="s">
        <v>45</v>
      </c>
      <c r="T884"/>
      <c r="U884" t="s">
        <v>32</v>
      </c>
    </row>
    <row r="885" spans="2:21" s="49" customFormat="1" ht="18.75" hidden="1" customHeight="1">
      <c r="B885" s="1"/>
      <c r="C885"/>
      <c r="D885" s="1">
        <v>45988</v>
      </c>
      <c r="E885" s="29" t="s">
        <v>1518</v>
      </c>
      <c r="F885" s="1"/>
      <c r="G885" s="1"/>
      <c r="H885" t="s">
        <v>1072</v>
      </c>
      <c r="I885" s="2">
        <v>41</v>
      </c>
      <c r="J885" s="2" t="s">
        <v>43</v>
      </c>
      <c r="K88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85" s="3"/>
      <c r="M885" s="11"/>
      <c r="N88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41</v>
      </c>
      <c r="O88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45988</v>
      </c>
      <c r="P885" t="s">
        <v>25</v>
      </c>
      <c r="Q885" t="s">
        <v>1073</v>
      </c>
      <c r="R885" s="1">
        <v>45988</v>
      </c>
      <c r="S885"/>
      <c r="T885" s="24"/>
      <c r="U885"/>
    </row>
    <row r="886" spans="2:21" s="267" customFormat="1" ht="18.75" hidden="1" customHeight="1">
      <c r="B886" s="263"/>
      <c r="C886" s="264"/>
      <c r="D886" s="265">
        <v>46151</v>
      </c>
      <c r="E886" s="266">
        <v>1852315349</v>
      </c>
      <c r="F886" s="265"/>
      <c r="G886" s="265"/>
      <c r="H886" s="267" t="s">
        <v>1519</v>
      </c>
      <c r="I886" s="268">
        <v>19</v>
      </c>
      <c r="J886" s="268" t="s">
        <v>43</v>
      </c>
      <c r="K886" s="269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86" s="270"/>
      <c r="M886" s="268"/>
      <c r="N886" s="269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19</v>
      </c>
      <c r="O886" s="271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46151</v>
      </c>
      <c r="P886" s="267" t="s">
        <v>25</v>
      </c>
      <c r="Q886" s="267" t="s">
        <v>1520</v>
      </c>
      <c r="S886" s="272"/>
      <c r="T886" s="267" t="s">
        <v>1521</v>
      </c>
    </row>
    <row r="887" spans="2:21" s="49" customFormat="1" ht="18.75" hidden="1" customHeight="1">
      <c r="B887" s="56"/>
      <c r="C887" s="142"/>
      <c r="D887" s="76">
        <v>46193</v>
      </c>
      <c r="E887" s="78">
        <v>1852372450</v>
      </c>
      <c r="F887" s="76"/>
      <c r="G887" s="76"/>
      <c r="H887" s="49" t="s">
        <v>1519</v>
      </c>
      <c r="I887" s="79">
        <v>20.45</v>
      </c>
      <c r="J887" s="51" t="s">
        <v>43</v>
      </c>
      <c r="K887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87" s="52"/>
      <c r="M887" s="58"/>
      <c r="N887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20.45</v>
      </c>
      <c r="O887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46193</v>
      </c>
      <c r="P887" s="63" t="s">
        <v>25</v>
      </c>
      <c r="Q887" s="171" t="s">
        <v>1522</v>
      </c>
      <c r="R887" s="76"/>
      <c r="S887" s="82"/>
      <c r="T887" s="63"/>
    </row>
    <row r="888" spans="2:21" s="49" customFormat="1" ht="18.75" hidden="1" customHeight="1">
      <c r="B888" s="76"/>
      <c r="C888" s="63"/>
      <c r="D888" s="76">
        <v>46030</v>
      </c>
      <c r="E888" s="78">
        <v>1100094</v>
      </c>
      <c r="F888" s="76"/>
      <c r="G888" s="76"/>
      <c r="H888" s="63" t="s">
        <v>1498</v>
      </c>
      <c r="I888" s="79">
        <v>-1732.5</v>
      </c>
      <c r="J888" s="79" t="s">
        <v>43</v>
      </c>
      <c r="K88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88" s="80"/>
      <c r="M888" s="81"/>
      <c r="N88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-1732.5</v>
      </c>
      <c r="O88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46030</v>
      </c>
      <c r="P888" s="63" t="s">
        <v>25</v>
      </c>
      <c r="Q888" s="63" t="s">
        <v>1523</v>
      </c>
      <c r="R888" s="63"/>
      <c r="S888" s="63"/>
      <c r="T888" s="63"/>
      <c r="U888" s="63"/>
    </row>
    <row r="889" spans="2:21" s="49" customFormat="1" ht="18.75" hidden="1" customHeight="1">
      <c r="B889" s="1"/>
      <c r="C889" s="7"/>
      <c r="D889" s="1">
        <v>46031</v>
      </c>
      <c r="E889" s="29" t="s">
        <v>1524</v>
      </c>
      <c r="F889" s="1"/>
      <c r="G889" s="1"/>
      <c r="H889" t="s">
        <v>1067</v>
      </c>
      <c r="I889" s="2">
        <v>55.5</v>
      </c>
      <c r="J889" s="2" t="s">
        <v>43</v>
      </c>
      <c r="K88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89" s="3"/>
      <c r="M889" s="11"/>
      <c r="N88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55.5</v>
      </c>
      <c r="O88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46031</v>
      </c>
      <c r="P889" s="2" t="s">
        <v>25</v>
      </c>
      <c r="Q889" t="s">
        <v>1525</v>
      </c>
      <c r="R889"/>
      <c r="S889"/>
      <c r="T889"/>
      <c r="U889"/>
    </row>
    <row r="890" spans="2:21" s="49" customFormat="1" ht="18.75" hidden="1" customHeight="1">
      <c r="B890" s="1"/>
      <c r="C890" s="7"/>
      <c r="D890" s="1">
        <v>46032</v>
      </c>
      <c r="E890" s="29" t="s">
        <v>1526</v>
      </c>
      <c r="F890" s="1"/>
      <c r="G890" s="1"/>
      <c r="H890" t="s">
        <v>1067</v>
      </c>
      <c r="I890" s="2">
        <v>31.76</v>
      </c>
      <c r="J890" s="2" t="s">
        <v>43</v>
      </c>
      <c r="K89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90" s="3"/>
      <c r="M890" s="11"/>
      <c r="N89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31.76</v>
      </c>
      <c r="O89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46032</v>
      </c>
      <c r="P890" s="2" t="s">
        <v>25</v>
      </c>
      <c r="Q890" t="s">
        <v>1077</v>
      </c>
      <c r="R890"/>
      <c r="S890"/>
      <c r="T890"/>
      <c r="U890"/>
    </row>
    <row r="891" spans="2:21" s="49" customFormat="1" ht="18.75" hidden="1" customHeight="1">
      <c r="B891" s="1"/>
      <c r="C891" s="7"/>
      <c r="D891" s="1">
        <v>46032</v>
      </c>
      <c r="E891" s="29" t="s">
        <v>1527</v>
      </c>
      <c r="F891" s="1"/>
      <c r="G891" s="1"/>
      <c r="H891" t="s">
        <v>1067</v>
      </c>
      <c r="I891" s="2">
        <v>19.47</v>
      </c>
      <c r="J891" s="2" t="s">
        <v>43</v>
      </c>
      <c r="K89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91" s="3"/>
      <c r="M891" s="11"/>
      <c r="N89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19.47</v>
      </c>
      <c r="O89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46032</v>
      </c>
      <c r="P891" t="s">
        <v>25</v>
      </c>
      <c r="Q891" t="s">
        <v>1070</v>
      </c>
      <c r="R891"/>
      <c r="S891"/>
      <c r="T891" s="24"/>
      <c r="U891"/>
    </row>
    <row r="892" spans="2:21" s="49" customFormat="1" ht="18.75" hidden="1" customHeight="1">
      <c r="B892" s="1"/>
      <c r="C892" s="7"/>
      <c r="D892" s="1">
        <v>46033</v>
      </c>
      <c r="E892" s="29" t="s">
        <v>1524</v>
      </c>
      <c r="F892" s="1"/>
      <c r="G892" s="1"/>
      <c r="H892" t="s">
        <v>1067</v>
      </c>
      <c r="I892" s="2">
        <v>50.5</v>
      </c>
      <c r="J892" s="2" t="s">
        <v>43</v>
      </c>
      <c r="K89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92" s="3"/>
      <c r="M892" s="11"/>
      <c r="N89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50.5</v>
      </c>
      <c r="O89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46033</v>
      </c>
      <c r="P892" s="2" t="s">
        <v>25</v>
      </c>
      <c r="Q892" t="s">
        <v>1528</v>
      </c>
      <c r="R892"/>
      <c r="S892"/>
      <c r="T892"/>
      <c r="U892"/>
    </row>
    <row r="893" spans="2:21" s="49" customFormat="1" ht="18.75" hidden="1" customHeight="1">
      <c r="B893" s="1"/>
      <c r="C893"/>
      <c r="D893" s="1">
        <v>46033</v>
      </c>
      <c r="E893" s="29" t="s">
        <v>1529</v>
      </c>
      <c r="F893" s="1"/>
      <c r="G893" s="1"/>
      <c r="H893" t="s">
        <v>1067</v>
      </c>
      <c r="I893" s="2">
        <v>72.16</v>
      </c>
      <c r="J893" s="2" t="s">
        <v>43</v>
      </c>
      <c r="K89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93" s="3"/>
      <c r="M893" s="11"/>
      <c r="N89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72.16</v>
      </c>
      <c r="O89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46033</v>
      </c>
      <c r="P893" t="s">
        <v>25</v>
      </c>
      <c r="Q893" t="s">
        <v>1530</v>
      </c>
      <c r="R893"/>
      <c r="S893"/>
      <c r="T893"/>
      <c r="U893"/>
    </row>
    <row r="894" spans="2:21" s="49" customFormat="1" ht="18.75" hidden="1" customHeight="1">
      <c r="B894" s="1"/>
      <c r="C894" s="7"/>
      <c r="D894" s="1">
        <v>46033</v>
      </c>
      <c r="E894" s="29" t="s">
        <v>1531</v>
      </c>
      <c r="F894" s="1"/>
      <c r="G894" s="1"/>
      <c r="H894" t="s">
        <v>1067</v>
      </c>
      <c r="I894" s="2">
        <v>57.62</v>
      </c>
      <c r="J894" s="2" t="s">
        <v>43</v>
      </c>
      <c r="K89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94" s="3"/>
      <c r="M894" s="11"/>
      <c r="N89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57.62</v>
      </c>
      <c r="O89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46033</v>
      </c>
      <c r="P894" s="2" t="s">
        <v>25</v>
      </c>
      <c r="Q894" t="s">
        <v>1380</v>
      </c>
      <c r="R894"/>
      <c r="S894"/>
      <c r="T894"/>
      <c r="U894"/>
    </row>
    <row r="895" spans="2:21" s="49" customFormat="1" ht="18.75" hidden="1" customHeight="1">
      <c r="B895" s="1"/>
      <c r="C895" s="7"/>
      <c r="D895" s="1">
        <v>46035</v>
      </c>
      <c r="E895" s="29" t="s">
        <v>1532</v>
      </c>
      <c r="F895" s="1"/>
      <c r="G895" s="1"/>
      <c r="H895" t="s">
        <v>1067</v>
      </c>
      <c r="I895" s="2">
        <v>134.94999999999999</v>
      </c>
      <c r="J895" s="2" t="s">
        <v>43</v>
      </c>
      <c r="K89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95" s="3"/>
      <c r="M895" s="11"/>
      <c r="N89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134.94999999999999</v>
      </c>
      <c r="O89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46035</v>
      </c>
      <c r="P895" s="2" t="s">
        <v>25</v>
      </c>
      <c r="Q895" t="s">
        <v>1533</v>
      </c>
      <c r="R895"/>
      <c r="S895"/>
      <c r="T895"/>
      <c r="U895"/>
    </row>
    <row r="896" spans="2:21" s="49" customFormat="1" ht="18.75" hidden="1" customHeight="1">
      <c r="B896" s="1"/>
      <c r="C896" s="7"/>
      <c r="D896" s="1">
        <v>46035</v>
      </c>
      <c r="E896" s="29" t="s">
        <v>1534</v>
      </c>
      <c r="F896" s="1"/>
      <c r="G896" s="1"/>
      <c r="H896" t="s">
        <v>1067</v>
      </c>
      <c r="I896" s="2">
        <v>39.64</v>
      </c>
      <c r="J896" s="2" t="s">
        <v>43</v>
      </c>
      <c r="K89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96" s="3"/>
      <c r="M896" s="11"/>
      <c r="N89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39.64</v>
      </c>
      <c r="O89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46035</v>
      </c>
      <c r="P896" s="2" t="s">
        <v>25</v>
      </c>
      <c r="Q896" t="s">
        <v>1535</v>
      </c>
      <c r="R896"/>
      <c r="S896"/>
      <c r="T896"/>
      <c r="U896"/>
    </row>
    <row r="897" spans="2:21" s="49" customFormat="1" ht="18.75" hidden="1" customHeight="1">
      <c r="B897" s="1"/>
      <c r="C897"/>
      <c r="D897" s="1">
        <v>46035</v>
      </c>
      <c r="E897" s="29" t="s">
        <v>1532</v>
      </c>
      <c r="F897" s="1"/>
      <c r="G897" s="1"/>
      <c r="H897" t="s">
        <v>1067</v>
      </c>
      <c r="I897" s="2">
        <v>23.4</v>
      </c>
      <c r="J897" s="2" t="s">
        <v>43</v>
      </c>
      <c r="K89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97" s="3"/>
      <c r="M897" s="11"/>
      <c r="N89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23.4</v>
      </c>
      <c r="O89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46035</v>
      </c>
      <c r="P897" t="s">
        <v>25</v>
      </c>
      <c r="Q897" t="s">
        <v>1536</v>
      </c>
      <c r="R897"/>
      <c r="S897"/>
      <c r="T897"/>
      <c r="U897"/>
    </row>
    <row r="898" spans="2:21" s="49" customFormat="1" ht="18.75" hidden="1" customHeight="1">
      <c r="B898" s="1"/>
      <c r="C898" s="7"/>
      <c r="D898" s="1">
        <v>46035</v>
      </c>
      <c r="E898" s="29" t="s">
        <v>1537</v>
      </c>
      <c r="F898" s="1"/>
      <c r="G898" s="1"/>
      <c r="H898" t="s">
        <v>1067</v>
      </c>
      <c r="I898" s="2">
        <v>16.14</v>
      </c>
      <c r="J898" s="2" t="s">
        <v>43</v>
      </c>
      <c r="K89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98" s="3"/>
      <c r="M898" s="11"/>
      <c r="N89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16.14</v>
      </c>
      <c r="O89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46035</v>
      </c>
      <c r="P898" s="2" t="s">
        <v>25</v>
      </c>
      <c r="Q898" t="s">
        <v>1538</v>
      </c>
      <c r="R898"/>
      <c r="S898"/>
      <c r="T898"/>
      <c r="U898"/>
    </row>
    <row r="899" spans="2:21" s="49" customFormat="1" ht="18.75" hidden="1" customHeight="1">
      <c r="B899" s="1"/>
      <c r="C899" s="7"/>
      <c r="D899" s="1">
        <v>46035</v>
      </c>
      <c r="E899" s="29" t="s">
        <v>1539</v>
      </c>
      <c r="F899" s="1"/>
      <c r="G899" s="1"/>
      <c r="H899" t="s">
        <v>1067</v>
      </c>
      <c r="I899" s="2">
        <v>8.66</v>
      </c>
      <c r="J899" s="2" t="s">
        <v>43</v>
      </c>
      <c r="K89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899" s="3"/>
      <c r="M899" s="11"/>
      <c r="N89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8.66</v>
      </c>
      <c r="O89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46035</v>
      </c>
      <c r="P899" s="2" t="s">
        <v>25</v>
      </c>
      <c r="Q899" t="s">
        <v>1540</v>
      </c>
      <c r="R899"/>
      <c r="S899"/>
      <c r="T899"/>
      <c r="U899"/>
    </row>
    <row r="900" spans="2:21" s="49" customFormat="1" ht="18.75" hidden="1" customHeight="1">
      <c r="B900" s="1"/>
      <c r="C900" s="7"/>
      <c r="D900" s="1">
        <v>46035</v>
      </c>
      <c r="E900" s="29" t="s">
        <v>1541</v>
      </c>
      <c r="F900" s="1"/>
      <c r="G900" s="1"/>
      <c r="H900" t="s">
        <v>1067</v>
      </c>
      <c r="I900" s="2">
        <v>7.99</v>
      </c>
      <c r="J900" s="2" t="s">
        <v>43</v>
      </c>
      <c r="K90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00" s="3"/>
      <c r="M900" s="11"/>
      <c r="N90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7.99</v>
      </c>
      <c r="O90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46035</v>
      </c>
      <c r="P900" s="2" t="s">
        <v>25</v>
      </c>
      <c r="Q900" t="s">
        <v>1542</v>
      </c>
      <c r="R900"/>
      <c r="S900"/>
      <c r="T900"/>
      <c r="U900"/>
    </row>
    <row r="901" spans="2:21" s="49" customFormat="1" ht="18.75" hidden="1" customHeight="1">
      <c r="B901" s="1"/>
      <c r="C901"/>
      <c r="D901" s="1">
        <v>46035</v>
      </c>
      <c r="E901" s="29" t="s">
        <v>1534</v>
      </c>
      <c r="F901" s="1"/>
      <c r="G901" s="1"/>
      <c r="H901" t="s">
        <v>1067</v>
      </c>
      <c r="I901" s="2">
        <v>6.88</v>
      </c>
      <c r="J901" s="2" t="s">
        <v>43</v>
      </c>
      <c r="K90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01" s="3"/>
      <c r="M901" s="11"/>
      <c r="N90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6.88</v>
      </c>
      <c r="O90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46035</v>
      </c>
      <c r="P901" t="s">
        <v>25</v>
      </c>
      <c r="Q901" t="s">
        <v>1543</v>
      </c>
      <c r="R901"/>
      <c r="S901"/>
      <c r="T901"/>
      <c r="U901"/>
    </row>
    <row r="902" spans="2:21" s="49" customFormat="1" ht="18.75" hidden="1" customHeight="1">
      <c r="B902" s="1"/>
      <c r="C902"/>
      <c r="D902" s="1">
        <v>46035</v>
      </c>
      <c r="E902" s="29" t="s">
        <v>1537</v>
      </c>
      <c r="F902" s="1"/>
      <c r="G902" s="1"/>
      <c r="H902" t="s">
        <v>1067</v>
      </c>
      <c r="I902" s="2">
        <v>2.8</v>
      </c>
      <c r="J902" s="2" t="s">
        <v>43</v>
      </c>
      <c r="K90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02" s="3"/>
      <c r="M902" s="11"/>
      <c r="N90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2.8</v>
      </c>
      <c r="O90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46035</v>
      </c>
      <c r="P902" t="s">
        <v>25</v>
      </c>
      <c r="Q902" t="s">
        <v>1544</v>
      </c>
      <c r="R902"/>
      <c r="S902"/>
      <c r="T902"/>
      <c r="U902"/>
    </row>
    <row r="903" spans="2:21" s="49" customFormat="1" ht="18.75" hidden="1" customHeight="1">
      <c r="B903" s="1"/>
      <c r="C903"/>
      <c r="D903" s="1">
        <v>46035</v>
      </c>
      <c r="E903" s="29" t="s">
        <v>1539</v>
      </c>
      <c r="F903" s="1"/>
      <c r="G903" s="1"/>
      <c r="H903" t="s">
        <v>1067</v>
      </c>
      <c r="I903" s="2">
        <v>1.5</v>
      </c>
      <c r="J903" s="2" t="s">
        <v>43</v>
      </c>
      <c r="K90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03" s="3"/>
      <c r="M903" s="11"/>
      <c r="N90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1.5</v>
      </c>
      <c r="O90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46035</v>
      </c>
      <c r="P903" t="s">
        <v>25</v>
      </c>
      <c r="Q903" t="s">
        <v>1540</v>
      </c>
      <c r="R903"/>
      <c r="S903"/>
      <c r="T903"/>
      <c r="U903"/>
    </row>
    <row r="904" spans="2:21" s="49" customFormat="1" ht="18.75" hidden="1" customHeight="1">
      <c r="B904" s="1"/>
      <c r="C904"/>
      <c r="D904" s="1">
        <v>46035</v>
      </c>
      <c r="E904" s="29" t="s">
        <v>1541</v>
      </c>
      <c r="F904" s="1"/>
      <c r="G904" s="1"/>
      <c r="H904" t="s">
        <v>1067</v>
      </c>
      <c r="I904" s="2">
        <v>1.39</v>
      </c>
      <c r="J904" s="2" t="s">
        <v>43</v>
      </c>
      <c r="K90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04" s="3"/>
      <c r="M904" s="11"/>
      <c r="N90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1.39</v>
      </c>
      <c r="O90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46035</v>
      </c>
      <c r="P904" t="s">
        <v>25</v>
      </c>
      <c r="Q904" t="s">
        <v>1542</v>
      </c>
      <c r="R904"/>
      <c r="S904"/>
      <c r="T904"/>
      <c r="U904"/>
    </row>
    <row r="905" spans="2:21" s="49" customFormat="1" ht="18.75" hidden="1" customHeight="1">
      <c r="B905" s="1"/>
      <c r="C905" s="7"/>
      <c r="D905" s="1">
        <v>46036</v>
      </c>
      <c r="E905" s="29" t="s">
        <v>1545</v>
      </c>
      <c r="F905" s="1"/>
      <c r="G905" s="1"/>
      <c r="H905" t="s">
        <v>1067</v>
      </c>
      <c r="I905" s="2">
        <v>39.9</v>
      </c>
      <c r="J905" s="2" t="s">
        <v>43</v>
      </c>
      <c r="K90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05" s="3"/>
      <c r="M905" s="11"/>
      <c r="N90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39.9</v>
      </c>
      <c r="O90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46036</v>
      </c>
      <c r="P905" s="2" t="s">
        <v>25</v>
      </c>
      <c r="Q905" t="s">
        <v>1546</v>
      </c>
      <c r="R905"/>
      <c r="S905"/>
      <c r="T905"/>
      <c r="U905"/>
    </row>
    <row r="906" spans="2:21" s="49" customFormat="1" ht="18.75" hidden="1" customHeight="1">
      <c r="B906" s="1"/>
      <c r="C906" s="7"/>
      <c r="D906" s="1">
        <v>46036</v>
      </c>
      <c r="E906" s="29" t="s">
        <v>1547</v>
      </c>
      <c r="F906" s="1"/>
      <c r="G906" s="1"/>
      <c r="H906" t="s">
        <v>1067</v>
      </c>
      <c r="I906" s="2">
        <v>20.72</v>
      </c>
      <c r="J906" s="2" t="s">
        <v>43</v>
      </c>
      <c r="K90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06" s="3"/>
      <c r="M906" s="11"/>
      <c r="N90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20.72</v>
      </c>
      <c r="O90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46036</v>
      </c>
      <c r="P906" s="2" t="s">
        <v>25</v>
      </c>
      <c r="Q906" t="s">
        <v>1548</v>
      </c>
      <c r="R906"/>
      <c r="S906"/>
      <c r="T906"/>
      <c r="U906"/>
    </row>
    <row r="907" spans="2:21" s="49" customFormat="1" ht="18.75" hidden="1" customHeight="1">
      <c r="B907" s="1"/>
      <c r="C907" s="7"/>
      <c r="D907" s="1">
        <v>46041</v>
      </c>
      <c r="E907" s="29" t="s">
        <v>1549</v>
      </c>
      <c r="F907" s="1"/>
      <c r="G907" s="1"/>
      <c r="H907" t="s">
        <v>1067</v>
      </c>
      <c r="I907" s="2">
        <v>13.99</v>
      </c>
      <c r="J907" s="2" t="s">
        <v>43</v>
      </c>
      <c r="K90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07" s="3"/>
      <c r="M907" s="11"/>
      <c r="N90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13.99</v>
      </c>
      <c r="O90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46041</v>
      </c>
      <c r="P907" t="s">
        <v>25</v>
      </c>
      <c r="Q907" t="s">
        <v>1550</v>
      </c>
      <c r="R907"/>
      <c r="S907"/>
      <c r="T907" s="24"/>
      <c r="U907"/>
    </row>
    <row r="908" spans="2:21" s="49" customFormat="1" ht="18.75" hidden="1" customHeight="1">
      <c r="B908" s="1"/>
      <c r="C908" s="7"/>
      <c r="D908" s="1">
        <v>46041</v>
      </c>
      <c r="E908" s="29" t="s">
        <v>1551</v>
      </c>
      <c r="F908" s="1"/>
      <c r="G908" s="1"/>
      <c r="H908" t="s">
        <v>1067</v>
      </c>
      <c r="I908" s="2">
        <v>8.99</v>
      </c>
      <c r="J908" s="2" t="s">
        <v>43</v>
      </c>
      <c r="K90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08" s="3"/>
      <c r="M908" s="11"/>
      <c r="N90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8.99</v>
      </c>
      <c r="O90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46041</v>
      </c>
      <c r="P908" t="s">
        <v>25</v>
      </c>
      <c r="Q908" t="s">
        <v>1552</v>
      </c>
      <c r="R908"/>
      <c r="S908"/>
      <c r="T908" s="24"/>
      <c r="U908"/>
    </row>
    <row r="909" spans="2:21" s="49" customFormat="1" ht="18.75" hidden="1" customHeight="1">
      <c r="B909" s="1"/>
      <c r="C909" s="7"/>
      <c r="D909" s="1">
        <v>46042</v>
      </c>
      <c r="E909" s="29" t="s">
        <v>1553</v>
      </c>
      <c r="F909" s="1"/>
      <c r="G909" s="1"/>
      <c r="H909" t="s">
        <v>1067</v>
      </c>
      <c r="I909" s="2">
        <v>12.99</v>
      </c>
      <c r="J909" s="2" t="s">
        <v>43</v>
      </c>
      <c r="K90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09" s="3"/>
      <c r="M909" s="11"/>
      <c r="N90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12.99</v>
      </c>
      <c r="O90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46042</v>
      </c>
      <c r="P909" s="2" t="s">
        <v>25</v>
      </c>
      <c r="Q909" t="s">
        <v>1538</v>
      </c>
      <c r="R909"/>
      <c r="S909"/>
      <c r="T909"/>
      <c r="U909"/>
    </row>
    <row r="910" spans="2:21" s="49" customFormat="1" ht="18.75" hidden="1" customHeight="1">
      <c r="B910" s="1"/>
      <c r="C910" s="7"/>
      <c r="D910" s="1">
        <v>46045</v>
      </c>
      <c r="E910" s="29" t="s">
        <v>1554</v>
      </c>
      <c r="F910" s="1"/>
      <c r="G910" s="1"/>
      <c r="H910" t="s">
        <v>1067</v>
      </c>
      <c r="I910" s="2">
        <v>89.98</v>
      </c>
      <c r="J910" s="2" t="s">
        <v>43</v>
      </c>
      <c r="K91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10" s="3"/>
      <c r="M910" s="11"/>
      <c r="N91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89.98</v>
      </c>
      <c r="O91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46045</v>
      </c>
      <c r="P910" s="2" t="s">
        <v>25</v>
      </c>
      <c r="Q910" t="s">
        <v>1555</v>
      </c>
      <c r="R910"/>
      <c r="S910"/>
      <c r="T910"/>
      <c r="U910"/>
    </row>
    <row r="911" spans="2:21" s="49" customFormat="1" ht="18.75" hidden="1" customHeight="1">
      <c r="B911" s="1"/>
      <c r="C911" s="7"/>
      <c r="D911" s="1">
        <v>46045</v>
      </c>
      <c r="E911" s="29" t="s">
        <v>1556</v>
      </c>
      <c r="F911" s="1"/>
      <c r="G911" s="1"/>
      <c r="H911" t="s">
        <v>1067</v>
      </c>
      <c r="I911" s="2">
        <v>66.459999999999994</v>
      </c>
      <c r="J911" s="2" t="s">
        <v>43</v>
      </c>
      <c r="K91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11" s="3"/>
      <c r="M911" s="11"/>
      <c r="N91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66.459999999999994</v>
      </c>
      <c r="O91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46045</v>
      </c>
      <c r="P911" s="2" t="s">
        <v>25</v>
      </c>
      <c r="Q911" t="s">
        <v>1557</v>
      </c>
      <c r="R911"/>
      <c r="S911"/>
      <c r="T911"/>
      <c r="U911"/>
    </row>
    <row r="912" spans="2:21" s="49" customFormat="1" ht="18.75" hidden="1" customHeight="1">
      <c r="B912" s="150"/>
      <c r="C912" s="159"/>
      <c r="D912" s="150">
        <v>46045</v>
      </c>
      <c r="E912" s="152" t="s">
        <v>1558</v>
      </c>
      <c r="F912" s="150"/>
      <c r="G912" s="150"/>
      <c r="H912" s="151" t="s">
        <v>1067</v>
      </c>
      <c r="I912" s="153">
        <v>21.98</v>
      </c>
      <c r="J912" s="153" t="s">
        <v>43</v>
      </c>
      <c r="K912" s="160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12" s="154"/>
      <c r="M912" s="160"/>
      <c r="N912" s="160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21.98</v>
      </c>
      <c r="O912" s="169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46045</v>
      </c>
      <c r="P912" s="151" t="s">
        <v>25</v>
      </c>
      <c r="Q912" s="151" t="s">
        <v>1559</v>
      </c>
      <c r="R912" s="151"/>
      <c r="S912" s="151"/>
      <c r="T912" s="155"/>
      <c r="U912" s="151"/>
    </row>
    <row r="913" spans="2:21" s="49" customFormat="1" ht="18.75" hidden="1" customHeight="1">
      <c r="B913" s="1"/>
      <c r="C913" s="7"/>
      <c r="D913" s="1">
        <v>46046</v>
      </c>
      <c r="E913" s="29" t="s">
        <v>1560</v>
      </c>
      <c r="F913" s="1"/>
      <c r="G913" s="1"/>
      <c r="H913" t="s">
        <v>1067</v>
      </c>
      <c r="I913" s="2">
        <v>29.9</v>
      </c>
      <c r="J913" s="2" t="s">
        <v>43</v>
      </c>
      <c r="K91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13" s="3"/>
      <c r="M913" s="11"/>
      <c r="N91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29.9</v>
      </c>
      <c r="O91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46046</v>
      </c>
      <c r="P913" s="2" t="s">
        <v>25</v>
      </c>
      <c r="Q913" t="s">
        <v>1561</v>
      </c>
      <c r="R913"/>
      <c r="S913"/>
      <c r="T913"/>
      <c r="U913"/>
    </row>
    <row r="914" spans="2:21" s="49" customFormat="1" ht="18.75" hidden="1" customHeight="1">
      <c r="B914" s="1"/>
      <c r="C914" s="7"/>
      <c r="D914" s="1">
        <v>46046</v>
      </c>
      <c r="E914" s="29" t="s">
        <v>1562</v>
      </c>
      <c r="F914" s="1"/>
      <c r="G914" s="1"/>
      <c r="H914" t="s">
        <v>1067</v>
      </c>
      <c r="I914" s="2">
        <v>11.82</v>
      </c>
      <c r="J914" s="2" t="s">
        <v>43</v>
      </c>
      <c r="K91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14" s="3"/>
      <c r="M914" s="11"/>
      <c r="N91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11.82</v>
      </c>
      <c r="O91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46046</v>
      </c>
      <c r="P914" t="s">
        <v>25</v>
      </c>
      <c r="Q914"/>
      <c r="R914"/>
      <c r="S914"/>
      <c r="T914" s="24"/>
      <c r="U914"/>
    </row>
    <row r="915" spans="2:21" s="49" customFormat="1" ht="18.75" hidden="1" customHeight="1">
      <c r="B915" s="1"/>
      <c r="C915" s="7"/>
      <c r="D915" s="1">
        <v>46048</v>
      </c>
      <c r="E915" s="29" t="s">
        <v>1563</v>
      </c>
      <c r="F915" s="1"/>
      <c r="G915" s="1"/>
      <c r="H915" t="s">
        <v>1067</v>
      </c>
      <c r="I915" s="2">
        <v>59.25</v>
      </c>
      <c r="J915" s="2" t="s">
        <v>43</v>
      </c>
      <c r="K91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15" s="3"/>
      <c r="M915" s="11"/>
      <c r="N91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59.25</v>
      </c>
      <c r="O91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46048</v>
      </c>
      <c r="P915" s="2" t="s">
        <v>25</v>
      </c>
      <c r="Q915" t="s">
        <v>1564</v>
      </c>
      <c r="R915"/>
      <c r="S915"/>
      <c r="T915"/>
      <c r="U915"/>
    </row>
    <row r="916" spans="2:21" s="49" customFormat="1" ht="18.75" hidden="1" customHeight="1">
      <c r="B916" s="1"/>
      <c r="C916" s="7"/>
      <c r="D916" s="1">
        <v>46048</v>
      </c>
      <c r="E916" s="29" t="s">
        <v>1565</v>
      </c>
      <c r="F916" s="1"/>
      <c r="G916" s="1"/>
      <c r="H916" t="s">
        <v>1067</v>
      </c>
      <c r="I916" s="2">
        <v>42.16</v>
      </c>
      <c r="J916" s="2" t="s">
        <v>43</v>
      </c>
      <c r="K91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16" s="3"/>
      <c r="M916" s="11"/>
      <c r="N91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42.16</v>
      </c>
      <c r="O91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46048</v>
      </c>
      <c r="P916" s="2" t="s">
        <v>25</v>
      </c>
      <c r="Q916" t="s">
        <v>1566</v>
      </c>
      <c r="R916"/>
      <c r="S916"/>
      <c r="T916"/>
      <c r="U916"/>
    </row>
    <row r="917" spans="2:21" s="49" customFormat="1" ht="18.75" hidden="1" customHeight="1">
      <c r="B917" s="1"/>
      <c r="C917" s="7"/>
      <c r="D917" s="1">
        <v>46048</v>
      </c>
      <c r="E917" s="29" t="s">
        <v>1567</v>
      </c>
      <c r="F917" s="1"/>
      <c r="G917" s="1"/>
      <c r="H917" t="s">
        <v>1067</v>
      </c>
      <c r="I917" s="2">
        <v>41.52</v>
      </c>
      <c r="J917" s="2" t="s">
        <v>43</v>
      </c>
      <c r="K91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17" s="3"/>
      <c r="M917" s="11"/>
      <c r="N91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41.52</v>
      </c>
      <c r="O91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46048</v>
      </c>
      <c r="P917" s="2" t="s">
        <v>25</v>
      </c>
      <c r="Q917" t="s">
        <v>1568</v>
      </c>
      <c r="R917"/>
      <c r="S917"/>
      <c r="T917"/>
      <c r="U917"/>
    </row>
    <row r="918" spans="2:21" s="49" customFormat="1" ht="18.75" hidden="1" customHeight="1">
      <c r="B918" s="1"/>
      <c r="C918" s="7"/>
      <c r="D918" s="1">
        <v>46048</v>
      </c>
      <c r="E918" s="29" t="s">
        <v>1569</v>
      </c>
      <c r="F918" s="1"/>
      <c r="G918" s="1"/>
      <c r="H918" t="s">
        <v>1067</v>
      </c>
      <c r="I918" s="2">
        <v>39.21</v>
      </c>
      <c r="J918" s="2" t="s">
        <v>43</v>
      </c>
      <c r="K91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18" s="3"/>
      <c r="M918" s="11"/>
      <c r="N91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39.21</v>
      </c>
      <c r="O91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46048</v>
      </c>
      <c r="P918" s="2" t="s">
        <v>25</v>
      </c>
      <c r="Q918" t="s">
        <v>1570</v>
      </c>
      <c r="R918"/>
      <c r="S918"/>
      <c r="T918"/>
      <c r="U918"/>
    </row>
    <row r="919" spans="2:21" s="49" customFormat="1" ht="18.75" hidden="1" customHeight="1">
      <c r="B919" s="1"/>
      <c r="C919" s="7"/>
      <c r="D919" s="1">
        <v>46048</v>
      </c>
      <c r="E919" s="29" t="s">
        <v>1565</v>
      </c>
      <c r="F919" s="1"/>
      <c r="G919" s="1"/>
      <c r="H919" t="s">
        <v>1067</v>
      </c>
      <c r="I919" s="2">
        <v>37.83</v>
      </c>
      <c r="J919" s="2" t="s">
        <v>43</v>
      </c>
      <c r="K91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19" s="3"/>
      <c r="M919" s="11"/>
      <c r="N91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37.83</v>
      </c>
      <c r="O91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46048</v>
      </c>
      <c r="P919" s="2" t="s">
        <v>25</v>
      </c>
      <c r="Q919" t="s">
        <v>1571</v>
      </c>
      <c r="R919"/>
      <c r="S919"/>
      <c r="T919"/>
      <c r="U919"/>
    </row>
    <row r="920" spans="2:21" s="49" customFormat="1" ht="18.75" hidden="1" customHeight="1">
      <c r="B920" s="1"/>
      <c r="C920" s="7"/>
      <c r="D920" s="1">
        <v>46048</v>
      </c>
      <c r="E920" s="29" t="s">
        <v>1572</v>
      </c>
      <c r="F920" s="1"/>
      <c r="G920" s="1"/>
      <c r="H920" t="s">
        <v>1067</v>
      </c>
      <c r="I920" s="2">
        <v>14.08</v>
      </c>
      <c r="J920" s="2" t="s">
        <v>43</v>
      </c>
      <c r="K92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20" s="3"/>
      <c r="M920" s="11"/>
      <c r="N92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14.08</v>
      </c>
      <c r="O92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46048</v>
      </c>
      <c r="P920" s="2" t="s">
        <v>25</v>
      </c>
      <c r="Q920" t="s">
        <v>1573</v>
      </c>
      <c r="R920"/>
      <c r="S920"/>
      <c r="T920"/>
      <c r="U920"/>
    </row>
    <row r="921" spans="2:21" s="49" customFormat="1" ht="18.75" hidden="1" customHeight="1">
      <c r="B921" s="1"/>
      <c r="C921" s="7"/>
      <c r="D921" s="1">
        <v>46048</v>
      </c>
      <c r="E921" s="29" t="s">
        <v>1574</v>
      </c>
      <c r="F921" s="1"/>
      <c r="G921" s="1"/>
      <c r="H921" t="s">
        <v>1067</v>
      </c>
      <c r="I921" s="2">
        <v>12.6</v>
      </c>
      <c r="J921" s="2" t="s">
        <v>43</v>
      </c>
      <c r="K92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21" s="3"/>
      <c r="M921" s="11"/>
      <c r="N92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12.6</v>
      </c>
      <c r="O92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46048</v>
      </c>
      <c r="P921" s="2" t="s">
        <v>25</v>
      </c>
      <c r="Q921" t="s">
        <v>1575</v>
      </c>
      <c r="R921"/>
      <c r="S921"/>
      <c r="T921"/>
      <c r="U921"/>
    </row>
    <row r="922" spans="2:21" s="49" customFormat="1" ht="18.75" hidden="1" customHeight="1">
      <c r="B922" s="1"/>
      <c r="C922" s="7"/>
      <c r="D922" s="1">
        <v>46049</v>
      </c>
      <c r="E922" s="29" t="s">
        <v>1576</v>
      </c>
      <c r="F922" s="1"/>
      <c r="G922" s="1"/>
      <c r="H922" t="s">
        <v>1067</v>
      </c>
      <c r="I922" s="2">
        <v>32.97</v>
      </c>
      <c r="J922" s="2" t="s">
        <v>43</v>
      </c>
      <c r="K92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22" s="3"/>
      <c r="M922" s="11"/>
      <c r="N92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32.97</v>
      </c>
      <c r="O92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46049</v>
      </c>
      <c r="P922" t="s">
        <v>25</v>
      </c>
      <c r="Q922" t="s">
        <v>1577</v>
      </c>
      <c r="R922"/>
      <c r="S922"/>
      <c r="T922" s="24"/>
      <c r="U922"/>
    </row>
    <row r="923" spans="2:21" s="49" customFormat="1" ht="18.75" hidden="1" customHeight="1">
      <c r="B923" s="1"/>
      <c r="C923" s="7"/>
      <c r="D923" s="1">
        <v>46049</v>
      </c>
      <c r="E923" s="29" t="s">
        <v>1578</v>
      </c>
      <c r="F923" s="1"/>
      <c r="G923" s="1"/>
      <c r="H923" t="s">
        <v>1067</v>
      </c>
      <c r="I923" s="2">
        <v>27.45</v>
      </c>
      <c r="J923" s="2" t="s">
        <v>43</v>
      </c>
      <c r="K92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23" s="3"/>
      <c r="M923" s="11"/>
      <c r="N92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27.45</v>
      </c>
      <c r="O92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46049</v>
      </c>
      <c r="P923" s="2" t="s">
        <v>25</v>
      </c>
      <c r="Q923" t="s">
        <v>1579</v>
      </c>
      <c r="R923"/>
      <c r="S923"/>
      <c r="T923"/>
      <c r="U923"/>
    </row>
    <row r="924" spans="2:21" s="49" customFormat="1" ht="18.75" hidden="1" customHeight="1">
      <c r="B924" s="1"/>
      <c r="C924" s="7"/>
      <c r="D924" s="1">
        <v>46049</v>
      </c>
      <c r="E924" s="29" t="s">
        <v>1580</v>
      </c>
      <c r="F924" s="1"/>
      <c r="G924" s="1"/>
      <c r="H924" t="s">
        <v>1067</v>
      </c>
      <c r="I924" s="2">
        <v>7.1</v>
      </c>
      <c r="J924" s="2" t="s">
        <v>43</v>
      </c>
      <c r="K92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24" s="3"/>
      <c r="M924" s="11"/>
      <c r="N92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7.1</v>
      </c>
      <c r="O92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46049</v>
      </c>
      <c r="P924" s="2" t="s">
        <v>25</v>
      </c>
      <c r="Q924" t="s">
        <v>1581</v>
      </c>
      <c r="R924"/>
      <c r="S924"/>
      <c r="T924"/>
      <c r="U924"/>
    </row>
    <row r="925" spans="2:21" s="49" customFormat="1" ht="18.75" hidden="1" customHeight="1">
      <c r="B925" s="150"/>
      <c r="C925" s="159"/>
      <c r="D925" s="150">
        <v>46051</v>
      </c>
      <c r="E925" s="152" t="s">
        <v>1582</v>
      </c>
      <c r="F925" s="150"/>
      <c r="G925" s="150"/>
      <c r="H925" s="151" t="s">
        <v>1067</v>
      </c>
      <c r="I925" s="153">
        <v>159.99</v>
      </c>
      <c r="J925" s="153" t="s">
        <v>43</v>
      </c>
      <c r="K925" s="160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25" s="154"/>
      <c r="M925" s="160"/>
      <c r="N925" s="160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159.99</v>
      </c>
      <c r="O925" s="169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46051</v>
      </c>
      <c r="P925" s="151" t="s">
        <v>25</v>
      </c>
      <c r="Q925" s="151" t="s">
        <v>1583</v>
      </c>
      <c r="R925" s="151"/>
      <c r="S925" s="151"/>
      <c r="T925" s="155"/>
      <c r="U925" s="151"/>
    </row>
    <row r="926" spans="2:21" s="49" customFormat="1" ht="18.75" hidden="1" customHeight="1">
      <c r="B926" s="1"/>
      <c r="C926" s="7"/>
      <c r="D926" s="1">
        <v>46051</v>
      </c>
      <c r="E926" s="29" t="s">
        <v>1584</v>
      </c>
      <c r="F926" s="1"/>
      <c r="G926" s="1"/>
      <c r="H926" t="s">
        <v>1067</v>
      </c>
      <c r="I926" s="2">
        <v>45.7</v>
      </c>
      <c r="J926" s="2" t="s">
        <v>43</v>
      </c>
      <c r="K92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26" s="3"/>
      <c r="M926" s="11"/>
      <c r="N92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45.7</v>
      </c>
      <c r="O92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46051</v>
      </c>
      <c r="P926" t="s">
        <v>25</v>
      </c>
      <c r="Q926" t="s">
        <v>1585</v>
      </c>
      <c r="R926"/>
      <c r="S926"/>
      <c r="T926" s="24"/>
      <c r="U926"/>
    </row>
    <row r="927" spans="2:21" s="49" customFormat="1" ht="18.75" hidden="1" customHeight="1">
      <c r="B927" s="1"/>
      <c r="C927" s="7"/>
      <c r="D927" s="1">
        <v>46051</v>
      </c>
      <c r="E927" s="29" t="s">
        <v>1586</v>
      </c>
      <c r="F927" s="1"/>
      <c r="G927" s="1"/>
      <c r="H927" t="s">
        <v>1067</v>
      </c>
      <c r="I927" s="2">
        <v>11.92</v>
      </c>
      <c r="J927" s="2" t="s">
        <v>43</v>
      </c>
      <c r="K92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27" s="3"/>
      <c r="M927" s="11"/>
      <c r="N92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11.92</v>
      </c>
      <c r="O92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46051</v>
      </c>
      <c r="P927" t="s">
        <v>25</v>
      </c>
      <c r="Q927"/>
      <c r="R927"/>
      <c r="S927"/>
      <c r="T927" s="24"/>
      <c r="U927"/>
    </row>
    <row r="928" spans="2:21" s="49" customFormat="1" ht="18.75" hidden="1" customHeight="1">
      <c r="B928" s="1"/>
      <c r="C928" s="7"/>
      <c r="D928" s="1">
        <v>46051</v>
      </c>
      <c r="E928" s="29" t="s">
        <v>1586</v>
      </c>
      <c r="F928" s="1"/>
      <c r="G928" s="1"/>
      <c r="H928" t="s">
        <v>1067</v>
      </c>
      <c r="I928" s="25">
        <v>11.62</v>
      </c>
      <c r="J928" s="2" t="s">
        <v>43</v>
      </c>
      <c r="K92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28" s="3"/>
      <c r="M928" s="11"/>
      <c r="N92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11.62</v>
      </c>
      <c r="O92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46051</v>
      </c>
      <c r="P928" s="2" t="s">
        <v>25</v>
      </c>
      <c r="Q928" t="s">
        <v>1587</v>
      </c>
      <c r="R928"/>
      <c r="S928"/>
      <c r="T928"/>
      <c r="U928"/>
    </row>
    <row r="929" spans="2:21" s="49" customFormat="1" ht="18.75" hidden="1" customHeight="1">
      <c r="B929" s="1"/>
      <c r="C929" s="7"/>
      <c r="D929" s="1">
        <v>46051</v>
      </c>
      <c r="E929" s="29" t="s">
        <v>1588</v>
      </c>
      <c r="F929" s="1"/>
      <c r="G929" s="1"/>
      <c r="H929" t="s">
        <v>1067</v>
      </c>
      <c r="I929" s="2">
        <v>9.06</v>
      </c>
      <c r="J929" s="2" t="s">
        <v>43</v>
      </c>
      <c r="K92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29" s="3"/>
      <c r="M929" s="11"/>
      <c r="N92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9.06</v>
      </c>
      <c r="O92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46051</v>
      </c>
      <c r="P929" t="s">
        <v>25</v>
      </c>
      <c r="Q929" t="s">
        <v>1589</v>
      </c>
      <c r="R929"/>
      <c r="S929"/>
      <c r="T929" s="24"/>
      <c r="U929"/>
    </row>
    <row r="930" spans="2:21" s="49" customFormat="1" ht="18.75" hidden="1" customHeight="1">
      <c r="B930" s="1"/>
      <c r="C930" s="7"/>
      <c r="D930" s="1">
        <v>46056</v>
      </c>
      <c r="E930" s="29" t="s">
        <v>1590</v>
      </c>
      <c r="F930" s="1"/>
      <c r="G930" s="1"/>
      <c r="H930" t="s">
        <v>1067</v>
      </c>
      <c r="I930" s="2">
        <v>93.93</v>
      </c>
      <c r="J930" s="2" t="s">
        <v>43</v>
      </c>
      <c r="K93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30" s="3"/>
      <c r="M930" s="11"/>
      <c r="N93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93.93</v>
      </c>
      <c r="O93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46056</v>
      </c>
      <c r="P930" t="s">
        <v>25</v>
      </c>
      <c r="Q930" t="s">
        <v>1591</v>
      </c>
      <c r="R930"/>
      <c r="S930"/>
      <c r="T930" s="24"/>
      <c r="U930"/>
    </row>
    <row r="931" spans="2:21" s="49" customFormat="1" ht="18.75" hidden="1" customHeight="1">
      <c r="B931" s="1"/>
      <c r="C931" s="7"/>
      <c r="D931" s="1">
        <v>46056</v>
      </c>
      <c r="E931" s="29" t="s">
        <v>1592</v>
      </c>
      <c r="F931" s="1"/>
      <c r="G931" s="1"/>
      <c r="H931" t="s">
        <v>1067</v>
      </c>
      <c r="I931" s="2">
        <v>73.8</v>
      </c>
      <c r="J931" s="2" t="s">
        <v>43</v>
      </c>
      <c r="K93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31" s="3"/>
      <c r="M931"/>
      <c r="N93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73.8</v>
      </c>
      <c r="O93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46056</v>
      </c>
      <c r="P931" t="s">
        <v>25</v>
      </c>
      <c r="Q931"/>
      <c r="R931" s="1"/>
      <c r="S931" s="24"/>
      <c r="T931"/>
      <c r="U931"/>
    </row>
    <row r="932" spans="2:21" s="49" customFormat="1" ht="18.75" hidden="1" customHeight="1">
      <c r="B932" s="1"/>
      <c r="C932" s="7"/>
      <c r="D932" s="1">
        <v>46056</v>
      </c>
      <c r="E932" s="29" t="s">
        <v>1593</v>
      </c>
      <c r="F932" s="1"/>
      <c r="G932" s="1"/>
      <c r="H932" t="s">
        <v>1067</v>
      </c>
      <c r="I932" s="2">
        <v>60.89</v>
      </c>
      <c r="J932" s="2" t="s">
        <v>43</v>
      </c>
      <c r="K93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32" s="3"/>
      <c r="M932" s="11"/>
      <c r="N93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60.89</v>
      </c>
      <c r="O93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46056</v>
      </c>
      <c r="P932" t="s">
        <v>25</v>
      </c>
      <c r="Q932" t="s">
        <v>1594</v>
      </c>
      <c r="R932"/>
      <c r="S932"/>
      <c r="T932" s="24"/>
      <c r="U932"/>
    </row>
    <row r="933" spans="2:21" s="49" customFormat="1" ht="18.75" hidden="1" customHeight="1">
      <c r="B933" s="48">
        <v>46057</v>
      </c>
      <c r="C933" s="57" t="s">
        <v>1595</v>
      </c>
      <c r="D933" s="48"/>
      <c r="E933" s="50"/>
      <c r="F933" s="48"/>
      <c r="G933" s="48"/>
      <c r="H933" s="49" t="s">
        <v>1067</v>
      </c>
      <c r="I933" s="51">
        <v>85.99</v>
      </c>
      <c r="J933" s="51" t="s">
        <v>43</v>
      </c>
      <c r="K93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33" s="52"/>
      <c r="N93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85.99</v>
      </c>
      <c r="O933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933" s="49" t="s">
        <v>25</v>
      </c>
      <c r="Q933" s="49" t="s">
        <v>1596</v>
      </c>
      <c r="R933" s="48"/>
      <c r="S933" s="59"/>
    </row>
    <row r="934" spans="2:21" s="49" customFormat="1" ht="18.75" hidden="1" customHeight="1">
      <c r="B934" s="48"/>
      <c r="C934" s="57"/>
      <c r="D934" s="48">
        <v>46057</v>
      </c>
      <c r="E934" s="50" t="s">
        <v>1597</v>
      </c>
      <c r="F934" s="48"/>
      <c r="G934" s="48"/>
      <c r="H934" s="49" t="s">
        <v>1067</v>
      </c>
      <c r="I934" s="51">
        <v>20.6</v>
      </c>
      <c r="J934" s="51" t="s">
        <v>43</v>
      </c>
      <c r="K93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34" s="52"/>
      <c r="N93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20.6</v>
      </c>
      <c r="O93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46057</v>
      </c>
      <c r="P934" s="49" t="s">
        <v>25</v>
      </c>
      <c r="Q934" s="49" t="s">
        <v>1598</v>
      </c>
      <c r="R934" s="48"/>
      <c r="S934" s="59"/>
    </row>
    <row r="935" spans="2:21" s="49" customFormat="1" ht="18.75" hidden="1" customHeight="1">
      <c r="B935" s="161"/>
      <c r="C935" s="162"/>
      <c r="D935" s="161">
        <v>46059</v>
      </c>
      <c r="E935" s="163" t="s">
        <v>1599</v>
      </c>
      <c r="F935" s="161"/>
      <c r="G935" s="161"/>
      <c r="H935" s="164" t="s">
        <v>1067</v>
      </c>
      <c r="I935" s="165">
        <v>31.96</v>
      </c>
      <c r="J935" s="165" t="s">
        <v>43</v>
      </c>
      <c r="K935" s="157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35" s="166"/>
      <c r="M935" s="157"/>
      <c r="N935" s="157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31.96</v>
      </c>
      <c r="O935" s="167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46059</v>
      </c>
      <c r="P935" s="164" t="s">
        <v>25</v>
      </c>
      <c r="Q935" s="164" t="s">
        <v>1332</v>
      </c>
      <c r="R935" s="164"/>
      <c r="S935" s="168"/>
      <c r="T935" s="164"/>
      <c r="U935" s="156"/>
    </row>
    <row r="936" spans="2:21" s="49" customFormat="1" ht="18.75" hidden="1" customHeight="1">
      <c r="B936" s="14"/>
      <c r="C936" s="18"/>
      <c r="D936" s="14">
        <v>46061</v>
      </c>
      <c r="E936" s="32" t="s">
        <v>1600</v>
      </c>
      <c r="F936" s="14"/>
      <c r="G936" s="14"/>
      <c r="H936" s="15" t="s">
        <v>1067</v>
      </c>
      <c r="I936" s="16">
        <v>5.53</v>
      </c>
      <c r="J936" s="16" t="s">
        <v>43</v>
      </c>
      <c r="K93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36" s="17"/>
      <c r="M936" s="11"/>
      <c r="N93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5.53</v>
      </c>
      <c r="O93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46061</v>
      </c>
      <c r="P936" s="15" t="s">
        <v>25</v>
      </c>
      <c r="Q936" s="15" t="s">
        <v>1601</v>
      </c>
      <c r="R936" s="15"/>
      <c r="S936" s="46"/>
      <c r="T936" s="15"/>
      <c r="U936"/>
    </row>
    <row r="937" spans="2:21" s="49" customFormat="1" ht="18.75" hidden="1" customHeight="1">
      <c r="B937" s="161"/>
      <c r="C937" s="162"/>
      <c r="D937" s="161">
        <v>46062</v>
      </c>
      <c r="E937" s="163" t="s">
        <v>1602</v>
      </c>
      <c r="F937" s="161"/>
      <c r="G937" s="161"/>
      <c r="H937" s="164" t="s">
        <v>1067</v>
      </c>
      <c r="I937" s="165">
        <v>22.75</v>
      </c>
      <c r="J937" s="165" t="s">
        <v>43</v>
      </c>
      <c r="K937" s="157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37" s="166"/>
      <c r="M937" s="157"/>
      <c r="N937" s="157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22.75</v>
      </c>
      <c r="O937" s="167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46062</v>
      </c>
      <c r="P937" s="164" t="s">
        <v>25</v>
      </c>
      <c r="Q937" s="164" t="s">
        <v>1603</v>
      </c>
      <c r="R937" s="164"/>
      <c r="S937" s="168"/>
      <c r="T937" s="164"/>
      <c r="U937" s="156"/>
    </row>
    <row r="938" spans="2:21" s="49" customFormat="1" ht="18.75" hidden="1" customHeight="1">
      <c r="B938" s="14"/>
      <c r="C938" s="18"/>
      <c r="D938" s="14">
        <v>46063</v>
      </c>
      <c r="E938" s="32" t="s">
        <v>1604</v>
      </c>
      <c r="F938" s="14"/>
      <c r="G938" s="14"/>
      <c r="H938" s="15" t="s">
        <v>1067</v>
      </c>
      <c r="I938" s="16">
        <v>137.56</v>
      </c>
      <c r="J938" s="16" t="s">
        <v>43</v>
      </c>
      <c r="K93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38" s="17"/>
      <c r="M938" s="11"/>
      <c r="N93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137.56</v>
      </c>
      <c r="O93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46063</v>
      </c>
      <c r="P938" s="15" t="s">
        <v>25</v>
      </c>
      <c r="Q938" s="15" t="s">
        <v>1605</v>
      </c>
      <c r="R938" s="15"/>
      <c r="S938" s="46"/>
      <c r="T938" s="15"/>
      <c r="U938"/>
    </row>
    <row r="939" spans="2:21" s="63" customFormat="1" ht="18.75" hidden="1" customHeight="1">
      <c r="B939" s="14"/>
      <c r="C939" s="18"/>
      <c r="D939" s="14">
        <v>46063</v>
      </c>
      <c r="E939" s="32" t="s">
        <v>1606</v>
      </c>
      <c r="F939" s="14"/>
      <c r="G939" s="14"/>
      <c r="H939" t="s">
        <v>1067</v>
      </c>
      <c r="I939" s="16">
        <v>137.56</v>
      </c>
      <c r="J939" s="16" t="s">
        <v>43</v>
      </c>
      <c r="K93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39" s="17"/>
      <c r="M939" s="11"/>
      <c r="N93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137.56</v>
      </c>
      <c r="O93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46063</v>
      </c>
      <c r="P939" s="15" t="s">
        <v>25</v>
      </c>
      <c r="Q939" s="15" t="s">
        <v>1605</v>
      </c>
      <c r="R939" s="15"/>
      <c r="S939" s="46"/>
      <c r="T939" s="15"/>
      <c r="U939"/>
    </row>
    <row r="940" spans="2:21" s="49" customFormat="1" ht="18.75" hidden="1" customHeight="1">
      <c r="B940" s="14"/>
      <c r="C940" s="18"/>
      <c r="D940" s="14">
        <v>46063</v>
      </c>
      <c r="E940" s="32" t="s">
        <v>1607</v>
      </c>
      <c r="F940" s="14"/>
      <c r="G940" s="14"/>
      <c r="H940" s="15" t="s">
        <v>1067</v>
      </c>
      <c r="I940" s="16">
        <v>137.55000000000001</v>
      </c>
      <c r="J940" s="16" t="s">
        <v>43</v>
      </c>
      <c r="K94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40" s="17"/>
      <c r="M940" s="11"/>
      <c r="N94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137.55000000000001</v>
      </c>
      <c r="O94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46063</v>
      </c>
      <c r="P940" s="15" t="s">
        <v>25</v>
      </c>
      <c r="Q940" s="15" t="s">
        <v>1605</v>
      </c>
      <c r="R940" s="15"/>
      <c r="S940" s="46"/>
      <c r="T940" s="15"/>
      <c r="U940"/>
    </row>
    <row r="941" spans="2:21" s="49" customFormat="1" ht="18.75" hidden="1" customHeight="1">
      <c r="B941" s="14"/>
      <c r="C941" s="18"/>
      <c r="D941" s="14">
        <v>46063</v>
      </c>
      <c r="E941" s="32" t="s">
        <v>1608</v>
      </c>
      <c r="F941" s="14"/>
      <c r="G941" s="14"/>
      <c r="H941" s="15" t="s">
        <v>1067</v>
      </c>
      <c r="I941" s="16">
        <v>137.54</v>
      </c>
      <c r="J941" s="16" t="s">
        <v>43</v>
      </c>
      <c r="K94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41" s="17"/>
      <c r="M941" s="11"/>
      <c r="N94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137.54</v>
      </c>
      <c r="O94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46063</v>
      </c>
      <c r="P941" s="15" t="s">
        <v>25</v>
      </c>
      <c r="Q941" s="15" t="s">
        <v>1605</v>
      </c>
      <c r="R941" s="15"/>
      <c r="S941" s="46"/>
      <c r="T941" s="15"/>
      <c r="U941"/>
    </row>
    <row r="942" spans="2:21" s="49" customFormat="1" ht="18.75" hidden="1" customHeight="1">
      <c r="B942" s="14"/>
      <c r="C942" s="18"/>
      <c r="D942" s="14">
        <v>46063</v>
      </c>
      <c r="E942" s="32" t="s">
        <v>1609</v>
      </c>
      <c r="F942" s="14"/>
      <c r="G942" s="14"/>
      <c r="H942" s="15" t="s">
        <v>1067</v>
      </c>
      <c r="I942" s="16">
        <v>33.22</v>
      </c>
      <c r="J942" s="16" t="s">
        <v>43</v>
      </c>
      <c r="K94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42" s="17"/>
      <c r="M942" s="11"/>
      <c r="N94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33.22</v>
      </c>
      <c r="O94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46063</v>
      </c>
      <c r="P942" s="15" t="s">
        <v>25</v>
      </c>
      <c r="Q942" s="15" t="s">
        <v>1610</v>
      </c>
      <c r="R942" s="15"/>
      <c r="S942" s="46"/>
      <c r="T942" s="15"/>
      <c r="U942"/>
    </row>
    <row r="943" spans="2:21" s="49" customFormat="1" ht="18.75" hidden="1" customHeight="1">
      <c r="B943" s="14"/>
      <c r="C943" s="18"/>
      <c r="D943" s="14">
        <v>46063</v>
      </c>
      <c r="E943" s="32" t="s">
        <v>1611</v>
      </c>
      <c r="F943" s="14"/>
      <c r="G943" s="14"/>
      <c r="H943" s="15" t="s">
        <v>1067</v>
      </c>
      <c r="I943" s="16">
        <v>23.98</v>
      </c>
      <c r="J943" s="16" t="s">
        <v>43</v>
      </c>
      <c r="K94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43" s="17"/>
      <c r="M943" s="11"/>
      <c r="N94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23.98</v>
      </c>
      <c r="O94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46063</v>
      </c>
      <c r="P943" s="15" t="s">
        <v>25</v>
      </c>
      <c r="Q943" s="15" t="s">
        <v>1612</v>
      </c>
      <c r="R943" s="15"/>
      <c r="S943" s="46"/>
      <c r="T943" s="15"/>
      <c r="U943"/>
    </row>
    <row r="944" spans="2:21" s="49" customFormat="1" ht="18.75" hidden="1" customHeight="1">
      <c r="B944" s="14"/>
      <c r="C944" s="18"/>
      <c r="D944" s="14">
        <v>46063</v>
      </c>
      <c r="E944" s="32" t="s">
        <v>1613</v>
      </c>
      <c r="F944" s="14"/>
      <c r="G944" s="14"/>
      <c r="H944" s="15" t="s">
        <v>1067</v>
      </c>
      <c r="I944" s="16">
        <v>22.25</v>
      </c>
      <c r="J944" s="16" t="s">
        <v>43</v>
      </c>
      <c r="K94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44" s="17"/>
      <c r="M944" s="11"/>
      <c r="N94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22.25</v>
      </c>
      <c r="O94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46063</v>
      </c>
      <c r="P944" s="15" t="s">
        <v>25</v>
      </c>
      <c r="Q944" s="15" t="s">
        <v>1614</v>
      </c>
      <c r="R944" s="15"/>
      <c r="S944" s="46"/>
      <c r="T944" s="15"/>
      <c r="U944"/>
    </row>
    <row r="945" spans="2:21" s="49" customFormat="1" ht="18.75" hidden="1" customHeight="1">
      <c r="B945" s="14"/>
      <c r="C945" s="18"/>
      <c r="D945" s="14">
        <v>46063</v>
      </c>
      <c r="E945" s="32" t="s">
        <v>1615</v>
      </c>
      <c r="F945" s="14"/>
      <c r="G945" s="14"/>
      <c r="H945" s="15" t="s">
        <v>1067</v>
      </c>
      <c r="I945" s="16">
        <v>21.46</v>
      </c>
      <c r="J945" s="16" t="s">
        <v>43</v>
      </c>
      <c r="K94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45" s="17"/>
      <c r="M945" s="11"/>
      <c r="N94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21.46</v>
      </c>
      <c r="O94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46063</v>
      </c>
      <c r="P945" s="15" t="s">
        <v>25</v>
      </c>
      <c r="Q945" s="15" t="s">
        <v>1610</v>
      </c>
      <c r="R945" s="15"/>
      <c r="S945" s="46"/>
      <c r="T945" s="15"/>
      <c r="U945"/>
    </row>
    <row r="946" spans="2:21" s="49" customFormat="1" ht="18.75" hidden="1" customHeight="1">
      <c r="B946" s="14"/>
      <c r="C946" s="18"/>
      <c r="D946" s="14">
        <v>46063</v>
      </c>
      <c r="E946" s="32" t="s">
        <v>1616</v>
      </c>
      <c r="F946" s="14"/>
      <c r="G946" s="14"/>
      <c r="H946" s="15" t="s">
        <v>1067</v>
      </c>
      <c r="I946" s="16">
        <v>19.78</v>
      </c>
      <c r="J946" s="16" t="s">
        <v>43</v>
      </c>
      <c r="K94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46" s="17"/>
      <c r="M946" s="11"/>
      <c r="N94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19.78</v>
      </c>
      <c r="O94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46063</v>
      </c>
      <c r="P946" s="15" t="s">
        <v>25</v>
      </c>
      <c r="Q946" s="15" t="s">
        <v>1617</v>
      </c>
      <c r="R946" s="15"/>
      <c r="S946" s="46"/>
      <c r="T946" s="15"/>
      <c r="U946"/>
    </row>
    <row r="947" spans="2:21" s="49" customFormat="1" ht="18.75" hidden="1" customHeight="1">
      <c r="B947" s="1"/>
      <c r="C947" s="7"/>
      <c r="D947" s="1">
        <v>46065</v>
      </c>
      <c r="E947" s="29" t="s">
        <v>1618</v>
      </c>
      <c r="F947" s="1"/>
      <c r="G947" s="1"/>
      <c r="H947" t="s">
        <v>1067</v>
      </c>
      <c r="I947" s="2">
        <v>244</v>
      </c>
      <c r="J947" s="2" t="s">
        <v>43</v>
      </c>
      <c r="K94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47" s="3"/>
      <c r="M947"/>
      <c r="N94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244</v>
      </c>
      <c r="O94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46065</v>
      </c>
      <c r="P947" t="s">
        <v>25</v>
      </c>
      <c r="Q947" t="s">
        <v>1619</v>
      </c>
      <c r="R947" s="1"/>
      <c r="S947" s="24"/>
      <c r="T947"/>
      <c r="U947"/>
    </row>
    <row r="948" spans="2:21" s="49" customFormat="1" ht="18.75" hidden="1" customHeight="1">
      <c r="B948" s="1"/>
      <c r="C948" s="7"/>
      <c r="D948" s="1">
        <v>46065</v>
      </c>
      <c r="E948" s="29" t="s">
        <v>1620</v>
      </c>
      <c r="F948" s="1"/>
      <c r="G948" s="1"/>
      <c r="H948" t="s">
        <v>1067</v>
      </c>
      <c r="I948" s="2">
        <v>74.650000000000006</v>
      </c>
      <c r="J948" s="2" t="s">
        <v>43</v>
      </c>
      <c r="K94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48" s="3"/>
      <c r="M948"/>
      <c r="N94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74.650000000000006</v>
      </c>
      <c r="O94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46065</v>
      </c>
      <c r="P948" t="s">
        <v>25</v>
      </c>
      <c r="Q948" t="s">
        <v>1621</v>
      </c>
      <c r="R948" s="1"/>
      <c r="S948" s="24"/>
      <c r="T948"/>
      <c r="U948"/>
    </row>
    <row r="949" spans="2:21" s="49" customFormat="1" ht="18.75" hidden="1" customHeight="1">
      <c r="B949" s="1"/>
      <c r="C949" s="7"/>
      <c r="D949" s="1">
        <v>46065</v>
      </c>
      <c r="E949" s="29" t="s">
        <v>1622</v>
      </c>
      <c r="F949" s="1"/>
      <c r="G949" s="1"/>
      <c r="H949" t="s">
        <v>1067</v>
      </c>
      <c r="I949" s="2">
        <v>11.56</v>
      </c>
      <c r="J949" s="2" t="s">
        <v>43</v>
      </c>
      <c r="K94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49" s="3"/>
      <c r="M949"/>
      <c r="N94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11.56</v>
      </c>
      <c r="O94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46065</v>
      </c>
      <c r="P949" t="s">
        <v>25</v>
      </c>
      <c r="Q949" t="s">
        <v>1070</v>
      </c>
      <c r="R949" s="1"/>
      <c r="S949" s="24"/>
      <c r="T949"/>
      <c r="U949"/>
    </row>
    <row r="950" spans="2:21" s="49" customFormat="1" ht="18.75" hidden="1" customHeight="1">
      <c r="B950" s="1"/>
      <c r="C950" s="7"/>
      <c r="D950" s="1">
        <v>46066</v>
      </c>
      <c r="E950" s="29" t="s">
        <v>1623</v>
      </c>
      <c r="F950" s="1"/>
      <c r="G950" s="1"/>
      <c r="H950" t="s">
        <v>1067</v>
      </c>
      <c r="I950" s="2">
        <v>46.75</v>
      </c>
      <c r="J950" s="2" t="s">
        <v>43</v>
      </c>
      <c r="K95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50" s="3"/>
      <c r="M950"/>
      <c r="N95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46.75</v>
      </c>
      <c r="O95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46066</v>
      </c>
      <c r="P950" t="s">
        <v>25</v>
      </c>
      <c r="Q950" t="s">
        <v>1624</v>
      </c>
      <c r="R950" s="1"/>
      <c r="S950" s="24"/>
      <c r="T950"/>
      <c r="U950"/>
    </row>
    <row r="951" spans="2:21" s="49" customFormat="1" ht="18.75" hidden="1" customHeight="1">
      <c r="B951" s="1"/>
      <c r="C951" s="7"/>
      <c r="D951" s="1">
        <v>46067</v>
      </c>
      <c r="E951" s="29" t="s">
        <v>1625</v>
      </c>
      <c r="F951" s="1"/>
      <c r="G951" s="1"/>
      <c r="H951" t="s">
        <v>1067</v>
      </c>
      <c r="I951" s="2">
        <v>4.49</v>
      </c>
      <c r="J951" s="2" t="s">
        <v>43</v>
      </c>
      <c r="K95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51" s="3"/>
      <c r="M951"/>
      <c r="N95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4.49</v>
      </c>
      <c r="O95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46067</v>
      </c>
      <c r="P951" t="s">
        <v>25</v>
      </c>
      <c r="Q951" t="s">
        <v>1626</v>
      </c>
      <c r="R951" s="1"/>
      <c r="S951" s="24"/>
      <c r="T951"/>
      <c r="U951"/>
    </row>
    <row r="952" spans="2:21" s="49" customFormat="1" ht="18.75" hidden="1" customHeight="1">
      <c r="B952" s="1"/>
      <c r="C952" s="7"/>
      <c r="D952" s="1">
        <v>46068</v>
      </c>
      <c r="E952" s="29" t="s">
        <v>1627</v>
      </c>
      <c r="F952" s="1"/>
      <c r="G952" s="1"/>
      <c r="H952" t="s">
        <v>1067</v>
      </c>
      <c r="I952" s="2">
        <v>13</v>
      </c>
      <c r="J952" s="2" t="s">
        <v>43</v>
      </c>
      <c r="K95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52" s="3"/>
      <c r="M952"/>
      <c r="N95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</v>
      </c>
      <c r="O95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46068</v>
      </c>
      <c r="P952" t="s">
        <v>25</v>
      </c>
      <c r="Q952" t="s">
        <v>1628</v>
      </c>
      <c r="R952" s="1"/>
      <c r="S952" s="24"/>
      <c r="T952"/>
      <c r="U952"/>
    </row>
    <row r="953" spans="2:21" s="49" customFormat="1" ht="18.75" hidden="1" customHeight="1">
      <c r="B953" s="1"/>
      <c r="C953" s="7"/>
      <c r="D953" s="1">
        <v>46068</v>
      </c>
      <c r="E953" s="29" t="s">
        <v>1629</v>
      </c>
      <c r="F953" s="1"/>
      <c r="G953" s="1"/>
      <c r="H953" t="s">
        <v>1067</v>
      </c>
      <c r="I953" s="2">
        <v>13</v>
      </c>
      <c r="J953" s="2" t="s">
        <v>43</v>
      </c>
      <c r="K95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53" s="3"/>
      <c r="M953"/>
      <c r="N95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</v>
      </c>
      <c r="O95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46068</v>
      </c>
      <c r="P953" t="s">
        <v>25</v>
      </c>
      <c r="Q953" t="s">
        <v>1628</v>
      </c>
      <c r="R953" s="1"/>
      <c r="S953" s="24"/>
      <c r="T953"/>
      <c r="U953"/>
    </row>
    <row r="954" spans="2:21" s="49" customFormat="1" ht="18.75" hidden="1" customHeight="1">
      <c r="B954" s="1"/>
      <c r="C954" s="7"/>
      <c r="D954" s="1">
        <v>46068</v>
      </c>
      <c r="E954" s="29" t="s">
        <v>1630</v>
      </c>
      <c r="F954" s="1"/>
      <c r="G954" s="1"/>
      <c r="H954" t="s">
        <v>1067</v>
      </c>
      <c r="I954" s="2">
        <v>13</v>
      </c>
      <c r="J954" s="2" t="s">
        <v>43</v>
      </c>
      <c r="K95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54" s="3"/>
      <c r="M954"/>
      <c r="N95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</v>
      </c>
      <c r="O95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46068</v>
      </c>
      <c r="P954" t="s">
        <v>25</v>
      </c>
      <c r="Q954" t="s">
        <v>1628</v>
      </c>
      <c r="R954" s="1"/>
      <c r="S954" s="24"/>
      <c r="T954"/>
      <c r="U954"/>
    </row>
    <row r="955" spans="2:21" s="49" customFormat="1" ht="18.75" hidden="1" customHeight="1">
      <c r="B955" s="1"/>
      <c r="C955" s="7"/>
      <c r="D955" s="1">
        <v>46068</v>
      </c>
      <c r="E955" s="29" t="s">
        <v>1631</v>
      </c>
      <c r="F955" s="1"/>
      <c r="G955" s="1"/>
      <c r="H955" t="s">
        <v>1067</v>
      </c>
      <c r="I955" s="2">
        <v>13</v>
      </c>
      <c r="J955" s="2" t="s">
        <v>43</v>
      </c>
      <c r="K95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55" s="3"/>
      <c r="M955"/>
      <c r="N95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</v>
      </c>
      <c r="O95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46068</v>
      </c>
      <c r="P955" t="s">
        <v>25</v>
      </c>
      <c r="Q955" t="s">
        <v>1628</v>
      </c>
      <c r="R955" s="1"/>
      <c r="S955" s="24"/>
      <c r="T955"/>
      <c r="U955"/>
    </row>
    <row r="956" spans="2:21" s="49" customFormat="1" ht="18.75" hidden="1" customHeight="1">
      <c r="B956" s="1"/>
      <c r="C956" s="7"/>
      <c r="D956" s="1">
        <v>46068</v>
      </c>
      <c r="E956" s="29" t="s">
        <v>1632</v>
      </c>
      <c r="F956" s="1"/>
      <c r="G956" s="1"/>
      <c r="H956" t="s">
        <v>1067</v>
      </c>
      <c r="I956" s="2">
        <v>13</v>
      </c>
      <c r="J956" s="2" t="s">
        <v>43</v>
      </c>
      <c r="K95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56" s="3"/>
      <c r="M956"/>
      <c r="N95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</v>
      </c>
      <c r="O95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46068</v>
      </c>
      <c r="P956" t="s">
        <v>25</v>
      </c>
      <c r="Q956" t="s">
        <v>1628</v>
      </c>
      <c r="R956" s="1"/>
      <c r="S956" s="24"/>
      <c r="T956"/>
      <c r="U956"/>
    </row>
    <row r="957" spans="2:21" s="63" customFormat="1" ht="18.75" hidden="1" customHeight="1">
      <c r="B957" s="1"/>
      <c r="C957" s="7"/>
      <c r="D957" s="1">
        <v>46069</v>
      </c>
      <c r="E957" s="29" t="s">
        <v>1633</v>
      </c>
      <c r="F957" s="1"/>
      <c r="G957" s="1"/>
      <c r="H957" t="s">
        <v>1067</v>
      </c>
      <c r="I957" s="2">
        <v>104.1</v>
      </c>
      <c r="J957" s="2" t="s">
        <v>43</v>
      </c>
      <c r="K95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57" s="3"/>
      <c r="M957"/>
      <c r="N95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104.1</v>
      </c>
      <c r="O95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46069</v>
      </c>
      <c r="P957" t="s">
        <v>25</v>
      </c>
      <c r="Q957" t="s">
        <v>1380</v>
      </c>
      <c r="R957" s="1"/>
      <c r="S957" s="24"/>
      <c r="T957"/>
      <c r="U957" s="38"/>
    </row>
    <row r="958" spans="2:21" s="49" customFormat="1" ht="18.75" hidden="1" customHeight="1">
      <c r="B958" s="1"/>
      <c r="C958" s="7"/>
      <c r="D958" s="1">
        <v>46069</v>
      </c>
      <c r="E958" s="29" t="s">
        <v>1634</v>
      </c>
      <c r="F958" s="1"/>
      <c r="G958" s="1"/>
      <c r="H958" t="s">
        <v>1067</v>
      </c>
      <c r="I958" s="2">
        <v>9.7799999999999994</v>
      </c>
      <c r="J958" s="2" t="s">
        <v>43</v>
      </c>
      <c r="K95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58" s="3"/>
      <c r="M958"/>
      <c r="N95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9.7799999999999994</v>
      </c>
      <c r="O95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46069</v>
      </c>
      <c r="P958" t="s">
        <v>25</v>
      </c>
      <c r="Q958" t="s">
        <v>1635</v>
      </c>
      <c r="R958" s="1"/>
      <c r="S958" s="24"/>
      <c r="T958"/>
      <c r="U958" s="38"/>
    </row>
    <row r="959" spans="2:21" s="63" customFormat="1" ht="18.75" hidden="1" customHeight="1">
      <c r="B959" s="1"/>
      <c r="C959" s="7"/>
      <c r="D959" s="1">
        <v>46069</v>
      </c>
      <c r="E959" s="29" t="s">
        <v>1636</v>
      </c>
      <c r="F959" s="1"/>
      <c r="G959" s="1"/>
      <c r="H959" t="s">
        <v>1067</v>
      </c>
      <c r="I959" s="2">
        <v>8.92</v>
      </c>
      <c r="J959" s="2" t="s">
        <v>43</v>
      </c>
      <c r="K95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59" s="3"/>
      <c r="M959"/>
      <c r="N95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8.92</v>
      </c>
      <c r="O95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46069</v>
      </c>
      <c r="P959" t="s">
        <v>25</v>
      </c>
      <c r="Q959" t="s">
        <v>1575</v>
      </c>
      <c r="R959" s="1"/>
      <c r="S959" s="24"/>
      <c r="T959"/>
      <c r="U959" s="38"/>
    </row>
    <row r="960" spans="2:21" s="49" customFormat="1" ht="18.75" hidden="1" customHeight="1">
      <c r="B960" s="1"/>
      <c r="C960" s="7"/>
      <c r="D960" s="1">
        <v>46070</v>
      </c>
      <c r="E960" s="29" t="s">
        <v>1637</v>
      </c>
      <c r="F960" s="1"/>
      <c r="G960" s="1"/>
      <c r="H960" t="s">
        <v>1067</v>
      </c>
      <c r="I960" s="2">
        <v>83.25</v>
      </c>
      <c r="J960" s="2" t="s">
        <v>43</v>
      </c>
      <c r="K96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60" s="3"/>
      <c r="M960"/>
      <c r="N96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83.25</v>
      </c>
      <c r="O96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46070</v>
      </c>
      <c r="P960" t="s">
        <v>25</v>
      </c>
      <c r="Q960" t="s">
        <v>1638</v>
      </c>
      <c r="R960" s="1"/>
      <c r="S960" s="24"/>
      <c r="T960"/>
      <c r="U960" s="38"/>
    </row>
    <row r="961" spans="2:21" s="49" customFormat="1" ht="18.75" hidden="1" customHeight="1">
      <c r="B961" s="1"/>
      <c r="C961" s="7"/>
      <c r="D961" s="1">
        <v>46071</v>
      </c>
      <c r="E961" s="29" t="s">
        <v>1639</v>
      </c>
      <c r="F961" s="1"/>
      <c r="G961" s="1"/>
      <c r="H961" t="s">
        <v>1067</v>
      </c>
      <c r="I961" s="2">
        <v>189.99</v>
      </c>
      <c r="J961" s="2" t="s">
        <v>43</v>
      </c>
      <c r="K96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61" s="3"/>
      <c r="M961"/>
      <c r="N96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189.99</v>
      </c>
      <c r="O96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46071</v>
      </c>
      <c r="P961" t="s">
        <v>25</v>
      </c>
      <c r="Q961" t="s">
        <v>1640</v>
      </c>
      <c r="R961" s="1"/>
      <c r="S961" s="24"/>
      <c r="T961"/>
      <c r="U961"/>
    </row>
    <row r="962" spans="2:21" s="49" customFormat="1" ht="18.75" hidden="1" customHeight="1">
      <c r="B962" s="1"/>
      <c r="C962" s="7"/>
      <c r="D962" s="1">
        <v>46071</v>
      </c>
      <c r="E962" s="29" t="s">
        <v>1641</v>
      </c>
      <c r="F962" s="1"/>
      <c r="G962" s="1"/>
      <c r="H962" t="s">
        <v>1067</v>
      </c>
      <c r="I962" s="2">
        <v>49.12</v>
      </c>
      <c r="J962" s="2" t="s">
        <v>43</v>
      </c>
      <c r="K96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62" s="3"/>
      <c r="M962"/>
      <c r="N96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49.12</v>
      </c>
      <c r="O96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46071</v>
      </c>
      <c r="P962" t="s">
        <v>25</v>
      </c>
      <c r="Q962" t="s">
        <v>1642</v>
      </c>
      <c r="R962" s="1"/>
      <c r="S962" s="24"/>
      <c r="T962"/>
      <c r="U962"/>
    </row>
    <row r="963" spans="2:21" s="49" customFormat="1" ht="18.75" hidden="1" customHeight="1">
      <c r="B963" s="1"/>
      <c r="C963" s="7"/>
      <c r="D963" s="1">
        <v>46071</v>
      </c>
      <c r="E963" s="29" t="s">
        <v>1643</v>
      </c>
      <c r="F963" s="1"/>
      <c r="G963" s="1"/>
      <c r="H963" t="s">
        <v>1067</v>
      </c>
      <c r="I963" s="2">
        <v>12.28</v>
      </c>
      <c r="J963" s="2" t="s">
        <v>43</v>
      </c>
      <c r="K96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63" s="3"/>
      <c r="M963"/>
      <c r="N96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12.28</v>
      </c>
      <c r="O96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46071</v>
      </c>
      <c r="P963" t="s">
        <v>25</v>
      </c>
      <c r="Q963" t="s">
        <v>1642</v>
      </c>
      <c r="R963" s="1"/>
      <c r="S963" s="24"/>
      <c r="T963"/>
      <c r="U963" s="38"/>
    </row>
    <row r="964" spans="2:21" s="49" customFormat="1" ht="18.75" hidden="1" customHeight="1">
      <c r="B964" s="1"/>
      <c r="C964" s="7"/>
      <c r="D964" s="1">
        <v>46071</v>
      </c>
      <c r="E964" s="29">
        <v>4168315</v>
      </c>
      <c r="F964" s="1"/>
      <c r="G964" s="1"/>
      <c r="H964" t="s">
        <v>1067</v>
      </c>
      <c r="I964" s="2">
        <v>11.94</v>
      </c>
      <c r="J964" s="2" t="s">
        <v>43</v>
      </c>
      <c r="K96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64" s="3"/>
      <c r="M964"/>
      <c r="N96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11.94</v>
      </c>
      <c r="O96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46071</v>
      </c>
      <c r="P964" t="s">
        <v>25</v>
      </c>
      <c r="Q964"/>
      <c r="R964" s="1"/>
      <c r="S964" s="24"/>
      <c r="T964"/>
      <c r="U964"/>
    </row>
    <row r="965" spans="2:21" s="49" customFormat="1" ht="18.75" hidden="1" customHeight="1">
      <c r="B965" s="1"/>
      <c r="C965" s="7"/>
      <c r="D965" s="1">
        <v>46071</v>
      </c>
      <c r="E965" s="29" t="s">
        <v>1644</v>
      </c>
      <c r="F965" s="1"/>
      <c r="G965" s="1"/>
      <c r="H965" t="s">
        <v>1067</v>
      </c>
      <c r="I965" s="2">
        <v>11.89</v>
      </c>
      <c r="J965" s="2" t="s">
        <v>43</v>
      </c>
      <c r="K96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65" s="3"/>
      <c r="M965"/>
      <c r="N96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11.89</v>
      </c>
      <c r="O96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46071</v>
      </c>
      <c r="P965" t="s">
        <v>25</v>
      </c>
      <c r="Q965" t="s">
        <v>1575</v>
      </c>
      <c r="R965" s="1"/>
      <c r="S965" s="24"/>
      <c r="T965"/>
      <c r="U965"/>
    </row>
    <row r="966" spans="2:21" s="49" customFormat="1" ht="18.75" hidden="1" customHeight="1">
      <c r="B966" s="1"/>
      <c r="C966" s="7"/>
      <c r="D966" s="1">
        <v>46051</v>
      </c>
      <c r="E966" s="29" t="s">
        <v>1645</v>
      </c>
      <c r="F966" s="1"/>
      <c r="G966" s="1"/>
      <c r="H966" t="s">
        <v>1646</v>
      </c>
      <c r="I966" s="2">
        <v>5.39</v>
      </c>
      <c r="J966" s="2" t="s">
        <v>55</v>
      </c>
      <c r="K96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66" s="3"/>
      <c r="M966" s="11"/>
      <c r="N96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5.39</v>
      </c>
      <c r="O966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966" t="s">
        <v>25</v>
      </c>
      <c r="Q966"/>
      <c r="R966"/>
      <c r="S966"/>
      <c r="T966" s="24"/>
      <c r="U966"/>
    </row>
    <row r="967" spans="2:21" s="49" customFormat="1" ht="18.75" hidden="1" customHeight="1">
      <c r="B967" s="1"/>
      <c r="C967" s="7"/>
      <c r="D967" s="1">
        <v>46064</v>
      </c>
      <c r="E967" s="29">
        <v>69</v>
      </c>
      <c r="F967" s="1">
        <v>46066</v>
      </c>
      <c r="G967" s="1"/>
      <c r="H967" t="s">
        <v>1251</v>
      </c>
      <c r="I967" s="2">
        <v>12615</v>
      </c>
      <c r="J967" s="2" t="s">
        <v>55</v>
      </c>
      <c r="K96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67" s="3"/>
      <c r="M967"/>
      <c r="N96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12615</v>
      </c>
      <c r="O96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46066</v>
      </c>
      <c r="P967" t="s">
        <v>25</v>
      </c>
      <c r="Q967"/>
      <c r="R967" s="1"/>
      <c r="S967" s="24"/>
      <c r="T967"/>
      <c r="U967" t="s">
        <v>32</v>
      </c>
    </row>
    <row r="968" spans="2:21" s="49" customFormat="1" ht="18.75" hidden="1" customHeight="1">
      <c r="B968" s="1"/>
      <c r="C968" s="7"/>
      <c r="D968" s="1">
        <v>46045</v>
      </c>
      <c r="E968" s="29">
        <v>91971807</v>
      </c>
      <c r="F968" s="1"/>
      <c r="G968" s="1"/>
      <c r="H968" t="s">
        <v>1647</v>
      </c>
      <c r="I968" s="2">
        <v>6.49</v>
      </c>
      <c r="J968" s="2" t="s">
        <v>55</v>
      </c>
      <c r="K96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68" s="3"/>
      <c r="M968" s="11"/>
      <c r="N96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6.49</v>
      </c>
      <c r="O968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968" s="2" t="s">
        <v>25</v>
      </c>
      <c r="Q968" t="s">
        <v>1648</v>
      </c>
      <c r="R968"/>
      <c r="S968"/>
      <c r="T968"/>
      <c r="U968"/>
    </row>
    <row r="969" spans="2:21" s="49" customFormat="1" ht="18.75" hidden="1" customHeight="1">
      <c r="B969" s="1"/>
      <c r="C969"/>
      <c r="D969" s="1">
        <v>46033</v>
      </c>
      <c r="E969" s="29" t="s">
        <v>1649</v>
      </c>
      <c r="F969" s="1"/>
      <c r="G969" s="1"/>
      <c r="H969" t="s">
        <v>1650</v>
      </c>
      <c r="I969" s="2">
        <v>156.06</v>
      </c>
      <c r="J969" s="2" t="s">
        <v>43</v>
      </c>
      <c r="K96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69" s="3"/>
      <c r="M969" s="11"/>
      <c r="N96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156.06</v>
      </c>
      <c r="O96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46033</v>
      </c>
      <c r="P969" t="s">
        <v>25</v>
      </c>
      <c r="Q969" t="s">
        <v>1651</v>
      </c>
      <c r="R969" s="1"/>
      <c r="S969"/>
      <c r="T969" s="24"/>
      <c r="U969"/>
    </row>
    <row r="970" spans="2:21" s="49" customFormat="1" ht="18.75" hidden="1" customHeight="1">
      <c r="B970" s="1"/>
      <c r="C970" s="7"/>
      <c r="D970" s="1">
        <v>46036</v>
      </c>
      <c r="E970" s="29" t="s">
        <v>1652</v>
      </c>
      <c r="F970" s="1"/>
      <c r="G970" s="1"/>
      <c r="H970" t="s">
        <v>1650</v>
      </c>
      <c r="I970" s="2">
        <v>154.43</v>
      </c>
      <c r="J970" s="2" t="s">
        <v>55</v>
      </c>
      <c r="K97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70" s="3"/>
      <c r="M970" s="11"/>
      <c r="N97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154.43</v>
      </c>
      <c r="O970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970" s="2" t="s">
        <v>25</v>
      </c>
      <c r="Q970"/>
      <c r="R970"/>
      <c r="S970"/>
      <c r="T970"/>
      <c r="U970"/>
    </row>
    <row r="971" spans="2:21" s="49" customFormat="1" ht="18.75" hidden="1" customHeight="1">
      <c r="B971" s="1"/>
      <c r="C971" s="7"/>
      <c r="D971" s="1">
        <v>46033</v>
      </c>
      <c r="E971" s="29" t="s">
        <v>1652</v>
      </c>
      <c r="F971" s="1"/>
      <c r="G971" s="1"/>
      <c r="H971" t="s">
        <v>1650</v>
      </c>
      <c r="I971" s="2">
        <v>156.06</v>
      </c>
      <c r="J971" s="2" t="s">
        <v>55</v>
      </c>
      <c r="K97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71" s="3"/>
      <c r="M971" s="11"/>
      <c r="N97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156.06</v>
      </c>
      <c r="O971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971" s="2" t="s">
        <v>25</v>
      </c>
      <c r="Q971"/>
      <c r="R971"/>
      <c r="S971"/>
      <c r="T971"/>
      <c r="U971"/>
    </row>
    <row r="972" spans="2:21" s="63" customFormat="1" ht="18.75" hidden="1" customHeight="1">
      <c r="B972" s="1"/>
      <c r="C972" s="7"/>
      <c r="D972" s="1">
        <v>46056</v>
      </c>
      <c r="E972" s="29" t="s">
        <v>1653</v>
      </c>
      <c r="F972" s="1"/>
      <c r="G972" s="1"/>
      <c r="H972" t="s">
        <v>171</v>
      </c>
      <c r="I972" s="2">
        <v>-4479.3599999999997</v>
      </c>
      <c r="J972" s="2" t="s">
        <v>55</v>
      </c>
      <c r="K97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72" s="3"/>
      <c r="M972" s="11" t="s">
        <v>25</v>
      </c>
      <c r="N97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-4479.3599999999997</v>
      </c>
      <c r="O972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972" t="s">
        <v>25</v>
      </c>
      <c r="Q972" t="s">
        <v>1654</v>
      </c>
      <c r="R972"/>
      <c r="S972"/>
      <c r="T972"/>
      <c r="U972"/>
    </row>
    <row r="973" spans="2:21" s="63" customFormat="1" ht="18.75" hidden="1" customHeight="1">
      <c r="B973" s="1"/>
      <c r="C973" s="7"/>
      <c r="D973" s="1">
        <v>46056</v>
      </c>
      <c r="E973" s="29" t="s">
        <v>1655</v>
      </c>
      <c r="F973" s="1"/>
      <c r="G973" s="1"/>
      <c r="H973" t="s">
        <v>171</v>
      </c>
      <c r="I973" s="2">
        <v>4479.3599999999997</v>
      </c>
      <c r="J973" s="2" t="s">
        <v>55</v>
      </c>
      <c r="K97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73" s="3"/>
      <c r="M973" s="11" t="s">
        <v>25</v>
      </c>
      <c r="N97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4479.3599999999997</v>
      </c>
      <c r="O973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973" t="s">
        <v>25</v>
      </c>
      <c r="Q973" t="s">
        <v>1656</v>
      </c>
      <c r="R973"/>
      <c r="S973"/>
      <c r="T973"/>
      <c r="U973"/>
    </row>
    <row r="974" spans="2:21" s="49" customFormat="1" ht="18.75" hidden="1" customHeight="1">
      <c r="B974" s="1"/>
      <c r="C974" s="7"/>
      <c r="D974" s="1">
        <v>46053</v>
      </c>
      <c r="E974" s="29">
        <v>5487594766</v>
      </c>
      <c r="F974" s="1"/>
      <c r="G974" s="1"/>
      <c r="H974" t="s">
        <v>1657</v>
      </c>
      <c r="I974" s="2">
        <v>6028.64</v>
      </c>
      <c r="J974" s="2" t="s">
        <v>43</v>
      </c>
      <c r="K97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74" s="3"/>
      <c r="M974"/>
      <c r="N97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6028.64</v>
      </c>
      <c r="O97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46053</v>
      </c>
      <c r="P974" t="s">
        <v>25</v>
      </c>
      <c r="Q974" t="s">
        <v>1658</v>
      </c>
      <c r="R974" s="1"/>
      <c r="S974" s="24"/>
      <c r="T974"/>
      <c r="U974"/>
    </row>
    <row r="975" spans="2:21" s="49" customFormat="1" ht="18.75" hidden="1" customHeight="1">
      <c r="B975" s="48"/>
      <c r="C975" s="57"/>
      <c r="D975" s="48">
        <v>46074</v>
      </c>
      <c r="E975" s="50" t="s">
        <v>1659</v>
      </c>
      <c r="F975" s="48"/>
      <c r="G975" s="48"/>
      <c r="H975" s="49" t="s">
        <v>1660</v>
      </c>
      <c r="I975" s="51">
        <v>14025</v>
      </c>
      <c r="J975" s="51" t="s">
        <v>43</v>
      </c>
      <c r="K97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75" s="52"/>
      <c r="N97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14025</v>
      </c>
      <c r="O97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46074</v>
      </c>
      <c r="P975" s="49" t="s">
        <v>25</v>
      </c>
      <c r="Q975" s="49" t="s">
        <v>1661</v>
      </c>
      <c r="R975" s="48"/>
      <c r="S975" s="59"/>
    </row>
    <row r="976" spans="2:21" s="49" customFormat="1" ht="18.75" hidden="1" customHeight="1">
      <c r="B976" s="1"/>
      <c r="C976" s="7"/>
      <c r="D976" s="1">
        <v>46062</v>
      </c>
      <c r="E976" s="29">
        <v>38583</v>
      </c>
      <c r="F976" s="1"/>
      <c r="G976" s="1"/>
      <c r="H976" t="s">
        <v>1662</v>
      </c>
      <c r="I976" s="41">
        <v>289.88</v>
      </c>
      <c r="J976" s="41" t="s">
        <v>43</v>
      </c>
      <c r="K97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76" s="43"/>
      <c r="M976"/>
      <c r="N97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289.88</v>
      </c>
      <c r="O97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46062</v>
      </c>
      <c r="P976" t="s">
        <v>25</v>
      </c>
      <c r="Q976" t="s">
        <v>1663</v>
      </c>
      <c r="R976" s="1"/>
      <c r="S976" s="24"/>
      <c r="T976"/>
      <c r="U976"/>
    </row>
    <row r="977" spans="2:21" s="49" customFormat="1" ht="18.75" hidden="1" customHeight="1">
      <c r="B977" s="44"/>
      <c r="C977" s="7"/>
      <c r="D977" s="1">
        <v>46069</v>
      </c>
      <c r="E977" s="29" t="s">
        <v>58</v>
      </c>
      <c r="F977" s="1"/>
      <c r="G977" s="1"/>
      <c r="H977" t="s">
        <v>59</v>
      </c>
      <c r="I977" s="2">
        <v>480.05</v>
      </c>
      <c r="J977" s="2" t="s">
        <v>43</v>
      </c>
      <c r="K97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77" s="3"/>
      <c r="M977" s="11"/>
      <c r="N97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480.05</v>
      </c>
      <c r="O97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46069</v>
      </c>
      <c r="P977" t="s">
        <v>25</v>
      </c>
      <c r="Q977"/>
      <c r="R977"/>
      <c r="S977" s="24"/>
      <c r="T977"/>
      <c r="U977"/>
    </row>
    <row r="978" spans="2:21" s="49" customFormat="1" ht="18.75" hidden="1" customHeight="1">
      <c r="B978" s="44"/>
      <c r="C978" s="7"/>
      <c r="D978" s="1">
        <v>46069</v>
      </c>
      <c r="E978" s="29" t="s">
        <v>1664</v>
      </c>
      <c r="F978" s="1"/>
      <c r="G978" s="1"/>
      <c r="H978" t="s">
        <v>59</v>
      </c>
      <c r="I978" s="2">
        <v>551.21</v>
      </c>
      <c r="J978" s="2" t="s">
        <v>43</v>
      </c>
      <c r="K97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78" s="3"/>
      <c r="M978" s="11"/>
      <c r="N97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551.21</v>
      </c>
      <c r="O97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46069</v>
      </c>
      <c r="P978" t="s">
        <v>25</v>
      </c>
      <c r="Q978" t="s">
        <v>1665</v>
      </c>
      <c r="R978"/>
      <c r="S978" s="24"/>
      <c r="T978"/>
      <c r="U978"/>
    </row>
    <row r="979" spans="2:21" s="49" customFormat="1" ht="18.75" hidden="1" customHeight="1">
      <c r="B979" s="44"/>
      <c r="C979" s="7"/>
      <c r="D979" s="1">
        <v>46069</v>
      </c>
      <c r="E979" s="29" t="s">
        <v>1666</v>
      </c>
      <c r="F979" s="1"/>
      <c r="G979" s="1"/>
      <c r="H979" t="s">
        <v>59</v>
      </c>
      <c r="I979" s="2">
        <v>551.21</v>
      </c>
      <c r="J979" s="2" t="s">
        <v>43</v>
      </c>
      <c r="K97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79" s="3"/>
      <c r="M979" s="11"/>
      <c r="N97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551.21</v>
      </c>
      <c r="O97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46069</v>
      </c>
      <c r="P979" t="s">
        <v>25</v>
      </c>
      <c r="Q979" t="s">
        <v>1667</v>
      </c>
      <c r="R979"/>
      <c r="S979" s="24"/>
      <c r="T979"/>
      <c r="U979"/>
    </row>
    <row r="980" spans="2:21" s="49" customFormat="1" ht="18.75" hidden="1" customHeight="1">
      <c r="B980" s="1"/>
      <c r="C980"/>
      <c r="D980" s="1">
        <v>46045</v>
      </c>
      <c r="E980" s="29" t="s">
        <v>1668</v>
      </c>
      <c r="F980" s="1"/>
      <c r="G980" s="1"/>
      <c r="H980" t="s">
        <v>1669</v>
      </c>
      <c r="I980" s="2">
        <v>143</v>
      </c>
      <c r="J980" s="2" t="s">
        <v>55</v>
      </c>
      <c r="K98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80" s="3"/>
      <c r="M980" s="11"/>
      <c r="N98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143</v>
      </c>
      <c r="O980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980" t="s">
        <v>25</v>
      </c>
      <c r="Q980" t="s">
        <v>1670</v>
      </c>
      <c r="R980"/>
      <c r="S980"/>
      <c r="T980"/>
      <c r="U980"/>
    </row>
    <row r="981" spans="2:21" s="49" customFormat="1" ht="18.75" hidden="1" customHeight="1">
      <c r="B981" s="1"/>
      <c r="C981" s="7"/>
      <c r="D981" s="1">
        <v>46064</v>
      </c>
      <c r="E981" s="31" t="s">
        <v>1671</v>
      </c>
      <c r="F981" s="1"/>
      <c r="G981" s="1"/>
      <c r="H981" t="s">
        <v>1672</v>
      </c>
      <c r="I981" s="2">
        <v>453.17</v>
      </c>
      <c r="J981" s="2" t="s">
        <v>43</v>
      </c>
      <c r="K98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81" s="3"/>
      <c r="M981" s="11"/>
      <c r="N98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453.17</v>
      </c>
      <c r="O98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46064</v>
      </c>
      <c r="P981" t="s">
        <v>25</v>
      </c>
      <c r="Q981" t="s">
        <v>1673</v>
      </c>
      <c r="R981"/>
      <c r="S981" s="24"/>
      <c r="T981"/>
      <c r="U981"/>
    </row>
    <row r="982" spans="2:21" s="49" customFormat="1" ht="18.75" hidden="1" customHeight="1">
      <c r="B982" s="1"/>
      <c r="C982" s="7"/>
      <c r="D982" s="1">
        <v>46071</v>
      </c>
      <c r="E982" s="31" t="s">
        <v>1674</v>
      </c>
      <c r="F982" s="1"/>
      <c r="G982" s="1"/>
      <c r="H982" t="s">
        <v>1672</v>
      </c>
      <c r="I982" s="2">
        <v>453.17</v>
      </c>
      <c r="J982" s="2" t="s">
        <v>43</v>
      </c>
      <c r="K98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82" s="3"/>
      <c r="M982"/>
      <c r="N98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453.17</v>
      </c>
      <c r="O98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46071</v>
      </c>
      <c r="P982" t="s">
        <v>25</v>
      </c>
      <c r="Q982" t="s">
        <v>1673</v>
      </c>
      <c r="R982" s="1"/>
      <c r="S982" s="24"/>
      <c r="T982"/>
      <c r="U982"/>
    </row>
    <row r="983" spans="2:21" s="49" customFormat="1" ht="18.75" hidden="1" customHeight="1">
      <c r="B983" s="1"/>
      <c r="C983" s="7"/>
      <c r="D983" s="1">
        <v>46071</v>
      </c>
      <c r="E983" s="31" t="s">
        <v>1675</v>
      </c>
      <c r="F983" s="1"/>
      <c r="G983" s="1"/>
      <c r="H983" t="s">
        <v>1672</v>
      </c>
      <c r="I983" s="2">
        <v>453.17</v>
      </c>
      <c r="J983" s="2" t="s">
        <v>43</v>
      </c>
      <c r="K98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83" s="3"/>
      <c r="M983"/>
      <c r="N98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453.17</v>
      </c>
      <c r="O98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46071</v>
      </c>
      <c r="P983" t="s">
        <v>25</v>
      </c>
      <c r="Q983" t="s">
        <v>1673</v>
      </c>
      <c r="R983" s="1"/>
      <c r="S983" s="24"/>
      <c r="T983"/>
      <c r="U983"/>
    </row>
    <row r="984" spans="2:21" s="49" customFormat="1" ht="18.75" hidden="1" customHeight="1">
      <c r="B984" s="1"/>
      <c r="C984"/>
      <c r="D984" s="1">
        <v>46010</v>
      </c>
      <c r="E984" s="29" t="s">
        <v>1676</v>
      </c>
      <c r="F984" s="1"/>
      <c r="G984" s="1"/>
      <c r="H984" t="s">
        <v>1677</v>
      </c>
      <c r="I984" s="2">
        <v>645</v>
      </c>
      <c r="J984" s="2" t="s">
        <v>43</v>
      </c>
      <c r="K98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84" s="3"/>
      <c r="M984" s="11"/>
      <c r="N98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645</v>
      </c>
      <c r="O98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46010</v>
      </c>
      <c r="P984" t="s">
        <v>25</v>
      </c>
      <c r="Q984" t="s">
        <v>1073</v>
      </c>
      <c r="R984" s="1"/>
      <c r="S984"/>
      <c r="T984" s="24"/>
      <c r="U984"/>
    </row>
    <row r="985" spans="2:21" s="49" customFormat="1" ht="18.75" hidden="1" customHeight="1">
      <c r="B985" s="56"/>
      <c r="C985" s="57"/>
      <c r="D985" s="48">
        <v>46035</v>
      </c>
      <c r="E985" s="50" t="s">
        <v>1678</v>
      </c>
      <c r="F985" s="48"/>
      <c r="G985" s="48"/>
      <c r="H985" s="49" t="s">
        <v>1498</v>
      </c>
      <c r="I985" s="51">
        <v>1732.5</v>
      </c>
      <c r="J985" s="51" t="s">
        <v>43</v>
      </c>
      <c r="K98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85" s="52"/>
      <c r="M985" s="58"/>
      <c r="N98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1732.5</v>
      </c>
      <c r="O98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46035</v>
      </c>
      <c r="P985" s="49" t="s">
        <v>25</v>
      </c>
      <c r="Q985" s="49" t="s">
        <v>1679</v>
      </c>
      <c r="S985" s="59"/>
    </row>
    <row r="986" spans="2:21" s="49" customFormat="1" ht="18.75" hidden="1" customHeight="1">
      <c r="B986" s="56"/>
      <c r="C986" s="57"/>
      <c r="D986" s="48">
        <v>46062</v>
      </c>
      <c r="E986" s="50" t="s">
        <v>1680</v>
      </c>
      <c r="F986" s="48"/>
      <c r="G986" s="48"/>
      <c r="H986" s="49" t="s">
        <v>849</v>
      </c>
      <c r="I986" s="51">
        <v>16500</v>
      </c>
      <c r="J986" s="51" t="s">
        <v>43</v>
      </c>
      <c r="K98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86" s="52"/>
      <c r="M986" s="58"/>
      <c r="N98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16500</v>
      </c>
      <c r="O98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46062</v>
      </c>
      <c r="P986" s="49" t="s">
        <v>25</v>
      </c>
      <c r="S986" s="59"/>
      <c r="U986" s="49" t="s">
        <v>32</v>
      </c>
    </row>
    <row r="987" spans="2:21" s="49" customFormat="1" ht="18.75" hidden="1" customHeight="1">
      <c r="B987" s="1"/>
      <c r="C987"/>
      <c r="D987" s="1">
        <v>46037</v>
      </c>
      <c r="E987" s="29" t="s">
        <v>1681</v>
      </c>
      <c r="F987" s="1"/>
      <c r="G987" s="1"/>
      <c r="H987" t="s">
        <v>1046</v>
      </c>
      <c r="I987" s="2">
        <v>120</v>
      </c>
      <c r="J987" s="2" t="s">
        <v>43</v>
      </c>
      <c r="K98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87" s="3"/>
      <c r="M987" s="11"/>
      <c r="N98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98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46037</v>
      </c>
      <c r="P987" t="s">
        <v>25</v>
      </c>
      <c r="Q987" s="12" t="s">
        <v>1517</v>
      </c>
      <c r="R987" s="1">
        <v>46044</v>
      </c>
      <c r="S987" t="s">
        <v>45</v>
      </c>
      <c r="T987"/>
      <c r="U987" t="s">
        <v>32</v>
      </c>
    </row>
    <row r="988" spans="2:21" s="49" customFormat="1" ht="18.75" hidden="1" customHeight="1">
      <c r="B988" s="1"/>
      <c r="C988"/>
      <c r="D988" s="1">
        <v>46037</v>
      </c>
      <c r="E988" s="29" t="s">
        <v>1682</v>
      </c>
      <c r="F988" s="1"/>
      <c r="G988" s="1"/>
      <c r="H988" t="s">
        <v>1046</v>
      </c>
      <c r="I988" s="2">
        <v>2757.97</v>
      </c>
      <c r="J988" s="2" t="s">
        <v>43</v>
      </c>
      <c r="K98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88" s="3"/>
      <c r="M988" s="11"/>
      <c r="N98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2757.97</v>
      </c>
      <c r="O98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46037</v>
      </c>
      <c r="P988" t="s">
        <v>25</v>
      </c>
      <c r="Q988" t="s">
        <v>1683</v>
      </c>
      <c r="R988" s="1">
        <v>46044</v>
      </c>
      <c r="S988" t="s">
        <v>45</v>
      </c>
      <c r="T988"/>
      <c r="U988" t="s">
        <v>32</v>
      </c>
    </row>
    <row r="989" spans="2:21" s="49" customFormat="1" ht="18.75" hidden="1" customHeight="1">
      <c r="B989" s="56"/>
      <c r="C989" s="57"/>
      <c r="D989" s="48">
        <v>46072</v>
      </c>
      <c r="E989" s="50" t="s">
        <v>1684</v>
      </c>
      <c r="F989" s="48"/>
      <c r="G989" s="48"/>
      <c r="H989" s="49" t="s">
        <v>849</v>
      </c>
      <c r="I989" s="51">
        <v>9600</v>
      </c>
      <c r="J989" s="51" t="s">
        <v>43</v>
      </c>
      <c r="K98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89" s="52"/>
      <c r="M989" s="58"/>
      <c r="N98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9600</v>
      </c>
      <c r="O98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46072</v>
      </c>
      <c r="P989" s="49" t="s">
        <v>25</v>
      </c>
      <c r="Q989" s="49" t="s">
        <v>852</v>
      </c>
      <c r="S989" s="59"/>
      <c r="U989" s="49" t="s">
        <v>32</v>
      </c>
    </row>
    <row r="990" spans="2:21" s="49" customFormat="1" ht="18.75" hidden="1" customHeight="1">
      <c r="B990" s="56"/>
      <c r="C990" s="57"/>
      <c r="D990" s="48">
        <v>46077</v>
      </c>
      <c r="E990" s="50" t="s">
        <v>1685</v>
      </c>
      <c r="F990" s="48"/>
      <c r="G990" s="48"/>
      <c r="H990" s="49" t="s">
        <v>1067</v>
      </c>
      <c r="I990" s="51">
        <v>13.98</v>
      </c>
      <c r="J990" s="51" t="s">
        <v>43</v>
      </c>
      <c r="K99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90" s="52"/>
      <c r="M990" s="58"/>
      <c r="N99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13.98</v>
      </c>
      <c r="O99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46077</v>
      </c>
      <c r="P990" s="49" t="s">
        <v>25</v>
      </c>
      <c r="Q990" s="49" t="s">
        <v>1070</v>
      </c>
      <c r="S990" s="59"/>
      <c r="T990" s="49" t="s">
        <v>1686</v>
      </c>
    </row>
    <row r="991" spans="2:21" s="49" customFormat="1" ht="18.75" hidden="1" customHeight="1">
      <c r="B991" s="1"/>
      <c r="C991"/>
      <c r="D991" s="1">
        <v>46037</v>
      </c>
      <c r="E991" s="29" t="s">
        <v>1687</v>
      </c>
      <c r="F991" s="1"/>
      <c r="G991" s="1"/>
      <c r="H991" t="s">
        <v>1046</v>
      </c>
      <c r="I991" s="41">
        <v>2757.97</v>
      </c>
      <c r="J991" s="2" t="s">
        <v>43</v>
      </c>
      <c r="K99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91" s="43"/>
      <c r="M991" s="42"/>
      <c r="N99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2757.97</v>
      </c>
      <c r="O99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46037</v>
      </c>
      <c r="P991" t="s">
        <v>25</v>
      </c>
      <c r="Q991" t="s">
        <v>1688</v>
      </c>
      <c r="R991" s="1">
        <v>46044</v>
      </c>
      <c r="S991" t="s">
        <v>45</v>
      </c>
      <c r="T991"/>
      <c r="U991" t="s">
        <v>32</v>
      </c>
    </row>
    <row r="992" spans="2:21" s="49" customFormat="1" ht="18.75" hidden="1" customHeight="1">
      <c r="B992" s="1"/>
      <c r="C992"/>
      <c r="D992" s="1">
        <v>46038</v>
      </c>
      <c r="E992" s="29" t="s">
        <v>1689</v>
      </c>
      <c r="F992" s="1"/>
      <c r="G992" s="1"/>
      <c r="H992" t="s">
        <v>1046</v>
      </c>
      <c r="I992" s="41">
        <v>120</v>
      </c>
      <c r="J992" s="41" t="s">
        <v>43</v>
      </c>
      <c r="K99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92" s="43"/>
      <c r="M992" s="42"/>
      <c r="N99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99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46038</v>
      </c>
      <c r="P992" t="s">
        <v>25</v>
      </c>
      <c r="Q992" t="s">
        <v>1690</v>
      </c>
      <c r="R992" s="1">
        <v>46044</v>
      </c>
      <c r="S992" t="s">
        <v>45</v>
      </c>
      <c r="T992"/>
      <c r="U992" t="s">
        <v>32</v>
      </c>
    </row>
    <row r="993" spans="2:21" s="49" customFormat="1" ht="18.75" hidden="1" customHeight="1">
      <c r="B993" s="1"/>
      <c r="C993"/>
      <c r="D993" s="1">
        <v>46038</v>
      </c>
      <c r="E993" s="29" t="s">
        <v>1691</v>
      </c>
      <c r="F993" s="1"/>
      <c r="G993" s="1"/>
      <c r="H993" t="s">
        <v>1046</v>
      </c>
      <c r="I993" s="41">
        <v>4650</v>
      </c>
      <c r="J993" s="41" t="s">
        <v>43</v>
      </c>
      <c r="K99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93" s="43"/>
      <c r="M993" s="42"/>
      <c r="N99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4650</v>
      </c>
      <c r="O99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46038</v>
      </c>
      <c r="P993" t="s">
        <v>25</v>
      </c>
      <c r="Q993" t="s">
        <v>1692</v>
      </c>
      <c r="R993" s="1">
        <v>46044</v>
      </c>
      <c r="S993" t="s">
        <v>45</v>
      </c>
      <c r="T993"/>
      <c r="U993" t="s">
        <v>32</v>
      </c>
    </row>
    <row r="994" spans="2:21" s="49" customFormat="1" ht="18.75" hidden="1" customHeight="1">
      <c r="B994" s="1"/>
      <c r="C994"/>
      <c r="D994" s="1">
        <v>46036</v>
      </c>
      <c r="E994" s="29" t="s">
        <v>1693</v>
      </c>
      <c r="F994" s="1">
        <v>46037</v>
      </c>
      <c r="G994" s="1"/>
      <c r="H994" s="49" t="s">
        <v>69</v>
      </c>
      <c r="I994" s="2">
        <v>499.43</v>
      </c>
      <c r="J994" s="2" t="s">
        <v>55</v>
      </c>
      <c r="K99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94" s="3"/>
      <c r="M994" s="11"/>
      <c r="N99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499.43</v>
      </c>
      <c r="O99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46037</v>
      </c>
      <c r="P994" t="s">
        <v>25</v>
      </c>
      <c r="Q994" t="s">
        <v>1694</v>
      </c>
      <c r="R994" s="1">
        <v>46037</v>
      </c>
      <c r="S994" t="s">
        <v>45</v>
      </c>
      <c r="T994"/>
      <c r="U994"/>
    </row>
    <row r="995" spans="2:21" s="49" customFormat="1" ht="18.75" hidden="1" customHeight="1">
      <c r="B995" s="1"/>
      <c r="C995"/>
      <c r="D995" s="1">
        <v>46036</v>
      </c>
      <c r="E995" s="29" t="s">
        <v>1695</v>
      </c>
      <c r="F995" s="1">
        <v>46037</v>
      </c>
      <c r="G995" s="1"/>
      <c r="H995" s="49" t="s">
        <v>69</v>
      </c>
      <c r="I995" s="2">
        <v>7106.1</v>
      </c>
      <c r="J995" s="2" t="s">
        <v>55</v>
      </c>
      <c r="K99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95" s="3"/>
      <c r="M995" s="11"/>
      <c r="N99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7106.1</v>
      </c>
      <c r="O99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46037</v>
      </c>
      <c r="P995" t="s">
        <v>25</v>
      </c>
      <c r="Q995" t="s">
        <v>1694</v>
      </c>
      <c r="R995" s="1">
        <v>46037</v>
      </c>
      <c r="S995" t="s">
        <v>45</v>
      </c>
      <c r="T995"/>
      <c r="U995"/>
    </row>
    <row r="996" spans="2:21" s="49" customFormat="1" ht="18.75" hidden="1" customHeight="1">
      <c r="B996" s="1"/>
      <c r="C996"/>
      <c r="D996" s="1">
        <v>46034</v>
      </c>
      <c r="E996" s="29" t="s">
        <v>1696</v>
      </c>
      <c r="F996" s="1">
        <v>46037</v>
      </c>
      <c r="G996" s="1"/>
      <c r="H996" t="s">
        <v>1046</v>
      </c>
      <c r="I996" s="2">
        <v>120</v>
      </c>
      <c r="J996" s="2" t="s">
        <v>43</v>
      </c>
      <c r="K99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96" s="3"/>
      <c r="M996" s="11"/>
      <c r="N99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99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46034</v>
      </c>
      <c r="P996" t="s">
        <v>25</v>
      </c>
      <c r="Q996" t="s">
        <v>765</v>
      </c>
      <c r="R996" s="1">
        <v>46037</v>
      </c>
      <c r="S996" t="s">
        <v>45</v>
      </c>
      <c r="T996"/>
      <c r="U996" t="s">
        <v>32</v>
      </c>
    </row>
    <row r="997" spans="2:21" s="49" customFormat="1" ht="18.75" hidden="1" customHeight="1">
      <c r="B997" s="1"/>
      <c r="C997"/>
      <c r="D997" s="1">
        <v>46031</v>
      </c>
      <c r="E997" s="29" t="s">
        <v>1697</v>
      </c>
      <c r="F997" s="1">
        <v>46037</v>
      </c>
      <c r="G997" s="1"/>
      <c r="H997" t="s">
        <v>1046</v>
      </c>
      <c r="I997" s="2">
        <v>120</v>
      </c>
      <c r="J997" s="2" t="s">
        <v>43</v>
      </c>
      <c r="K99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97" s="3"/>
      <c r="M997" s="11"/>
      <c r="N99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99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46031</v>
      </c>
      <c r="P997" t="s">
        <v>25</v>
      </c>
      <c r="Q997" t="s">
        <v>1698</v>
      </c>
      <c r="R997" s="1">
        <v>46037</v>
      </c>
      <c r="S997" t="s">
        <v>45</v>
      </c>
      <c r="T997"/>
      <c r="U997" t="s">
        <v>32</v>
      </c>
    </row>
    <row r="998" spans="2:21" s="49" customFormat="1" ht="18.75" hidden="1" customHeight="1">
      <c r="B998" s="44"/>
      <c r="C998" s="7"/>
      <c r="D998" s="1">
        <v>46147</v>
      </c>
      <c r="E998" s="29">
        <v>490</v>
      </c>
      <c r="F998" s="1"/>
      <c r="G998" s="1"/>
      <c r="H998" t="s">
        <v>301</v>
      </c>
      <c r="I998" s="2">
        <v>157.79</v>
      </c>
      <c r="J998" s="2" t="s">
        <v>55</v>
      </c>
      <c r="K99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98" s="3"/>
      <c r="M998" s="2"/>
      <c r="N99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157.79</v>
      </c>
      <c r="O998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998" s="49" t="s">
        <v>25</v>
      </c>
      <c r="Q998" t="s">
        <v>214</v>
      </c>
      <c r="R998" s="1">
        <v>46149</v>
      </c>
      <c r="S998" s="24" t="s">
        <v>45</v>
      </c>
      <c r="T998"/>
      <c r="U998" s="49" t="s">
        <v>32</v>
      </c>
    </row>
    <row r="999" spans="2:21" s="49" customFormat="1" ht="18.75" hidden="1" customHeight="1">
      <c r="B999" s="48">
        <v>46044</v>
      </c>
      <c r="C999" s="57" t="s">
        <v>1699</v>
      </c>
      <c r="D999" s="48">
        <v>46122</v>
      </c>
      <c r="E999" s="50">
        <v>403</v>
      </c>
      <c r="F999" s="48"/>
      <c r="G999" s="48"/>
      <c r="H999" s="49" t="s">
        <v>301</v>
      </c>
      <c r="I999" s="51">
        <v>163.04</v>
      </c>
      <c r="J999" s="51" t="s">
        <v>55</v>
      </c>
      <c r="K99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999" s="52"/>
      <c r="M999" s="58"/>
      <c r="N99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163.04</v>
      </c>
      <c r="O999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999" s="49" t="s">
        <v>25</v>
      </c>
      <c r="Q999" s="49" t="s">
        <v>1700</v>
      </c>
      <c r="R999" s="48">
        <v>46121</v>
      </c>
      <c r="S999" s="49" t="s">
        <v>45</v>
      </c>
      <c r="U999" s="49" t="s">
        <v>32</v>
      </c>
    </row>
    <row r="1000" spans="2:21" s="49" customFormat="1" ht="18.75" hidden="1" customHeight="1">
      <c r="B1000" s="56">
        <v>46048</v>
      </c>
      <c r="C1000" s="57" t="s">
        <v>1701</v>
      </c>
      <c r="D1000" s="48">
        <v>46122</v>
      </c>
      <c r="E1000" s="50">
        <v>405</v>
      </c>
      <c r="F1000" s="48"/>
      <c r="G1000" s="48"/>
      <c r="H1000" s="49" t="s">
        <v>301</v>
      </c>
      <c r="I1000" s="51">
        <v>176</v>
      </c>
      <c r="J1000" s="51" t="s">
        <v>55</v>
      </c>
      <c r="K1000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00" s="52"/>
      <c r="M1000" s="58"/>
      <c r="N1000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176</v>
      </c>
      <c r="O1000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000" s="49" t="s">
        <v>25</v>
      </c>
      <c r="Q1000" s="49" t="s">
        <v>222</v>
      </c>
      <c r="R1000" s="48">
        <v>46121</v>
      </c>
      <c r="S1000" s="59" t="s">
        <v>45</v>
      </c>
      <c r="U1000" s="49" t="s">
        <v>32</v>
      </c>
    </row>
    <row r="1001" spans="2:21" s="49" customFormat="1" ht="18.75" hidden="1" customHeight="1">
      <c r="B1001" s="48">
        <v>46048</v>
      </c>
      <c r="C1001" s="50" t="s">
        <v>1702</v>
      </c>
      <c r="D1001" s="48">
        <v>46108</v>
      </c>
      <c r="E1001" s="50">
        <v>353</v>
      </c>
      <c r="F1001" s="48"/>
      <c r="G1001" s="48"/>
      <c r="H1001" s="49" t="s">
        <v>301</v>
      </c>
      <c r="I1001" s="58">
        <v>192.56</v>
      </c>
      <c r="J1001" s="51" t="s">
        <v>55</v>
      </c>
      <c r="K100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01" s="52"/>
      <c r="M1001" s="58"/>
      <c r="N100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192.56</v>
      </c>
      <c r="O1001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001" s="49" t="s">
        <v>25</v>
      </c>
      <c r="Q1001" s="49" t="s">
        <v>36</v>
      </c>
      <c r="R1001" s="48">
        <v>46107</v>
      </c>
      <c r="S1001" s="49" t="s">
        <v>45</v>
      </c>
      <c r="U1001" s="49" t="s">
        <v>32</v>
      </c>
    </row>
    <row r="1002" spans="2:21" s="49" customFormat="1" ht="18.75" hidden="1" customHeight="1">
      <c r="B1002" s="1">
        <v>45974</v>
      </c>
      <c r="C1002" t="s">
        <v>1703</v>
      </c>
      <c r="D1002" s="1">
        <v>46048</v>
      </c>
      <c r="E1002" s="31" t="s">
        <v>1704</v>
      </c>
      <c r="F1002" s="1">
        <v>46037</v>
      </c>
      <c r="G1002" s="1"/>
      <c r="H1002" t="s">
        <v>301</v>
      </c>
      <c r="I1002" s="2">
        <v>217.04</v>
      </c>
      <c r="J1002" s="2" t="s">
        <v>55</v>
      </c>
      <c r="K100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02" s="3"/>
      <c r="M1002" s="11"/>
      <c r="N100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217.04</v>
      </c>
      <c r="O100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46037</v>
      </c>
      <c r="P1002" t="s">
        <v>25</v>
      </c>
      <c r="Q1002" t="s">
        <v>101</v>
      </c>
      <c r="R1002" s="1">
        <v>46044</v>
      </c>
      <c r="S1002" t="s">
        <v>45</v>
      </c>
      <c r="T1002" s="24"/>
      <c r="U1002"/>
    </row>
    <row r="1003" spans="2:21" s="49" customFormat="1" ht="18.75" hidden="1" customHeight="1">
      <c r="B1003" s="48">
        <v>46037</v>
      </c>
      <c r="C1003" s="49" t="s">
        <v>1705</v>
      </c>
      <c r="D1003" s="48">
        <v>46076</v>
      </c>
      <c r="E1003" s="50">
        <v>202</v>
      </c>
      <c r="F1003" s="48"/>
      <c r="G1003" s="48"/>
      <c r="H1003" s="49" t="s">
        <v>301</v>
      </c>
      <c r="I1003" s="51">
        <v>234.32</v>
      </c>
      <c r="J1003" s="51" t="s">
        <v>55</v>
      </c>
      <c r="K100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03" s="52"/>
      <c r="M1003" s="58"/>
      <c r="N100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234.32</v>
      </c>
      <c r="O1003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003" s="49" t="s">
        <v>25</v>
      </c>
      <c r="Q1003" s="49" t="s">
        <v>1706</v>
      </c>
      <c r="R1003" s="48">
        <v>46072</v>
      </c>
      <c r="S1003" s="49" t="s">
        <v>45</v>
      </c>
      <c r="U1003" s="49" t="s">
        <v>32</v>
      </c>
    </row>
    <row r="1004" spans="2:21" s="49" customFormat="1" ht="18.75" hidden="1" customHeight="1">
      <c r="B1004" s="56">
        <v>46146</v>
      </c>
      <c r="C1004" s="57" t="s">
        <v>1707</v>
      </c>
      <c r="D1004" s="48">
        <v>46177</v>
      </c>
      <c r="E1004" s="50">
        <v>640</v>
      </c>
      <c r="F1004" s="48"/>
      <c r="G1004" s="48"/>
      <c r="H1004" s="49" t="s">
        <v>301</v>
      </c>
      <c r="I1004" s="51">
        <v>268.87</v>
      </c>
      <c r="J1004" s="51" t="s">
        <v>55</v>
      </c>
      <c r="K1004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04" s="52"/>
      <c r="M1004" s="58"/>
      <c r="N1004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268.87</v>
      </c>
      <c r="O1004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004" s="49" t="s">
        <v>25</v>
      </c>
      <c r="Q1004" s="49" t="s">
        <v>144</v>
      </c>
      <c r="R1004" s="48">
        <v>46178</v>
      </c>
      <c r="S1004" s="59" t="s">
        <v>45</v>
      </c>
    </row>
    <row r="1005" spans="2:21" s="49" customFormat="1" ht="18.75" hidden="1" customHeight="1">
      <c r="B1005" s="48">
        <v>46062</v>
      </c>
      <c r="C1005" s="57" t="s">
        <v>1708</v>
      </c>
      <c r="D1005" s="48">
        <v>46108</v>
      </c>
      <c r="E1005" s="50">
        <v>355</v>
      </c>
      <c r="F1005" s="48"/>
      <c r="G1005" s="48"/>
      <c r="H1005" s="49" t="s">
        <v>301</v>
      </c>
      <c r="I1005" s="58">
        <v>322.88</v>
      </c>
      <c r="J1005" s="51" t="s">
        <v>55</v>
      </c>
      <c r="K100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05" s="52"/>
      <c r="N100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322.88</v>
      </c>
      <c r="O1005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005" s="49" t="s">
        <v>25</v>
      </c>
      <c r="Q1005" s="49" t="s">
        <v>477</v>
      </c>
      <c r="R1005" s="48">
        <v>46107</v>
      </c>
      <c r="S1005" s="59" t="s">
        <v>45</v>
      </c>
      <c r="U1005" s="49" t="s">
        <v>32</v>
      </c>
    </row>
    <row r="1006" spans="2:21" s="49" customFormat="1" ht="18.75" hidden="1" customHeight="1">
      <c r="B1006" s="124"/>
      <c r="C1006" s="125"/>
      <c r="D1006" s="124">
        <v>45993</v>
      </c>
      <c r="E1006" s="126" t="s">
        <v>1709</v>
      </c>
      <c r="F1006" s="124"/>
      <c r="G1006" s="124"/>
      <c r="H1006" s="125" t="s">
        <v>808</v>
      </c>
      <c r="I1006" s="127">
        <v>492</v>
      </c>
      <c r="J1006" s="127" t="s">
        <v>43</v>
      </c>
      <c r="K100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06" s="128"/>
      <c r="M1006" s="127"/>
      <c r="N100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492</v>
      </c>
      <c r="O100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45993</v>
      </c>
      <c r="P1006" s="125"/>
      <c r="Q1006" s="125" t="s">
        <v>1710</v>
      </c>
      <c r="R1006" s="125"/>
      <c r="S1006" s="125"/>
      <c r="T1006" s="125"/>
      <c r="U1006" s="125"/>
    </row>
    <row r="1007" spans="2:21" s="49" customFormat="1" ht="18.75" hidden="1" customHeight="1">
      <c r="B1007" s="1"/>
      <c r="C1007" s="7"/>
      <c r="D1007" s="1">
        <v>46071</v>
      </c>
      <c r="E1007" s="29" t="s">
        <v>1711</v>
      </c>
      <c r="F1007" s="1"/>
      <c r="G1007" s="1"/>
      <c r="H1007" t="s">
        <v>1118</v>
      </c>
      <c r="I1007" s="2">
        <v>503.64</v>
      </c>
      <c r="J1007" s="2" t="s">
        <v>43</v>
      </c>
      <c r="K100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07" s="3"/>
      <c r="M1007"/>
      <c r="N100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503.64</v>
      </c>
      <c r="O100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46071</v>
      </c>
      <c r="P1007" t="s">
        <v>25</v>
      </c>
      <c r="Q1007"/>
      <c r="R1007" s="1"/>
      <c r="S1007" s="24"/>
      <c r="T1007"/>
      <c r="U1007"/>
    </row>
    <row r="1008" spans="2:21" s="49" customFormat="1" ht="18.75" hidden="1" customHeight="1">
      <c r="B1008" s="124"/>
      <c r="C1008" s="129"/>
      <c r="D1008" s="124">
        <v>46054</v>
      </c>
      <c r="E1008" s="126" t="s">
        <v>1712</v>
      </c>
      <c r="F1008" s="124"/>
      <c r="G1008" s="124"/>
      <c r="H1008" s="125" t="s">
        <v>97</v>
      </c>
      <c r="I1008" s="127">
        <v>145.13999999999999</v>
      </c>
      <c r="J1008" s="127" t="s">
        <v>98</v>
      </c>
      <c r="K1008" s="11" t="str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/>
      </c>
      <c r="L1008" s="128"/>
      <c r="M1008" s="127"/>
      <c r="N100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145.13999999999999</v>
      </c>
      <c r="O1008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008" s="125"/>
      <c r="Q1008" s="125"/>
      <c r="R1008" s="125"/>
      <c r="S1008" s="125"/>
      <c r="T1008" s="125"/>
      <c r="U1008" s="125"/>
    </row>
    <row r="1009" spans="2:21" s="49" customFormat="1" ht="18.75" hidden="1" customHeight="1">
      <c r="B1009" s="1"/>
      <c r="C1009" s="7"/>
      <c r="D1009" s="1">
        <v>46060</v>
      </c>
      <c r="E1009" s="29" t="s">
        <v>1713</v>
      </c>
      <c r="F1009" s="1"/>
      <c r="G1009" s="1"/>
      <c r="H1009" t="s">
        <v>1118</v>
      </c>
      <c r="I1009" s="2">
        <v>910.78</v>
      </c>
      <c r="J1009" s="2" t="s">
        <v>43</v>
      </c>
      <c r="K100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09" s="3"/>
      <c r="M1009" s="11"/>
      <c r="N100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910.78</v>
      </c>
      <c r="O100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46060</v>
      </c>
      <c r="P1009" t="s">
        <v>25</v>
      </c>
      <c r="Q1009" t="s">
        <v>1714</v>
      </c>
      <c r="R1009"/>
      <c r="S1009" s="24"/>
      <c r="T1009"/>
      <c r="U1009"/>
    </row>
    <row r="1010" spans="2:21" s="49" customFormat="1" ht="18.75" hidden="1" customHeight="1">
      <c r="B1010" s="1"/>
      <c r="C1010" s="7"/>
      <c r="D1010" s="1">
        <v>46060</v>
      </c>
      <c r="E1010" s="29" t="s">
        <v>1715</v>
      </c>
      <c r="F1010" s="1"/>
      <c r="G1010" s="1"/>
      <c r="H1010" t="s">
        <v>1118</v>
      </c>
      <c r="I1010" s="2">
        <v>556.91</v>
      </c>
      <c r="J1010" s="2" t="s">
        <v>43</v>
      </c>
      <c r="K101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10" s="3"/>
      <c r="M1010" s="11"/>
      <c r="N101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556.91</v>
      </c>
      <c r="O101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46060</v>
      </c>
      <c r="P1010" t="s">
        <v>25</v>
      </c>
      <c r="Q1010" t="s">
        <v>1714</v>
      </c>
      <c r="R1010"/>
      <c r="S1010" s="24"/>
      <c r="T1010"/>
      <c r="U1010"/>
    </row>
    <row r="1011" spans="2:21" s="49" customFormat="1" ht="18.75" hidden="1" customHeight="1">
      <c r="B1011" s="1"/>
      <c r="C1011" s="7"/>
      <c r="D1011" s="1">
        <v>46053</v>
      </c>
      <c r="E1011" s="29" t="s">
        <v>1716</v>
      </c>
      <c r="F1011" s="1"/>
      <c r="G1011" s="1"/>
      <c r="H1011" t="s">
        <v>1118</v>
      </c>
      <c r="I1011" s="2">
        <v>146.80000000000001</v>
      </c>
      <c r="J1011" s="2" t="s">
        <v>43</v>
      </c>
      <c r="K101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11" s="3"/>
      <c r="M1011" s="11"/>
      <c r="N101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146.80000000000001</v>
      </c>
      <c r="O101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46053</v>
      </c>
      <c r="P1011" t="s">
        <v>25</v>
      </c>
      <c r="Q1011" t="s">
        <v>1714</v>
      </c>
      <c r="R1011"/>
      <c r="S1011" s="24"/>
      <c r="T1011"/>
      <c r="U1011"/>
    </row>
    <row r="1012" spans="2:21" s="49" customFormat="1" ht="18.75" hidden="1" customHeight="1">
      <c r="B1012" s="1"/>
      <c r="C1012" s="7"/>
      <c r="D1012" s="1">
        <v>46053</v>
      </c>
      <c r="E1012" s="29" t="s">
        <v>1717</v>
      </c>
      <c r="F1012" s="1"/>
      <c r="G1012" s="1"/>
      <c r="H1012" t="s">
        <v>1118</v>
      </c>
      <c r="I1012" s="2">
        <v>472.96</v>
      </c>
      <c r="J1012" s="2" t="s">
        <v>43</v>
      </c>
      <c r="K101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12" s="3"/>
      <c r="M1012" s="11"/>
      <c r="N101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472.96</v>
      </c>
      <c r="O101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46053</v>
      </c>
      <c r="P1012" t="s">
        <v>25</v>
      </c>
      <c r="Q1012" t="s">
        <v>1714</v>
      </c>
      <c r="R1012"/>
      <c r="S1012" s="24"/>
      <c r="T1012"/>
      <c r="U1012"/>
    </row>
    <row r="1013" spans="2:21" s="49" customFormat="1" ht="18.75" hidden="1" customHeight="1">
      <c r="B1013" s="1"/>
      <c r="C1013" s="7"/>
      <c r="D1013" s="1">
        <v>46065</v>
      </c>
      <c r="E1013" s="29" t="s">
        <v>1331</v>
      </c>
      <c r="F1013" s="1"/>
      <c r="G1013" s="1"/>
      <c r="H1013" t="s">
        <v>1718</v>
      </c>
      <c r="I1013" s="2">
        <v>23.97</v>
      </c>
      <c r="J1013" s="2" t="s">
        <v>43</v>
      </c>
      <c r="K101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13" s="3"/>
      <c r="M1013"/>
      <c r="N101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23.97</v>
      </c>
      <c r="O101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46065</v>
      </c>
      <c r="P1013" t="s">
        <v>25</v>
      </c>
      <c r="Q1013"/>
      <c r="R1013" s="1"/>
      <c r="S1013" s="24"/>
      <c r="T1013"/>
      <c r="U1013"/>
    </row>
    <row r="1014" spans="2:21" s="49" customFormat="1" ht="18.75" hidden="1" customHeight="1">
      <c r="B1014" s="1">
        <v>45986</v>
      </c>
      <c r="C1014" s="7" t="s">
        <v>1719</v>
      </c>
      <c r="D1014" s="1">
        <v>46058</v>
      </c>
      <c r="E1014" s="29">
        <v>2026494271</v>
      </c>
      <c r="F1014" s="1"/>
      <c r="G1014" s="1"/>
      <c r="H1014" t="s">
        <v>1720</v>
      </c>
      <c r="I1014" s="2">
        <v>1695.92</v>
      </c>
      <c r="J1014" s="2" t="s">
        <v>43</v>
      </c>
      <c r="K101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14" s="3"/>
      <c r="M1014" s="11"/>
      <c r="N101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1695.92</v>
      </c>
      <c r="O101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46058</v>
      </c>
      <c r="P1014" t="s">
        <v>25</v>
      </c>
      <c r="Q1014" t="s">
        <v>1721</v>
      </c>
      <c r="R1014"/>
      <c r="S1014" s="24"/>
      <c r="T1014"/>
      <c r="U1014"/>
    </row>
    <row r="1015" spans="2:21" s="49" customFormat="1" ht="18.75" hidden="1" customHeight="1">
      <c r="B1015" s="1">
        <v>46020</v>
      </c>
      <c r="C1015" s="7" t="s">
        <v>1722</v>
      </c>
      <c r="D1015" s="1">
        <v>46058</v>
      </c>
      <c r="E1015" s="29">
        <v>2026494272</v>
      </c>
      <c r="F1015" s="1"/>
      <c r="G1015" s="1"/>
      <c r="H1015" t="s">
        <v>1720</v>
      </c>
      <c r="I1015" s="2">
        <v>1148.46</v>
      </c>
      <c r="J1015" s="2" t="s">
        <v>43</v>
      </c>
      <c r="K101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15" s="3"/>
      <c r="M1015" s="11"/>
      <c r="N101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1148.46</v>
      </c>
      <c r="O101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46058</v>
      </c>
      <c r="P1015" t="s">
        <v>25</v>
      </c>
      <c r="Q1015" t="s">
        <v>1723</v>
      </c>
      <c r="R1015"/>
      <c r="S1015" s="24"/>
      <c r="T1015"/>
      <c r="U1015"/>
    </row>
    <row r="1016" spans="2:21" s="63" customFormat="1" ht="18.75" hidden="1" customHeight="1">
      <c r="B1016" s="56"/>
      <c r="C1016" s="57"/>
      <c r="D1016" s="48">
        <v>46139</v>
      </c>
      <c r="E1016" s="50" t="s">
        <v>1724</v>
      </c>
      <c r="F1016" s="48"/>
      <c r="G1016" s="48"/>
      <c r="H1016" s="49" t="s">
        <v>29</v>
      </c>
      <c r="I1016" s="51">
        <v>32890.480000000003</v>
      </c>
      <c r="J1016" s="51" t="s">
        <v>30</v>
      </c>
      <c r="K1016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16" s="52"/>
      <c r="M1016" s="58"/>
      <c r="N1016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32890.480000000003</v>
      </c>
      <c r="O1016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46199</v>
      </c>
      <c r="P1016" s="49" t="s">
        <v>25</v>
      </c>
      <c r="Q1016" s="49" t="s">
        <v>261</v>
      </c>
      <c r="R1016" s="48">
        <v>46198</v>
      </c>
      <c r="S1016" s="59" t="s">
        <v>27</v>
      </c>
      <c r="T1016" s="49"/>
      <c r="U1016" s="49" t="s">
        <v>32</v>
      </c>
    </row>
    <row r="1017" spans="2:21" s="63" customFormat="1" ht="18.75" hidden="1" customHeight="1">
      <c r="B1017" s="56"/>
      <c r="C1017" s="57"/>
      <c r="D1017" s="48">
        <v>46139</v>
      </c>
      <c r="E1017" s="50" t="s">
        <v>1725</v>
      </c>
      <c r="F1017" s="48"/>
      <c r="G1017" s="48"/>
      <c r="H1017" s="49" t="s">
        <v>29</v>
      </c>
      <c r="I1017" s="51">
        <v>34914.6</v>
      </c>
      <c r="J1017" s="51" t="s">
        <v>30</v>
      </c>
      <c r="K1017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17" s="52"/>
      <c r="M1017" s="58"/>
      <c r="N1017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34914.6</v>
      </c>
      <c r="O1017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46199</v>
      </c>
      <c r="P1017" s="49" t="s">
        <v>25</v>
      </c>
      <c r="Q1017" s="49" t="s">
        <v>691</v>
      </c>
      <c r="R1017" s="48">
        <v>46198</v>
      </c>
      <c r="S1017" s="59" t="s">
        <v>27</v>
      </c>
      <c r="T1017" s="49"/>
      <c r="U1017" s="49" t="s">
        <v>32</v>
      </c>
    </row>
    <row r="1018" spans="2:21" s="49" customFormat="1" ht="18.75" hidden="1" customHeight="1">
      <c r="B1018" s="56"/>
      <c r="C1018" s="57"/>
      <c r="D1018" s="48">
        <v>46140</v>
      </c>
      <c r="E1018" s="50" t="s">
        <v>1726</v>
      </c>
      <c r="F1018" s="48"/>
      <c r="G1018" s="48"/>
      <c r="H1018" s="49" t="s">
        <v>29</v>
      </c>
      <c r="I1018" s="51">
        <v>26610.83</v>
      </c>
      <c r="J1018" s="51" t="s">
        <v>30</v>
      </c>
      <c r="K1018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18" s="52"/>
      <c r="M1018" s="58"/>
      <c r="N1018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26610.83</v>
      </c>
      <c r="O1018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46200</v>
      </c>
      <c r="P1018" s="49" t="s">
        <v>25</v>
      </c>
      <c r="Q1018" s="49" t="s">
        <v>261</v>
      </c>
      <c r="R1018" s="48">
        <v>46198</v>
      </c>
      <c r="S1018" s="59" t="s">
        <v>27</v>
      </c>
      <c r="U1018" s="49" t="s">
        <v>32</v>
      </c>
    </row>
    <row r="1019" spans="2:21" s="49" customFormat="1" ht="18.75" hidden="1" customHeight="1">
      <c r="B1019" s="56"/>
      <c r="C1019" s="57"/>
      <c r="D1019" s="48">
        <v>46140</v>
      </c>
      <c r="E1019" s="50" t="s">
        <v>1727</v>
      </c>
      <c r="F1019" s="48"/>
      <c r="G1019" s="48"/>
      <c r="H1019" s="49" t="s">
        <v>29</v>
      </c>
      <c r="I1019" s="51">
        <v>33709.769999999997</v>
      </c>
      <c r="J1019" s="51" t="s">
        <v>30</v>
      </c>
      <c r="K1019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19" s="52"/>
      <c r="M1019" s="58"/>
      <c r="N1019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33709.769999999997</v>
      </c>
      <c r="O1019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46200</v>
      </c>
      <c r="P1019" s="49" t="s">
        <v>25</v>
      </c>
      <c r="Q1019" s="49" t="s">
        <v>1728</v>
      </c>
      <c r="R1019" s="48">
        <v>46198</v>
      </c>
      <c r="S1019" s="59" t="s">
        <v>27</v>
      </c>
      <c r="U1019" s="49" t="s">
        <v>32</v>
      </c>
    </row>
    <row r="1020" spans="2:21" s="49" customFormat="1" ht="18.75" hidden="1" customHeight="1">
      <c r="B1020" s="56"/>
      <c r="C1020" s="57"/>
      <c r="D1020" s="48">
        <v>46141</v>
      </c>
      <c r="E1020" s="50" t="s">
        <v>1729</v>
      </c>
      <c r="F1020" s="48"/>
      <c r="G1020" s="48"/>
      <c r="H1020" s="49" t="s">
        <v>29</v>
      </c>
      <c r="I1020" s="51">
        <v>32566.78</v>
      </c>
      <c r="J1020" s="51" t="s">
        <v>30</v>
      </c>
      <c r="K1020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20" s="52"/>
      <c r="M1020" s="58"/>
      <c r="N1020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32566.78</v>
      </c>
      <c r="O1020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46201</v>
      </c>
      <c r="P1020" s="49" t="s">
        <v>25</v>
      </c>
      <c r="Q1020" s="49" t="s">
        <v>1186</v>
      </c>
      <c r="R1020" s="48">
        <v>46198</v>
      </c>
      <c r="S1020" s="59" t="s">
        <v>27</v>
      </c>
      <c r="U1020" s="49" t="s">
        <v>32</v>
      </c>
    </row>
    <row r="1021" spans="2:21" s="49" customFormat="1" ht="18.75" hidden="1" customHeight="1">
      <c r="B1021" s="1"/>
      <c r="C1021" s="7"/>
      <c r="D1021" s="1">
        <v>46066</v>
      </c>
      <c r="E1021" s="29" t="s">
        <v>1307</v>
      </c>
      <c r="F1021" s="1"/>
      <c r="G1021" s="1"/>
      <c r="H1021" t="s">
        <v>859</v>
      </c>
      <c r="I1021" s="2">
        <v>96.18</v>
      </c>
      <c r="J1021" s="2" t="s">
        <v>43</v>
      </c>
      <c r="K102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21" s="3"/>
      <c r="M1021"/>
      <c r="N102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96.18</v>
      </c>
      <c r="O102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46066</v>
      </c>
      <c r="P1021" t="s">
        <v>25</v>
      </c>
      <c r="Q1021" t="s">
        <v>1730</v>
      </c>
      <c r="R1021" s="1"/>
      <c r="S1021" s="24"/>
      <c r="T1021"/>
      <c r="U1021"/>
    </row>
    <row r="1022" spans="2:21" s="49" customFormat="1" ht="18.75" hidden="1" customHeight="1">
      <c r="B1022" s="1"/>
      <c r="C1022" s="7"/>
      <c r="D1022" s="1">
        <v>46066</v>
      </c>
      <c r="E1022" s="29" t="s">
        <v>1731</v>
      </c>
      <c r="F1022" s="1"/>
      <c r="G1022" s="1"/>
      <c r="H1022" t="s">
        <v>859</v>
      </c>
      <c r="I1022" s="2">
        <v>117.8</v>
      </c>
      <c r="J1022" s="2" t="s">
        <v>43</v>
      </c>
      <c r="K102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22" s="3"/>
      <c r="M1022"/>
      <c r="N102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117.8</v>
      </c>
      <c r="O102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46066</v>
      </c>
      <c r="P1022" t="s">
        <v>25</v>
      </c>
      <c r="Q1022" t="s">
        <v>1732</v>
      </c>
      <c r="R1022" s="1"/>
      <c r="S1022" s="24"/>
      <c r="T1022"/>
      <c r="U1022"/>
    </row>
    <row r="1023" spans="2:21" s="49" customFormat="1" ht="18.75" hidden="1" customHeight="1">
      <c r="B1023" s="1"/>
      <c r="C1023" s="7"/>
      <c r="D1023" s="1">
        <v>46066</v>
      </c>
      <c r="E1023" s="29" t="s">
        <v>1733</v>
      </c>
      <c r="F1023" s="1"/>
      <c r="G1023" s="1"/>
      <c r="H1023" t="s">
        <v>859</v>
      </c>
      <c r="I1023" s="2">
        <v>54.9</v>
      </c>
      <c r="J1023" s="2" t="s">
        <v>43</v>
      </c>
      <c r="K102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23" s="3"/>
      <c r="M1023"/>
      <c r="N102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54.9</v>
      </c>
      <c r="O102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46066</v>
      </c>
      <c r="P1023" t="s">
        <v>25</v>
      </c>
      <c r="Q1023" t="s">
        <v>1734</v>
      </c>
      <c r="R1023" s="1"/>
      <c r="S1023" s="24"/>
      <c r="T1023"/>
      <c r="U1023"/>
    </row>
    <row r="1024" spans="2:21" s="49" customFormat="1" ht="18.75" hidden="1" customHeight="1">
      <c r="B1024" s="1"/>
      <c r="C1024"/>
      <c r="D1024" s="1">
        <v>46031</v>
      </c>
      <c r="E1024" s="29" t="s">
        <v>1735</v>
      </c>
      <c r="F1024" s="1"/>
      <c r="G1024" s="1"/>
      <c r="H1024" t="s">
        <v>859</v>
      </c>
      <c r="I1024" s="2">
        <v>245</v>
      </c>
      <c r="J1024" s="2" t="s">
        <v>43</v>
      </c>
      <c r="K102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24" s="3"/>
      <c r="M1024" s="11"/>
      <c r="N102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245</v>
      </c>
      <c r="O102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46031</v>
      </c>
      <c r="P1024" t="s">
        <v>25</v>
      </c>
      <c r="Q1024"/>
      <c r="R1024"/>
      <c r="S1024"/>
      <c r="T1024"/>
      <c r="U1024"/>
    </row>
    <row r="1025" spans="2:21" s="49" customFormat="1" ht="18.75" hidden="1" customHeight="1">
      <c r="B1025" s="1"/>
      <c r="C1025"/>
      <c r="D1025" s="1">
        <v>46037</v>
      </c>
      <c r="E1025" s="29" t="s">
        <v>1736</v>
      </c>
      <c r="F1025" s="1"/>
      <c r="G1025" s="1"/>
      <c r="H1025" t="s">
        <v>859</v>
      </c>
      <c r="I1025" s="2">
        <v>72.8</v>
      </c>
      <c r="J1025" s="2" t="s">
        <v>55</v>
      </c>
      <c r="K102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25" s="3"/>
      <c r="M1025" s="11"/>
      <c r="N102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72.8</v>
      </c>
      <c r="O1025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025" t="s">
        <v>25</v>
      </c>
      <c r="Q1025"/>
      <c r="R1025" s="1"/>
      <c r="S1025"/>
      <c r="T1025"/>
      <c r="U1025"/>
    </row>
    <row r="1026" spans="2:21" s="49" customFormat="1" ht="18.75" hidden="1" customHeight="1">
      <c r="B1026" s="1"/>
      <c r="C1026" s="7"/>
      <c r="D1026" s="1">
        <v>46066</v>
      </c>
      <c r="E1026" s="29" t="s">
        <v>1737</v>
      </c>
      <c r="F1026" s="1"/>
      <c r="G1026" s="1"/>
      <c r="H1026" t="s">
        <v>859</v>
      </c>
      <c r="I1026" s="2">
        <v>85.8</v>
      </c>
      <c r="J1026" s="2" t="s">
        <v>43</v>
      </c>
      <c r="K102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26" s="3"/>
      <c r="M1026"/>
      <c r="N102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85.8</v>
      </c>
      <c r="O102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46066</v>
      </c>
      <c r="P1026" t="s">
        <v>25</v>
      </c>
      <c r="Q1026" t="s">
        <v>1738</v>
      </c>
      <c r="R1026" s="1"/>
      <c r="S1026" s="24"/>
      <c r="T1026"/>
      <c r="U1026"/>
    </row>
    <row r="1027" spans="2:21" s="49" customFormat="1" ht="18.75" hidden="1" customHeight="1">
      <c r="B1027" s="1"/>
      <c r="C1027" s="7"/>
      <c r="D1027" s="1">
        <v>46066</v>
      </c>
      <c r="E1027" s="29" t="s">
        <v>1739</v>
      </c>
      <c r="F1027" s="1"/>
      <c r="G1027" s="1"/>
      <c r="H1027" t="s">
        <v>856</v>
      </c>
      <c r="I1027" s="2">
        <v>22.6</v>
      </c>
      <c r="J1027" s="2" t="s">
        <v>43</v>
      </c>
      <c r="K102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27" s="3"/>
      <c r="M1027"/>
      <c r="N102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22.6</v>
      </c>
      <c r="O102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46066</v>
      </c>
      <c r="P1027" t="s">
        <v>25</v>
      </c>
      <c r="Q1027" t="s">
        <v>1740</v>
      </c>
      <c r="R1027" s="1"/>
      <c r="S1027" s="24"/>
      <c r="T1027"/>
      <c r="U1027"/>
    </row>
    <row r="1028" spans="2:21" s="49" customFormat="1" ht="18.75" hidden="1" customHeight="1">
      <c r="B1028" s="1"/>
      <c r="C1028" s="7"/>
      <c r="D1028" s="1">
        <v>46066</v>
      </c>
      <c r="E1028" s="29" t="s">
        <v>1741</v>
      </c>
      <c r="F1028" s="1"/>
      <c r="G1028" s="1"/>
      <c r="H1028" t="s">
        <v>856</v>
      </c>
      <c r="I1028" s="2">
        <v>22.6</v>
      </c>
      <c r="J1028" s="2" t="s">
        <v>43</v>
      </c>
      <c r="K102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28" s="3"/>
      <c r="M1028"/>
      <c r="N102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22.6</v>
      </c>
      <c r="O102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46066</v>
      </c>
      <c r="P1028" t="s">
        <v>25</v>
      </c>
      <c r="Q1028" t="s">
        <v>1742</v>
      </c>
      <c r="R1028" s="1"/>
      <c r="S1028" s="24"/>
      <c r="T1028"/>
      <c r="U1028"/>
    </row>
    <row r="1029" spans="2:21" s="49" customFormat="1" ht="18.75" hidden="1" customHeight="1">
      <c r="B1029" s="14"/>
      <c r="C1029" s="15"/>
      <c r="D1029" s="14"/>
      <c r="E1029" s="32"/>
      <c r="F1029" s="14">
        <v>46036</v>
      </c>
      <c r="G1029" s="14"/>
      <c r="H1029" s="15" t="s">
        <v>1743</v>
      </c>
      <c r="I1029" s="16">
        <v>459</v>
      </c>
      <c r="J1029" s="16" t="s">
        <v>55</v>
      </c>
      <c r="K102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29" s="17"/>
      <c r="M1029" s="16"/>
      <c r="N102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459</v>
      </c>
      <c r="O102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46036</v>
      </c>
      <c r="P1029" s="15" t="s">
        <v>25</v>
      </c>
      <c r="Q1029" s="15" t="s">
        <v>1744</v>
      </c>
      <c r="R1029" s="15"/>
      <c r="S1029" s="15"/>
      <c r="T1029" s="15"/>
      <c r="U1029" s="109"/>
    </row>
    <row r="1030" spans="2:21" s="49" customFormat="1" ht="18.75" hidden="1" customHeight="1">
      <c r="B1030" s="1"/>
      <c r="C1030" s="7"/>
      <c r="D1030" s="1">
        <v>46023</v>
      </c>
      <c r="E1030" s="29" t="s">
        <v>1745</v>
      </c>
      <c r="F1030" s="1"/>
      <c r="G1030" s="1"/>
      <c r="H1030" t="s">
        <v>1746</v>
      </c>
      <c r="I1030" s="2">
        <v>45.03</v>
      </c>
      <c r="J1030" s="2" t="s">
        <v>98</v>
      </c>
      <c r="K1030" s="11" t="str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/>
      </c>
      <c r="L1030" s="3"/>
      <c r="M1030"/>
      <c r="N103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45.03</v>
      </c>
      <c r="O1030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030" t="s">
        <v>25</v>
      </c>
      <c r="Q1030" t="s">
        <v>1747</v>
      </c>
      <c r="R1030" s="1"/>
      <c r="S1030" s="24"/>
      <c r="T1030"/>
    </row>
    <row r="1031" spans="2:21" s="49" customFormat="1" ht="18.75" hidden="1" customHeight="1">
      <c r="B1031" s="1"/>
      <c r="C1031" s="7"/>
      <c r="D1031" s="1">
        <v>46066</v>
      </c>
      <c r="E1031" s="29" t="s">
        <v>1748</v>
      </c>
      <c r="F1031" s="1"/>
      <c r="G1031" s="1"/>
      <c r="H1031" t="s">
        <v>1749</v>
      </c>
      <c r="I1031" s="2">
        <v>57.04</v>
      </c>
      <c r="J1031" s="2" t="s">
        <v>43</v>
      </c>
      <c r="K103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31" s="3"/>
      <c r="M1031"/>
      <c r="N103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57.04</v>
      </c>
      <c r="O103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46066</v>
      </c>
      <c r="P1031" t="s">
        <v>25</v>
      </c>
      <c r="Q1031" t="s">
        <v>1750</v>
      </c>
      <c r="R1031" s="1"/>
      <c r="S1031" s="24"/>
      <c r="T1031"/>
    </row>
    <row r="1032" spans="2:21" s="49" customFormat="1" ht="18.75" hidden="1" customHeight="1">
      <c r="B1032" s="1"/>
      <c r="C1032"/>
      <c r="D1032" s="1">
        <v>46042</v>
      </c>
      <c r="E1032" s="29" t="s">
        <v>1751</v>
      </c>
      <c r="F1032" s="1">
        <v>46036</v>
      </c>
      <c r="G1032" s="1"/>
      <c r="H1032" t="s">
        <v>1254</v>
      </c>
      <c r="I1032" s="2">
        <v>176.14</v>
      </c>
      <c r="J1032" s="2" t="s">
        <v>55</v>
      </c>
      <c r="K103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32" s="3">
        <v>46036</v>
      </c>
      <c r="M1032" s="11"/>
      <c r="N103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176.14</v>
      </c>
      <c r="O103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46036</v>
      </c>
      <c r="P1032" t="s">
        <v>25</v>
      </c>
      <c r="Q1032" t="s">
        <v>1752</v>
      </c>
      <c r="R1032"/>
      <c r="S1032"/>
      <c r="T1032"/>
    </row>
    <row r="1033" spans="2:21" s="49" customFormat="1" ht="18.75" hidden="1" customHeight="1">
      <c r="B1033" s="1"/>
      <c r="C1033"/>
      <c r="D1033" s="1">
        <v>46044</v>
      </c>
      <c r="E1033" s="29" t="s">
        <v>1753</v>
      </c>
      <c r="F1033" s="1"/>
      <c r="G1033" s="1"/>
      <c r="H1033" t="s">
        <v>1254</v>
      </c>
      <c r="I1033" s="2">
        <v>799.58</v>
      </c>
      <c r="J1033" s="2" t="s">
        <v>55</v>
      </c>
      <c r="K103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33" s="3"/>
      <c r="M1033" s="11"/>
      <c r="N103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799.58</v>
      </c>
      <c r="O1033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033" t="s">
        <v>25</v>
      </c>
      <c r="Q1033"/>
      <c r="R1033"/>
      <c r="S1033"/>
      <c r="T1033"/>
    </row>
    <row r="1034" spans="2:21" s="49" customFormat="1" ht="18.75" hidden="1" customHeight="1">
      <c r="B1034" s="1"/>
      <c r="C1034" s="7"/>
      <c r="D1034" s="1">
        <v>46052</v>
      </c>
      <c r="E1034" s="29" t="s">
        <v>1754</v>
      </c>
      <c r="F1034" s="1"/>
      <c r="G1034" s="1"/>
      <c r="H1034" t="s">
        <v>1254</v>
      </c>
      <c r="I1034" s="2">
        <v>424.2</v>
      </c>
      <c r="J1034" s="2" t="s">
        <v>55</v>
      </c>
      <c r="K103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34" s="3"/>
      <c r="M1034" s="11"/>
      <c r="N103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424.2</v>
      </c>
      <c r="O1034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034" t="s">
        <v>25</v>
      </c>
      <c r="Q1034"/>
      <c r="R1034"/>
      <c r="S1034"/>
      <c r="T1034"/>
    </row>
    <row r="1035" spans="2:21" s="49" customFormat="1" ht="18.75" hidden="1" customHeight="1">
      <c r="B1035" s="1"/>
      <c r="C1035" s="7"/>
      <c r="D1035" s="1">
        <v>46062</v>
      </c>
      <c r="E1035" s="29" t="s">
        <v>1755</v>
      </c>
      <c r="F1035" s="1"/>
      <c r="G1035" s="1"/>
      <c r="H1035" t="s">
        <v>86</v>
      </c>
      <c r="I1035" s="2">
        <v>393.58</v>
      </c>
      <c r="J1035" s="2" t="s">
        <v>43</v>
      </c>
      <c r="K103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35" s="3"/>
      <c r="M1035" s="11"/>
      <c r="N103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393.58</v>
      </c>
      <c r="O103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46062</v>
      </c>
      <c r="P1035" t="s">
        <v>25</v>
      </c>
      <c r="Q1035" t="s">
        <v>1756</v>
      </c>
      <c r="R1035"/>
      <c r="S1035" s="24"/>
      <c r="T1035"/>
    </row>
    <row r="1036" spans="2:21" s="49" customFormat="1" ht="18.75" hidden="1" customHeight="1">
      <c r="B1036" s="1"/>
      <c r="C1036" s="7"/>
      <c r="D1036" s="1">
        <v>46066</v>
      </c>
      <c r="E1036" s="29" t="s">
        <v>1757</v>
      </c>
      <c r="F1036" s="1"/>
      <c r="G1036" s="1"/>
      <c r="H1036" t="s">
        <v>86</v>
      </c>
      <c r="I1036" s="2">
        <v>235.41</v>
      </c>
      <c r="J1036" s="2" t="s">
        <v>43</v>
      </c>
      <c r="K103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36" s="3"/>
      <c r="M1036"/>
      <c r="N103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235.41</v>
      </c>
      <c r="O103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46066</v>
      </c>
      <c r="P1036" t="s">
        <v>25</v>
      </c>
      <c r="Q1036" t="s">
        <v>1758</v>
      </c>
      <c r="R1036" s="1"/>
      <c r="S1036" s="24"/>
      <c r="T1036"/>
    </row>
    <row r="1037" spans="2:21" s="49" customFormat="1" ht="18.75" hidden="1" customHeight="1">
      <c r="B1037" s="1"/>
      <c r="C1037" s="7"/>
      <c r="D1037" s="1">
        <v>46066</v>
      </c>
      <c r="E1037" s="29" t="s">
        <v>1759</v>
      </c>
      <c r="F1037" s="1"/>
      <c r="G1037" s="1"/>
      <c r="H1037" t="s">
        <v>86</v>
      </c>
      <c r="I1037" s="2">
        <v>13</v>
      </c>
      <c r="J1037" s="2" t="s">
        <v>43</v>
      </c>
      <c r="K103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37" s="3"/>
      <c r="M1037"/>
      <c r="N103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</v>
      </c>
      <c r="O103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46066</v>
      </c>
      <c r="P1037" t="s">
        <v>25</v>
      </c>
      <c r="Q1037" t="s">
        <v>1760</v>
      </c>
      <c r="R1037" s="1"/>
      <c r="S1037" s="24"/>
      <c r="T1037"/>
    </row>
    <row r="1038" spans="2:21" s="49" customFormat="1" ht="18.75" hidden="1" customHeight="1">
      <c r="B1038" s="44"/>
      <c r="C1038" s="7"/>
      <c r="D1038" s="1">
        <v>46073</v>
      </c>
      <c r="E1038" s="29" t="s">
        <v>1761</v>
      </c>
      <c r="F1038" s="1"/>
      <c r="G1038" s="1"/>
      <c r="H1038" t="s">
        <v>86</v>
      </c>
      <c r="I1038" s="2">
        <v>634.86</v>
      </c>
      <c r="J1038" s="2" t="s">
        <v>43</v>
      </c>
      <c r="K103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38" s="3"/>
      <c r="M1038" s="11"/>
      <c r="N103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634.86</v>
      </c>
      <c r="O103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46073</v>
      </c>
      <c r="P1038" t="s">
        <v>25</v>
      </c>
      <c r="Q1038" t="s">
        <v>1762</v>
      </c>
      <c r="R1038"/>
      <c r="S1038" s="24"/>
      <c r="T1038"/>
    </row>
    <row r="1039" spans="2:21" s="49" customFormat="1" ht="18.75" hidden="1" customHeight="1">
      <c r="B1039" s="1"/>
      <c r="C1039"/>
      <c r="D1039" s="1">
        <v>46037</v>
      </c>
      <c r="E1039" s="29" t="s">
        <v>1763</v>
      </c>
      <c r="F1039" s="1">
        <v>46037</v>
      </c>
      <c r="G1039" s="1"/>
      <c r="H1039" t="s">
        <v>1046</v>
      </c>
      <c r="I1039" s="2">
        <v>660</v>
      </c>
      <c r="J1039" s="2" t="s">
        <v>43</v>
      </c>
      <c r="K103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39" s="3"/>
      <c r="M1039" s="11"/>
      <c r="N103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660</v>
      </c>
      <c r="O103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46037</v>
      </c>
      <c r="P1039" t="s">
        <v>25</v>
      </c>
      <c r="Q1039" t="s">
        <v>765</v>
      </c>
      <c r="R1039" s="1">
        <v>46037</v>
      </c>
      <c r="S1039" t="s">
        <v>45</v>
      </c>
      <c r="T1039"/>
      <c r="U1039" t="s">
        <v>32</v>
      </c>
    </row>
    <row r="1040" spans="2:21" s="49" customFormat="1" ht="18.75" hidden="1" customHeight="1">
      <c r="B1040" s="56"/>
      <c r="C1040" s="57"/>
      <c r="D1040" s="48">
        <v>46182</v>
      </c>
      <c r="E1040" s="50">
        <v>1852362056</v>
      </c>
      <c r="F1040" s="48"/>
      <c r="G1040" s="48"/>
      <c r="H1040" s="49" t="s">
        <v>1519</v>
      </c>
      <c r="I1040" s="51">
        <v>21.6</v>
      </c>
      <c r="J1040" s="51" t="s">
        <v>43</v>
      </c>
      <c r="K104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40" s="52"/>
      <c r="M1040" s="58"/>
      <c r="N1040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21.6</v>
      </c>
      <c r="O1040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46182</v>
      </c>
      <c r="P1040" s="49" t="s">
        <v>25</v>
      </c>
      <c r="Q1040" s="49" t="s">
        <v>1764</v>
      </c>
      <c r="S1040" s="59"/>
      <c r="T1040" s="49" t="s">
        <v>1521</v>
      </c>
    </row>
    <row r="1041" spans="2:21" s="49" customFormat="1" ht="18.75" hidden="1" customHeight="1">
      <c r="B1041" s="56"/>
      <c r="C1041" s="57"/>
      <c r="D1041" s="48">
        <v>46079</v>
      </c>
      <c r="E1041" s="50" t="s">
        <v>1765</v>
      </c>
      <c r="F1041" s="48"/>
      <c r="G1041" s="48"/>
      <c r="H1041" s="49" t="s">
        <v>859</v>
      </c>
      <c r="I1041" s="51">
        <v>70</v>
      </c>
      <c r="J1041" s="51" t="s">
        <v>43</v>
      </c>
      <c r="K104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41" s="52"/>
      <c r="M1041" s="58"/>
      <c r="N104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70</v>
      </c>
      <c r="O104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46079</v>
      </c>
      <c r="P1041" s="49" t="s">
        <v>25</v>
      </c>
      <c r="S1041" s="59"/>
    </row>
    <row r="1042" spans="2:21" s="49" customFormat="1" ht="18.75" hidden="1" customHeight="1">
      <c r="B1042" s="130"/>
      <c r="C1042" s="131"/>
      <c r="D1042" s="132">
        <v>46082</v>
      </c>
      <c r="E1042" s="133" t="s">
        <v>1766</v>
      </c>
      <c r="F1042" s="132"/>
      <c r="G1042" s="132"/>
      <c r="H1042" s="134" t="s">
        <v>97</v>
      </c>
      <c r="I1042" s="135">
        <v>145.13999999999999</v>
      </c>
      <c r="J1042" s="135" t="s">
        <v>98</v>
      </c>
      <c r="K1042" s="11" t="str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/>
      </c>
      <c r="L1042" s="136"/>
      <c r="M1042" s="135"/>
      <c r="N104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145.13999999999999</v>
      </c>
      <c r="O1042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042" s="134"/>
      <c r="Q1042" s="134"/>
      <c r="R1042" s="134"/>
      <c r="S1042" s="137"/>
      <c r="T1042" s="134"/>
      <c r="U1042" s="134"/>
    </row>
    <row r="1043" spans="2:21" s="49" customFormat="1" ht="18.75" hidden="1" customHeight="1">
      <c r="B1043" s="130"/>
      <c r="C1043" s="131"/>
      <c r="D1043" s="132">
        <v>46084</v>
      </c>
      <c r="E1043" s="133" t="s">
        <v>1767</v>
      </c>
      <c r="F1043" s="132"/>
      <c r="G1043" s="132"/>
      <c r="H1043" s="134" t="s">
        <v>1720</v>
      </c>
      <c r="I1043" s="135">
        <v>-22.99</v>
      </c>
      <c r="J1043" s="135" t="s">
        <v>43</v>
      </c>
      <c r="K104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43" s="136"/>
      <c r="M1043" s="135"/>
      <c r="N104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-22.99</v>
      </c>
      <c r="O104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46084</v>
      </c>
      <c r="P1043" s="134"/>
      <c r="Q1043" s="134" t="s">
        <v>1768</v>
      </c>
      <c r="R1043" s="134"/>
      <c r="S1043" s="137"/>
      <c r="T1043" s="134"/>
      <c r="U1043" s="134"/>
    </row>
    <row r="1044" spans="2:21" s="49" customFormat="1" ht="18.75" hidden="1" customHeight="1">
      <c r="B1044" s="130"/>
      <c r="C1044" s="131"/>
      <c r="D1044" s="132">
        <v>46083</v>
      </c>
      <c r="E1044" s="133" t="s">
        <v>1769</v>
      </c>
      <c r="F1044" s="132"/>
      <c r="G1044" s="132"/>
      <c r="H1044" s="134" t="s">
        <v>1720</v>
      </c>
      <c r="I1044" s="135">
        <v>639.24</v>
      </c>
      <c r="J1044" s="135" t="s">
        <v>43</v>
      </c>
      <c r="K104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44" s="136"/>
      <c r="M1044" s="135"/>
      <c r="N104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639.24</v>
      </c>
      <c r="O104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46083</v>
      </c>
      <c r="P1044" s="134"/>
      <c r="Q1044" s="134" t="s">
        <v>1770</v>
      </c>
      <c r="R1044" s="134"/>
      <c r="S1044" s="137"/>
      <c r="T1044" s="134"/>
      <c r="U1044" s="134"/>
    </row>
    <row r="1045" spans="2:21" s="49" customFormat="1" ht="18.75" hidden="1" customHeight="1">
      <c r="B1045" s="130"/>
      <c r="C1045" s="131"/>
      <c r="D1045" s="132">
        <v>46084</v>
      </c>
      <c r="E1045" s="133" t="s">
        <v>1771</v>
      </c>
      <c r="F1045" s="132"/>
      <c r="G1045" s="132"/>
      <c r="H1045" s="134" t="s">
        <v>1720</v>
      </c>
      <c r="I1045" s="135">
        <v>-595.26</v>
      </c>
      <c r="J1045" s="135" t="s">
        <v>43</v>
      </c>
      <c r="K104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45" s="136"/>
      <c r="M1045" s="135"/>
      <c r="N104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-595.26</v>
      </c>
      <c r="O104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46084</v>
      </c>
      <c r="P1045" s="134"/>
      <c r="Q1045" s="134" t="s">
        <v>1772</v>
      </c>
      <c r="R1045" s="134"/>
      <c r="S1045" s="137"/>
      <c r="T1045" s="134"/>
      <c r="U1045" s="134"/>
    </row>
    <row r="1046" spans="2:21" s="49" customFormat="1" ht="18.75" hidden="1" customHeight="1">
      <c r="B1046" s="130"/>
      <c r="C1046" s="131"/>
      <c r="D1046" s="132">
        <v>46084</v>
      </c>
      <c r="E1046" s="133" t="s">
        <v>1773</v>
      </c>
      <c r="F1046" s="132"/>
      <c r="G1046" s="132"/>
      <c r="H1046" s="134" t="s">
        <v>1720</v>
      </c>
      <c r="I1046" s="135">
        <v>-20.99</v>
      </c>
      <c r="J1046" s="135" t="s">
        <v>43</v>
      </c>
      <c r="K104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46" s="136"/>
      <c r="M1046" s="135"/>
      <c r="N104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-20.99</v>
      </c>
      <c r="O104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46084</v>
      </c>
      <c r="P1046" s="134"/>
      <c r="Q1046" s="134" t="s">
        <v>1772</v>
      </c>
      <c r="R1046" s="134"/>
      <c r="S1046" s="137"/>
      <c r="T1046" s="134"/>
      <c r="U1046" s="134"/>
    </row>
    <row r="1047" spans="2:21" s="49" customFormat="1" ht="18.75" hidden="1" customHeight="1">
      <c r="B1047" s="44"/>
      <c r="C1047" s="7"/>
      <c r="D1047" s="1">
        <v>46076</v>
      </c>
      <c r="E1047" t="s">
        <v>1774</v>
      </c>
      <c r="F1047" s="1"/>
      <c r="G1047" s="1"/>
      <c r="H1047" t="s">
        <v>1067</v>
      </c>
      <c r="I1047" s="2">
        <v>16.07</v>
      </c>
      <c r="J1047" s="2" t="s">
        <v>43</v>
      </c>
      <c r="K104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47" s="3"/>
      <c r="M1047" s="11"/>
      <c r="N104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16.07</v>
      </c>
      <c r="O104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46076</v>
      </c>
      <c r="P1047" t="s">
        <v>25</v>
      </c>
      <c r="Q1047" t="s">
        <v>1775</v>
      </c>
      <c r="R1047"/>
      <c r="S1047" s="24"/>
      <c r="T1047"/>
      <c r="U1047"/>
    </row>
    <row r="1048" spans="2:21" s="49" customFormat="1" ht="18.75" hidden="1" customHeight="1">
      <c r="B1048" s="56"/>
      <c r="C1048" s="57"/>
      <c r="D1048" s="48">
        <v>46092</v>
      </c>
      <c r="E1048" s="50" t="s">
        <v>1776</v>
      </c>
      <c r="F1048" s="48"/>
      <c r="G1048" s="48"/>
      <c r="H1048" s="49" t="s">
        <v>1777</v>
      </c>
      <c r="I1048" s="51">
        <v>227.94</v>
      </c>
      <c r="J1048" s="51" t="s">
        <v>43</v>
      </c>
      <c r="K104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48" s="52"/>
      <c r="M1048" s="58"/>
      <c r="N104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227.94</v>
      </c>
      <c r="O104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46092</v>
      </c>
      <c r="P1048" s="49" t="s">
        <v>25</v>
      </c>
      <c r="S1048" s="59"/>
    </row>
    <row r="1049" spans="2:21" s="49" customFormat="1" ht="18.75" hidden="1" customHeight="1">
      <c r="B1049" s="1"/>
      <c r="C1049" s="7"/>
      <c r="D1049" s="1">
        <v>46077</v>
      </c>
      <c r="E1049" s="29" t="s">
        <v>1778</v>
      </c>
      <c r="F1049" s="1"/>
      <c r="G1049" s="1"/>
      <c r="H1049" t="s">
        <v>1067</v>
      </c>
      <c r="I1049" s="2">
        <v>244</v>
      </c>
      <c r="J1049" s="2" t="s">
        <v>43</v>
      </c>
      <c r="K104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49" s="3"/>
      <c r="M1049"/>
      <c r="N104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244</v>
      </c>
      <c r="O104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46077</v>
      </c>
      <c r="P1049" t="s">
        <v>25</v>
      </c>
      <c r="Q1049" t="s">
        <v>1619</v>
      </c>
      <c r="R1049" s="1"/>
      <c r="S1049" s="24"/>
      <c r="T1049"/>
      <c r="U1049"/>
    </row>
    <row r="1050" spans="2:21" s="49" customFormat="1" ht="18.75" hidden="1" customHeight="1">
      <c r="B1050" s="56"/>
      <c r="C1050" s="57"/>
      <c r="D1050" s="48">
        <v>46090</v>
      </c>
      <c r="E1050" s="50" t="s">
        <v>1779</v>
      </c>
      <c r="F1050" s="48">
        <v>46085</v>
      </c>
      <c r="G1050" s="48"/>
      <c r="H1050" s="49" t="s">
        <v>59</v>
      </c>
      <c r="I1050" s="51">
        <v>1969.31</v>
      </c>
      <c r="J1050" s="51" t="s">
        <v>43</v>
      </c>
      <c r="K105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50" s="52"/>
      <c r="M1050" s="58"/>
      <c r="N105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1969.31</v>
      </c>
      <c r="O105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46090</v>
      </c>
      <c r="P1050" s="49" t="s">
        <v>25</v>
      </c>
      <c r="Q1050" s="49" t="s">
        <v>1780</v>
      </c>
      <c r="R1050" s="48"/>
      <c r="S1050" s="59"/>
    </row>
    <row r="1051" spans="2:21" s="49" customFormat="1" ht="18.75" hidden="1" customHeight="1">
      <c r="B1051" s="56"/>
      <c r="C1051" s="57"/>
      <c r="D1051" s="48">
        <v>46081</v>
      </c>
      <c r="E1051" s="50">
        <v>5509681387</v>
      </c>
      <c r="F1051" s="48"/>
      <c r="G1051" s="48"/>
      <c r="H1051" s="49" t="s">
        <v>1657</v>
      </c>
      <c r="I1051" s="51">
        <v>5965.23</v>
      </c>
      <c r="J1051" s="51" t="s">
        <v>43</v>
      </c>
      <c r="K105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51" s="52"/>
      <c r="M1051" s="58"/>
      <c r="N105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5965.23</v>
      </c>
      <c r="O105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46081</v>
      </c>
      <c r="P1051" s="49" t="s">
        <v>25</v>
      </c>
      <c r="Q1051" s="49" t="s">
        <v>1781</v>
      </c>
      <c r="S1051" s="59"/>
    </row>
    <row r="1052" spans="2:21" s="49" customFormat="1" ht="18.75" hidden="1" customHeight="1">
      <c r="B1052" s="44"/>
      <c r="C1052" s="7"/>
      <c r="D1052" s="1">
        <v>46067</v>
      </c>
      <c r="E1052" s="29" t="s">
        <v>1782</v>
      </c>
      <c r="F1052" s="1"/>
      <c r="G1052" s="1"/>
      <c r="H1052" t="s">
        <v>1118</v>
      </c>
      <c r="I1052" s="2">
        <v>576.67999999999995</v>
      </c>
      <c r="J1052" s="2" t="s">
        <v>43</v>
      </c>
      <c r="K105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52" s="3"/>
      <c r="M1052" s="11"/>
      <c r="N105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576.67999999999995</v>
      </c>
      <c r="O105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46067</v>
      </c>
      <c r="P1052" t="s">
        <v>25</v>
      </c>
      <c r="Q1052" t="s">
        <v>1783</v>
      </c>
      <c r="R1052"/>
      <c r="S1052" s="24"/>
      <c r="T1052"/>
    </row>
    <row r="1053" spans="2:21" s="49" customFormat="1" ht="18.75" hidden="1" customHeight="1">
      <c r="B1053" s="44"/>
      <c r="C1053" s="7"/>
      <c r="D1053" s="1">
        <v>46067</v>
      </c>
      <c r="E1053" s="29" t="s">
        <v>1300</v>
      </c>
      <c r="F1053" s="1"/>
      <c r="G1053" s="1"/>
      <c r="H1053" t="s">
        <v>1118</v>
      </c>
      <c r="I1053" s="2">
        <v>238.44</v>
      </c>
      <c r="J1053" s="2" t="s">
        <v>43</v>
      </c>
      <c r="K105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53" s="3"/>
      <c r="M1053" s="11"/>
      <c r="N105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238.44</v>
      </c>
      <c r="O105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46067</v>
      </c>
      <c r="P1053" t="s">
        <v>25</v>
      </c>
      <c r="Q1053" t="s">
        <v>1784</v>
      </c>
      <c r="R1053"/>
      <c r="S1053" s="24"/>
      <c r="T1053"/>
    </row>
    <row r="1054" spans="2:21" s="49" customFormat="1" ht="18.75" hidden="1" customHeight="1">
      <c r="B1054" s="44"/>
      <c r="C1054" s="7"/>
      <c r="D1054" s="1">
        <v>46071</v>
      </c>
      <c r="E1054" s="29" t="s">
        <v>1711</v>
      </c>
      <c r="F1054" s="1"/>
      <c r="G1054" s="1"/>
      <c r="H1054" t="s">
        <v>1118</v>
      </c>
      <c r="I1054" s="2">
        <v>503.64</v>
      </c>
      <c r="J1054" s="2" t="s">
        <v>43</v>
      </c>
      <c r="K105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54" s="3"/>
      <c r="M1054" s="11"/>
      <c r="N105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503.64</v>
      </c>
      <c r="O105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46071</v>
      </c>
      <c r="P1054" t="s">
        <v>25</v>
      </c>
      <c r="Q1054" t="s">
        <v>1785</v>
      </c>
      <c r="R1054"/>
      <c r="S1054" s="24"/>
      <c r="T1054"/>
    </row>
    <row r="1055" spans="2:21" s="49" customFormat="1" ht="18.75" hidden="1" customHeight="1">
      <c r="B1055" s="56"/>
      <c r="C1055" s="57"/>
      <c r="D1055" s="48">
        <v>46059</v>
      </c>
      <c r="E1055" s="50" t="s">
        <v>1786</v>
      </c>
      <c r="F1055" s="48"/>
      <c r="G1055" s="48"/>
      <c r="H1055" s="49" t="s">
        <v>849</v>
      </c>
      <c r="I1055" s="51">
        <v>595</v>
      </c>
      <c r="J1055" s="51" t="s">
        <v>43</v>
      </c>
      <c r="K105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55" s="52"/>
      <c r="M1055" s="58"/>
      <c r="N105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595</v>
      </c>
      <c r="O105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46059</v>
      </c>
      <c r="P1055" s="49" t="s">
        <v>25</v>
      </c>
      <c r="S1055" s="59"/>
      <c r="U1055" s="49" t="s">
        <v>32</v>
      </c>
    </row>
    <row r="1056" spans="2:21" s="49" customFormat="1" ht="18.75" hidden="1" customHeight="1">
      <c r="B1056" s="56"/>
      <c r="C1056" s="57"/>
      <c r="D1056" s="48">
        <v>46062</v>
      </c>
      <c r="E1056" s="50" t="s">
        <v>1787</v>
      </c>
      <c r="F1056" s="48"/>
      <c r="G1056" s="48"/>
      <c r="H1056" s="49" t="s">
        <v>849</v>
      </c>
      <c r="I1056" s="51">
        <v>14200</v>
      </c>
      <c r="J1056" s="51" t="s">
        <v>43</v>
      </c>
      <c r="K105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56" s="52"/>
      <c r="M1056" s="58"/>
      <c r="N105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14200</v>
      </c>
      <c r="O105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46062</v>
      </c>
      <c r="P1056" s="49" t="s">
        <v>25</v>
      </c>
      <c r="Q1056" s="49" t="s">
        <v>850</v>
      </c>
      <c r="S1056" s="59"/>
      <c r="U1056" s="49" t="s">
        <v>32</v>
      </c>
    </row>
    <row r="1057" spans="2:21" s="49" customFormat="1" ht="18.75" hidden="1" customHeight="1">
      <c r="B1057" s="56"/>
      <c r="C1057" s="57"/>
      <c r="D1057" s="48">
        <v>46084</v>
      </c>
      <c r="E1057" s="50" t="s">
        <v>1788</v>
      </c>
      <c r="F1057" s="48"/>
      <c r="G1057" s="48"/>
      <c r="H1057" s="49" t="s">
        <v>1746</v>
      </c>
      <c r="I1057" s="51">
        <v>45.29</v>
      </c>
      <c r="J1057" s="51" t="s">
        <v>98</v>
      </c>
      <c r="K1057" s="58" t="str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/>
      </c>
      <c r="L1057" s="52"/>
      <c r="M1057" s="58"/>
      <c r="N1057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45.29</v>
      </c>
      <c r="O1057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057" s="49" t="s">
        <v>25</v>
      </c>
      <c r="Q1057" s="49" t="s">
        <v>1789</v>
      </c>
      <c r="S1057" s="59"/>
    </row>
    <row r="1058" spans="2:21" s="49" customFormat="1" ht="18.75" hidden="1" customHeight="1">
      <c r="B1058" s="56"/>
      <c r="C1058" s="57"/>
      <c r="D1058" s="48">
        <v>46083</v>
      </c>
      <c r="E1058" s="50" t="s">
        <v>1790</v>
      </c>
      <c r="F1058" s="48"/>
      <c r="G1058" s="48"/>
      <c r="H1058" s="49" t="s">
        <v>1791</v>
      </c>
      <c r="I1058" s="51">
        <v>362.01</v>
      </c>
      <c r="J1058" s="51" t="s">
        <v>98</v>
      </c>
      <c r="K1058" s="11" t="str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/>
      </c>
      <c r="L1058" s="52"/>
      <c r="M1058" s="58"/>
      <c r="N105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362.01</v>
      </c>
      <c r="O1058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058" s="49" t="s">
        <v>25</v>
      </c>
      <c r="Q1058" s="49" t="s">
        <v>1792</v>
      </c>
      <c r="S1058" s="59"/>
    </row>
    <row r="1059" spans="2:21" s="49" customFormat="1" ht="18.75" hidden="1" customHeight="1">
      <c r="B1059" s="56"/>
      <c r="C1059" s="57"/>
      <c r="D1059" s="48">
        <v>46090</v>
      </c>
      <c r="E1059" s="50" t="s">
        <v>1793</v>
      </c>
      <c r="F1059" s="48"/>
      <c r="G1059" s="48"/>
      <c r="H1059" s="49" t="s">
        <v>86</v>
      </c>
      <c r="I1059" s="51">
        <v>13</v>
      </c>
      <c r="J1059" s="51" t="s">
        <v>55</v>
      </c>
      <c r="K105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59" s="52"/>
      <c r="M1059" s="58"/>
      <c r="N105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</v>
      </c>
      <c r="O1059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059" s="49" t="s">
        <v>25</v>
      </c>
      <c r="Q1059" s="49" t="s">
        <v>1760</v>
      </c>
      <c r="S1059" s="59"/>
    </row>
    <row r="1060" spans="2:21" s="49" customFormat="1" ht="18.75" hidden="1" customHeight="1">
      <c r="B1060" s="56"/>
      <c r="C1060" s="57"/>
      <c r="D1060" s="48">
        <v>46091</v>
      </c>
      <c r="E1060" s="50" t="s">
        <v>1794</v>
      </c>
      <c r="F1060" s="48"/>
      <c r="G1060" s="48"/>
      <c r="H1060" s="49" t="s">
        <v>849</v>
      </c>
      <c r="I1060" s="51">
        <v>9000</v>
      </c>
      <c r="J1060" s="51" t="s">
        <v>43</v>
      </c>
      <c r="K106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60" s="52"/>
      <c r="M1060" s="58"/>
      <c r="N106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9000</v>
      </c>
      <c r="O106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46091</v>
      </c>
      <c r="P1060" s="49" t="s">
        <v>25</v>
      </c>
      <c r="Q1060" s="49" t="s">
        <v>850</v>
      </c>
      <c r="S1060" s="59"/>
      <c r="U1060" s="49" t="s">
        <v>32</v>
      </c>
    </row>
    <row r="1061" spans="2:21" s="49" customFormat="1" ht="18.75" hidden="1" customHeight="1">
      <c r="B1061" s="56"/>
      <c r="C1061" s="57"/>
      <c r="D1061" s="48">
        <v>46092</v>
      </c>
      <c r="E1061" s="50" t="s">
        <v>1795</v>
      </c>
      <c r="F1061" s="48"/>
      <c r="G1061" s="48"/>
      <c r="H1061" s="49" t="s">
        <v>1796</v>
      </c>
      <c r="I1061" s="51">
        <v>324.82</v>
      </c>
      <c r="J1061" s="51" t="s">
        <v>55</v>
      </c>
      <c r="K106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61" s="52"/>
      <c r="M1061" s="58"/>
      <c r="N106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324.82</v>
      </c>
      <c r="O1061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061" s="49" t="s">
        <v>25</v>
      </c>
      <c r="Q1061" s="49" t="s">
        <v>1797</v>
      </c>
      <c r="S1061" s="59"/>
    </row>
    <row r="1062" spans="2:21" s="49" customFormat="1" ht="18.75" hidden="1" customHeight="1">
      <c r="B1062" s="56"/>
      <c r="C1062" s="57"/>
      <c r="D1062" s="48">
        <v>46092</v>
      </c>
      <c r="E1062" s="50" t="s">
        <v>1798</v>
      </c>
      <c r="F1062" s="48"/>
      <c r="G1062" s="48"/>
      <c r="H1062" s="49" t="s">
        <v>1796</v>
      </c>
      <c r="I1062" s="51">
        <v>324.82</v>
      </c>
      <c r="J1062" s="51" t="s">
        <v>55</v>
      </c>
      <c r="K106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62" s="52"/>
      <c r="M1062" s="58"/>
      <c r="N106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324.82</v>
      </c>
      <c r="O1062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062" s="49" t="s">
        <v>25</v>
      </c>
      <c r="Q1062" s="49" t="s">
        <v>1799</v>
      </c>
      <c r="S1062" s="59"/>
    </row>
    <row r="1063" spans="2:21" s="49" customFormat="1" ht="18.75" hidden="1" customHeight="1">
      <c r="B1063" s="56"/>
      <c r="C1063" s="57"/>
      <c r="D1063" s="48">
        <v>46092</v>
      </c>
      <c r="E1063" s="50" t="s">
        <v>1800</v>
      </c>
      <c r="F1063" s="48"/>
      <c r="G1063" s="48"/>
      <c r="H1063" s="49" t="s">
        <v>1777</v>
      </c>
      <c r="I1063" s="51">
        <v>424.64</v>
      </c>
      <c r="J1063" s="51" t="s">
        <v>43</v>
      </c>
      <c r="K106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63" s="52"/>
      <c r="M1063" s="58"/>
      <c r="N106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424.64</v>
      </c>
      <c r="O106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46092</v>
      </c>
      <c r="P1063" s="49" t="s">
        <v>25</v>
      </c>
      <c r="Q1063" s="49" t="s">
        <v>1801</v>
      </c>
      <c r="S1063" s="59"/>
    </row>
    <row r="1064" spans="2:21" s="49" customFormat="1" ht="18.75" hidden="1" customHeight="1">
      <c r="B1064" s="56"/>
      <c r="C1064" s="57"/>
      <c r="D1064" s="48">
        <v>46086</v>
      </c>
      <c r="E1064" s="50" t="s">
        <v>1802</v>
      </c>
      <c r="F1064" s="48"/>
      <c r="G1064" s="48"/>
      <c r="H1064" s="49" t="s">
        <v>59</v>
      </c>
      <c r="I1064" s="51">
        <v>648.82000000000005</v>
      </c>
      <c r="J1064" s="51" t="s">
        <v>43</v>
      </c>
      <c r="K106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64" s="52"/>
      <c r="M1064" s="58"/>
      <c r="N106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648.82000000000005</v>
      </c>
      <c r="O106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46086</v>
      </c>
      <c r="P1064" s="49" t="s">
        <v>25</v>
      </c>
      <c r="Q1064" s="49" t="s">
        <v>1803</v>
      </c>
      <c r="S1064" s="59"/>
    </row>
    <row r="1065" spans="2:21" s="49" customFormat="1" ht="18.75" hidden="1" customHeight="1">
      <c r="B1065" s="56"/>
      <c r="C1065" s="57"/>
      <c r="D1065" s="48">
        <v>46093</v>
      </c>
      <c r="E1065" s="50" t="s">
        <v>65</v>
      </c>
      <c r="F1065" s="48"/>
      <c r="G1065" s="48"/>
      <c r="H1065" s="49" t="s">
        <v>59</v>
      </c>
      <c r="I1065" s="51">
        <v>567.04999999999995</v>
      </c>
      <c r="J1065" s="51" t="s">
        <v>43</v>
      </c>
      <c r="K106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65" s="52"/>
      <c r="M1065" s="58"/>
      <c r="N106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567.04999999999995</v>
      </c>
      <c r="O106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46093</v>
      </c>
      <c r="P1065" s="49" t="s">
        <v>25</v>
      </c>
      <c r="Q1065" s="49" t="s">
        <v>66</v>
      </c>
      <c r="S1065" s="59"/>
    </row>
    <row r="1066" spans="2:21" s="49" customFormat="1" ht="18.75" hidden="1" customHeight="1">
      <c r="B1066" s="56"/>
      <c r="C1066" s="57"/>
      <c r="D1066" s="48">
        <v>46093</v>
      </c>
      <c r="E1066" s="50" t="s">
        <v>1804</v>
      </c>
      <c r="F1066" s="48"/>
      <c r="G1066" s="48"/>
      <c r="H1066" s="49" t="s">
        <v>59</v>
      </c>
      <c r="I1066" s="51">
        <v>500.52</v>
      </c>
      <c r="J1066" s="51" t="s">
        <v>43</v>
      </c>
      <c r="K106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66" s="52"/>
      <c r="M1066" s="58"/>
      <c r="N106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500.52</v>
      </c>
      <c r="O106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46093</v>
      </c>
      <c r="P1066" s="49" t="s">
        <v>25</v>
      </c>
      <c r="Q1066" s="49" t="s">
        <v>1805</v>
      </c>
      <c r="S1066" s="59"/>
    </row>
    <row r="1067" spans="2:21" s="49" customFormat="1" ht="18.75" hidden="1" customHeight="1">
      <c r="B1067" s="56"/>
      <c r="C1067" s="57"/>
      <c r="D1067" s="48">
        <v>46093</v>
      </c>
      <c r="E1067" s="50" t="s">
        <v>1806</v>
      </c>
      <c r="F1067" s="48"/>
      <c r="G1067" s="48"/>
      <c r="H1067" s="49" t="s">
        <v>59</v>
      </c>
      <c r="I1067" s="51">
        <v>730.05</v>
      </c>
      <c r="J1067" s="51" t="s">
        <v>43</v>
      </c>
      <c r="K106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67" s="52"/>
      <c r="M1067" s="58"/>
      <c r="N106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730.05</v>
      </c>
      <c r="O106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46093</v>
      </c>
      <c r="P1067" s="49" t="s">
        <v>25</v>
      </c>
      <c r="Q1067" s="49" t="s">
        <v>64</v>
      </c>
      <c r="S1067" s="59"/>
    </row>
    <row r="1068" spans="2:21" s="49" customFormat="1" ht="18.75" hidden="1" customHeight="1">
      <c r="B1068" s="56"/>
      <c r="C1068" s="57"/>
      <c r="D1068" s="48">
        <v>46093</v>
      </c>
      <c r="E1068" s="50" t="s">
        <v>1807</v>
      </c>
      <c r="F1068" s="48"/>
      <c r="G1068" s="48"/>
      <c r="H1068" s="49" t="s">
        <v>59</v>
      </c>
      <c r="I1068" s="51">
        <v>803.97</v>
      </c>
      <c r="J1068" s="51" t="s">
        <v>43</v>
      </c>
      <c r="K106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68" s="52"/>
      <c r="M1068" s="58"/>
      <c r="N106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803.97</v>
      </c>
      <c r="O106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46093</v>
      </c>
      <c r="P1068" s="49" t="s">
        <v>25</v>
      </c>
      <c r="Q1068" s="49" t="s">
        <v>1808</v>
      </c>
      <c r="S1068" s="59"/>
    </row>
    <row r="1069" spans="2:21" s="49" customFormat="1" ht="18.75" hidden="1" customHeight="1">
      <c r="B1069" s="56"/>
      <c r="C1069" s="57"/>
      <c r="D1069" s="48">
        <v>46093</v>
      </c>
      <c r="E1069" s="50" t="s">
        <v>1809</v>
      </c>
      <c r="F1069" s="48"/>
      <c r="G1069" s="48"/>
      <c r="H1069" s="49" t="s">
        <v>59</v>
      </c>
      <c r="I1069" s="51">
        <v>582.62</v>
      </c>
      <c r="J1069" s="51" t="s">
        <v>43</v>
      </c>
      <c r="K106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69" s="52"/>
      <c r="M1069" s="58"/>
      <c r="N106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582.62</v>
      </c>
      <c r="O106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46093</v>
      </c>
      <c r="P1069" s="49" t="s">
        <v>25</v>
      </c>
      <c r="Q1069" s="49" t="s">
        <v>1810</v>
      </c>
      <c r="S1069" s="59"/>
    </row>
    <row r="1070" spans="2:21" s="49" customFormat="1" ht="18.75" hidden="1" customHeight="1">
      <c r="B1070" s="56"/>
      <c r="C1070" s="57"/>
      <c r="D1070" s="48">
        <v>46093</v>
      </c>
      <c r="E1070" s="50" t="s">
        <v>1811</v>
      </c>
      <c r="F1070" s="48"/>
      <c r="G1070" s="48"/>
      <c r="H1070" s="49" t="s">
        <v>59</v>
      </c>
      <c r="I1070" s="51">
        <v>2053.06</v>
      </c>
      <c r="J1070" s="51" t="s">
        <v>43</v>
      </c>
      <c r="K107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70" s="52"/>
      <c r="M1070" s="58"/>
      <c r="N107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2053.06</v>
      </c>
      <c r="O107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46093</v>
      </c>
      <c r="P1070" s="49" t="s">
        <v>25</v>
      </c>
      <c r="Q1070" s="49" t="s">
        <v>1812</v>
      </c>
      <c r="S1070" s="59"/>
    </row>
    <row r="1071" spans="2:21" s="49" customFormat="1" ht="18.75" hidden="1" customHeight="1">
      <c r="B1071" s="56"/>
      <c r="C1071" s="57"/>
      <c r="D1071" s="48">
        <v>46093</v>
      </c>
      <c r="E1071" s="50" t="s">
        <v>1813</v>
      </c>
      <c r="F1071" s="48"/>
      <c r="G1071" s="48"/>
      <c r="H1071" s="49" t="s">
        <v>86</v>
      </c>
      <c r="I1071" s="51">
        <v>219.08</v>
      </c>
      <c r="J1071" s="51" t="s">
        <v>55</v>
      </c>
      <c r="K107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71" s="52"/>
      <c r="M1071" s="58"/>
      <c r="N107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219.08</v>
      </c>
      <c r="O1071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071" s="49" t="s">
        <v>25</v>
      </c>
      <c r="Q1071" s="49" t="s">
        <v>1814</v>
      </c>
      <c r="S1071" s="59"/>
    </row>
    <row r="1072" spans="2:21" s="49" customFormat="1" ht="18.75" hidden="1" customHeight="1">
      <c r="B1072" s="56"/>
      <c r="C1072" s="57"/>
      <c r="D1072" s="48">
        <v>46095</v>
      </c>
      <c r="E1072" s="50">
        <v>1852239037</v>
      </c>
      <c r="F1072" s="48"/>
      <c r="G1072" s="48"/>
      <c r="H1072" s="49" t="s">
        <v>1519</v>
      </c>
      <c r="I1072" s="51">
        <v>23.75</v>
      </c>
      <c r="J1072" s="51" t="s">
        <v>43</v>
      </c>
      <c r="K107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72" s="52"/>
      <c r="M1072" s="58"/>
      <c r="N107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23.75</v>
      </c>
      <c r="O107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46095</v>
      </c>
      <c r="P1072" s="49" t="s">
        <v>25</v>
      </c>
      <c r="Q1072" s="49" t="s">
        <v>1815</v>
      </c>
      <c r="S1072" s="59"/>
    </row>
    <row r="1073" spans="2:21" s="49" customFormat="1" ht="18.75" hidden="1" customHeight="1">
      <c r="B1073" s="56"/>
      <c r="C1073" s="57"/>
      <c r="D1073" s="48">
        <v>46136</v>
      </c>
      <c r="E1073" s="50" t="s">
        <v>1816</v>
      </c>
      <c r="F1073" s="48"/>
      <c r="G1073" s="48"/>
      <c r="H1073" s="49" t="s">
        <v>29</v>
      </c>
      <c r="I1073" s="51">
        <v>32162.45</v>
      </c>
      <c r="J1073" s="51" t="s">
        <v>30</v>
      </c>
      <c r="K1073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73" s="52"/>
      <c r="M1073" s="58"/>
      <c r="N1073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32162.45</v>
      </c>
      <c r="O1073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46196</v>
      </c>
      <c r="P1073" s="49" t="s">
        <v>25</v>
      </c>
      <c r="Q1073" s="49" t="s">
        <v>1186</v>
      </c>
      <c r="R1073" s="48">
        <v>46191</v>
      </c>
      <c r="S1073" s="59" t="s">
        <v>27</v>
      </c>
      <c r="U1073" s="49" t="s">
        <v>32</v>
      </c>
    </row>
    <row r="1074" spans="2:21" s="49" customFormat="1" ht="18.75" hidden="1" customHeight="1">
      <c r="B1074" s="56"/>
      <c r="C1074" s="57"/>
      <c r="D1074" s="48">
        <v>46141</v>
      </c>
      <c r="E1074" s="50" t="s">
        <v>1817</v>
      </c>
      <c r="F1074" s="48"/>
      <c r="G1074" s="48"/>
      <c r="H1074" s="49" t="s">
        <v>29</v>
      </c>
      <c r="I1074" s="51">
        <v>33199.15</v>
      </c>
      <c r="J1074" s="51" t="s">
        <v>30</v>
      </c>
      <c r="K1074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74" s="52"/>
      <c r="M1074" s="58"/>
      <c r="N1074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33199.15</v>
      </c>
      <c r="O1074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46201</v>
      </c>
      <c r="P1074" s="49" t="s">
        <v>25</v>
      </c>
      <c r="Q1074" s="49" t="s">
        <v>1728</v>
      </c>
      <c r="R1074" s="48">
        <v>46198</v>
      </c>
      <c r="S1074" s="59" t="s">
        <v>27</v>
      </c>
      <c r="U1074" s="49" t="s">
        <v>32</v>
      </c>
    </row>
    <row r="1075" spans="2:21" s="49" customFormat="1" ht="18.75" hidden="1" customHeight="1">
      <c r="B1075" s="56"/>
      <c r="C1075" s="57"/>
      <c r="D1075" s="48">
        <v>46142</v>
      </c>
      <c r="E1075" s="50" t="s">
        <v>1818</v>
      </c>
      <c r="F1075" s="48"/>
      <c r="G1075" s="48"/>
      <c r="H1075" s="49" t="s">
        <v>29</v>
      </c>
      <c r="I1075" s="51">
        <v>36044.379999999997</v>
      </c>
      <c r="J1075" s="51" t="s">
        <v>30</v>
      </c>
      <c r="K1075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75" s="52"/>
      <c r="M1075" s="58"/>
      <c r="N1075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36044.379999999997</v>
      </c>
      <c r="O1075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46202</v>
      </c>
      <c r="P1075" s="49" t="s">
        <v>25</v>
      </c>
      <c r="Q1075" s="49" t="s">
        <v>36</v>
      </c>
      <c r="R1075" s="48">
        <v>46198</v>
      </c>
      <c r="S1075" s="59" t="s">
        <v>27</v>
      </c>
      <c r="U1075" s="49" t="s">
        <v>32</v>
      </c>
    </row>
    <row r="1076" spans="2:21" s="49" customFormat="1" ht="18.75" hidden="1" customHeight="1">
      <c r="B1076" s="56"/>
      <c r="C1076" s="57"/>
      <c r="D1076" s="48">
        <v>46142</v>
      </c>
      <c r="E1076" s="50" t="s">
        <v>1819</v>
      </c>
      <c r="F1076" s="48"/>
      <c r="G1076" s="48"/>
      <c r="H1076" s="49" t="s">
        <v>29</v>
      </c>
      <c r="I1076" s="51">
        <v>17426.8</v>
      </c>
      <c r="J1076" s="51" t="s">
        <v>30</v>
      </c>
      <c r="K1076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76" s="52"/>
      <c r="M1076" s="58"/>
      <c r="N1076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17426.8</v>
      </c>
      <c r="O1076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46202</v>
      </c>
      <c r="P1076" s="49" t="s">
        <v>25</v>
      </c>
      <c r="Q1076" s="49" t="s">
        <v>691</v>
      </c>
      <c r="R1076" s="48">
        <v>46198</v>
      </c>
      <c r="S1076" s="59" t="s">
        <v>27</v>
      </c>
      <c r="U1076" s="49" t="s">
        <v>32</v>
      </c>
    </row>
    <row r="1077" spans="2:21" s="49" customFormat="1" ht="18.75" hidden="1" customHeight="1">
      <c r="B1077" s="56"/>
      <c r="C1077" s="57"/>
      <c r="D1077" s="48">
        <v>46142</v>
      </c>
      <c r="E1077" s="50" t="s">
        <v>1820</v>
      </c>
      <c r="F1077" s="48"/>
      <c r="G1077" s="48"/>
      <c r="H1077" s="49" t="s">
        <v>29</v>
      </c>
      <c r="I1077" s="51">
        <v>17008.8</v>
      </c>
      <c r="J1077" s="51" t="s">
        <v>30</v>
      </c>
      <c r="K1077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77" s="52"/>
      <c r="M1077" s="58"/>
      <c r="N1077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17008.8</v>
      </c>
      <c r="O1077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46202</v>
      </c>
      <c r="P1077" s="49" t="s">
        <v>25</v>
      </c>
      <c r="Q1077" s="49" t="s">
        <v>885</v>
      </c>
      <c r="R1077" s="48">
        <v>46198</v>
      </c>
      <c r="S1077" s="59" t="s">
        <v>27</v>
      </c>
      <c r="U1077" s="49" t="s">
        <v>32</v>
      </c>
    </row>
    <row r="1078" spans="2:21" s="49" customFormat="1" ht="18.75" hidden="1" customHeight="1">
      <c r="B1078" s="56"/>
      <c r="C1078" s="57"/>
      <c r="D1078" s="48">
        <v>46077</v>
      </c>
      <c r="E1078" s="50" t="s">
        <v>1821</v>
      </c>
      <c r="F1078" s="48"/>
      <c r="G1078" s="48"/>
      <c r="H1078" s="49" t="s">
        <v>1064</v>
      </c>
      <c r="I1078" s="51">
        <v>36.97</v>
      </c>
      <c r="J1078" s="51" t="s">
        <v>43</v>
      </c>
      <c r="K107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78" s="52"/>
      <c r="M1078" s="58"/>
      <c r="N107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36.97</v>
      </c>
      <c r="O107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46077</v>
      </c>
      <c r="P1078" s="49" t="s">
        <v>25</v>
      </c>
      <c r="Q1078" s="49" t="s">
        <v>1822</v>
      </c>
      <c r="S1078" s="59"/>
    </row>
    <row r="1079" spans="2:21" s="151" customFormat="1" ht="18.75" hidden="1" customHeight="1">
      <c r="B1079" s="56"/>
      <c r="C1079" s="57"/>
      <c r="D1079" s="48">
        <v>46146</v>
      </c>
      <c r="E1079" s="50" t="s">
        <v>1823</v>
      </c>
      <c r="F1079" s="48"/>
      <c r="G1079" s="48"/>
      <c r="H1079" s="49" t="s">
        <v>29</v>
      </c>
      <c r="I1079" s="51">
        <v>39415.919999999998</v>
      </c>
      <c r="J1079" s="51" t="s">
        <v>30</v>
      </c>
      <c r="K1079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79" s="52"/>
      <c r="M1079" s="58"/>
      <c r="N1079" s="135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39415.919999999998</v>
      </c>
      <c r="O1079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46206</v>
      </c>
      <c r="P1079" s="49" t="s">
        <v>25</v>
      </c>
      <c r="Q1079" s="49" t="s">
        <v>112</v>
      </c>
      <c r="R1079" s="48">
        <v>46198</v>
      </c>
      <c r="S1079" s="59" t="s">
        <v>27</v>
      </c>
      <c r="T1079" s="49"/>
      <c r="U1079" s="49" t="s">
        <v>32</v>
      </c>
    </row>
    <row r="1080" spans="2:21" s="63" customFormat="1" ht="18.75" hidden="1" customHeight="1">
      <c r="B1080" s="1"/>
      <c r="C1080"/>
      <c r="D1080" s="1">
        <v>46037</v>
      </c>
      <c r="E1080" s="29" t="s">
        <v>1824</v>
      </c>
      <c r="F1080" s="1">
        <v>46037</v>
      </c>
      <c r="G1080" s="1"/>
      <c r="H1080" t="s">
        <v>1046</v>
      </c>
      <c r="I1080" s="2">
        <v>324</v>
      </c>
      <c r="J1080" s="2" t="s">
        <v>43</v>
      </c>
      <c r="K108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80" s="3"/>
      <c r="M1080" s="11"/>
      <c r="N108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324</v>
      </c>
      <c r="O108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46037</v>
      </c>
      <c r="P1080" t="s">
        <v>25</v>
      </c>
      <c r="Q1080" t="s">
        <v>1825</v>
      </c>
      <c r="R1080" s="1">
        <v>46037</v>
      </c>
      <c r="S1080" t="s">
        <v>45</v>
      </c>
      <c r="T1080"/>
      <c r="U1080" t="s">
        <v>32</v>
      </c>
    </row>
    <row r="1081" spans="2:21" s="63" customFormat="1" ht="18.75" hidden="1" customHeight="1">
      <c r="B1081" s="56"/>
      <c r="C1081" s="57"/>
      <c r="D1081" s="48">
        <v>46147</v>
      </c>
      <c r="E1081" s="50" t="s">
        <v>1826</v>
      </c>
      <c r="F1081" s="48"/>
      <c r="G1081" s="48"/>
      <c r="H1081" s="49" t="s">
        <v>29</v>
      </c>
      <c r="I1081" s="51">
        <v>31300.74</v>
      </c>
      <c r="J1081" s="51" t="s">
        <v>30</v>
      </c>
      <c r="K1081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81" s="52"/>
      <c r="M1081" s="58"/>
      <c r="N1081" s="135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31300.74</v>
      </c>
      <c r="O1081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46207</v>
      </c>
      <c r="P1081" s="49" t="s">
        <v>25</v>
      </c>
      <c r="Q1081" s="49" t="s">
        <v>36</v>
      </c>
      <c r="R1081" s="48">
        <v>46198</v>
      </c>
      <c r="S1081" s="59" t="s">
        <v>27</v>
      </c>
      <c r="T1081" s="49"/>
      <c r="U1081" s="49" t="s">
        <v>32</v>
      </c>
    </row>
    <row r="1082" spans="2:21" s="151" customFormat="1" ht="18.75" hidden="1" customHeight="1">
      <c r="B1082" s="56"/>
      <c r="C1082" s="57"/>
      <c r="D1082" s="48">
        <v>46147</v>
      </c>
      <c r="E1082" s="50" t="s">
        <v>1827</v>
      </c>
      <c r="F1082" s="48"/>
      <c r="G1082" s="48"/>
      <c r="H1082" s="49" t="s">
        <v>29</v>
      </c>
      <c r="I1082" s="51">
        <v>27891.32</v>
      </c>
      <c r="J1082" s="51" t="s">
        <v>30</v>
      </c>
      <c r="K1082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82" s="52"/>
      <c r="M1082" s="58"/>
      <c r="N1082" s="135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27891.32</v>
      </c>
      <c r="O1082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46207</v>
      </c>
      <c r="P1082" s="49" t="s">
        <v>25</v>
      </c>
      <c r="Q1082" s="49" t="s">
        <v>36</v>
      </c>
      <c r="R1082" s="48">
        <v>46198</v>
      </c>
      <c r="S1082" s="59" t="s">
        <v>27</v>
      </c>
      <c r="T1082" s="49"/>
      <c r="U1082" s="49" t="s">
        <v>32</v>
      </c>
    </row>
    <row r="1083" spans="2:21" s="151" customFormat="1" ht="18.75" hidden="1" customHeight="1">
      <c r="B1083" s="56"/>
      <c r="C1083" s="57"/>
      <c r="D1083" s="48">
        <v>46147</v>
      </c>
      <c r="E1083" s="50" t="s">
        <v>1828</v>
      </c>
      <c r="F1083" s="48"/>
      <c r="G1083" s="48"/>
      <c r="H1083" s="49" t="s">
        <v>29</v>
      </c>
      <c r="I1083" s="51">
        <v>30750.38</v>
      </c>
      <c r="J1083" s="51" t="s">
        <v>30</v>
      </c>
      <c r="K1083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83" s="52"/>
      <c r="M1083" s="58"/>
      <c r="N1083" s="135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30750.38</v>
      </c>
      <c r="O1083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46207</v>
      </c>
      <c r="P1083" s="49" t="s">
        <v>25</v>
      </c>
      <c r="Q1083" s="49" t="s">
        <v>1186</v>
      </c>
      <c r="R1083" s="48">
        <v>46198</v>
      </c>
      <c r="S1083" s="59" t="s">
        <v>27</v>
      </c>
      <c r="T1083" s="49"/>
      <c r="U1083" s="49" t="s">
        <v>32</v>
      </c>
    </row>
    <row r="1084" spans="2:21" s="151" customFormat="1" ht="18.75" hidden="1" customHeight="1">
      <c r="B1084" s="56"/>
      <c r="C1084" s="57"/>
      <c r="D1084" s="48">
        <v>46104</v>
      </c>
      <c r="E1084" s="50" t="s">
        <v>1829</v>
      </c>
      <c r="F1084" s="48"/>
      <c r="G1084" s="48"/>
      <c r="H1084" s="49" t="s">
        <v>86</v>
      </c>
      <c r="I1084" s="51">
        <v>438.85</v>
      </c>
      <c r="J1084" s="51" t="s">
        <v>55</v>
      </c>
      <c r="K108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84" s="52"/>
      <c r="M1084" s="58"/>
      <c r="N108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438.85</v>
      </c>
      <c r="O1084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084" s="49" t="s">
        <v>25</v>
      </c>
      <c r="Q1084" s="49" t="s">
        <v>1830</v>
      </c>
      <c r="R1084" s="49"/>
      <c r="S1084" s="59"/>
      <c r="T1084" s="49"/>
      <c r="U1084" s="49"/>
    </row>
    <row r="1085" spans="2:21" s="151" customFormat="1" ht="18.75" hidden="1" customHeight="1">
      <c r="B1085" s="56"/>
      <c r="C1085" s="57"/>
      <c r="D1085" s="48">
        <v>46104</v>
      </c>
      <c r="E1085" s="50" t="s">
        <v>1831</v>
      </c>
      <c r="F1085" s="48" t="s">
        <v>1832</v>
      </c>
      <c r="G1085" s="48"/>
      <c r="H1085" s="49" t="s">
        <v>1672</v>
      </c>
      <c r="I1085" s="51">
        <v>453.17</v>
      </c>
      <c r="J1085" s="51" t="s">
        <v>43</v>
      </c>
      <c r="K108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85" s="52"/>
      <c r="M1085" s="58"/>
      <c r="N108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453.17</v>
      </c>
      <c r="O108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46104</v>
      </c>
      <c r="P1085" s="49" t="s">
        <v>25</v>
      </c>
      <c r="Q1085" s="49" t="s">
        <v>1673</v>
      </c>
      <c r="R1085" s="49"/>
      <c r="S1085" s="59"/>
      <c r="T1085" s="49"/>
      <c r="U1085" s="49"/>
    </row>
    <row r="1086" spans="2:21" s="49" customFormat="1" ht="18.75" hidden="1" customHeight="1">
      <c r="B1086" s="56"/>
      <c r="C1086" s="57"/>
      <c r="D1086" s="48">
        <v>46105</v>
      </c>
      <c r="E1086" s="50" t="s">
        <v>1833</v>
      </c>
      <c r="F1086" s="48"/>
      <c r="G1086" s="48"/>
      <c r="H1086" s="49" t="s">
        <v>1834</v>
      </c>
      <c r="I1086" s="51" t="s">
        <v>1835</v>
      </c>
      <c r="J1086" s="51" t="s">
        <v>43</v>
      </c>
      <c r="K108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86" s="52"/>
      <c r="M1086" s="58"/>
      <c r="N1086" s="11" t="str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3 876,09</v>
      </c>
      <c r="O108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46105</v>
      </c>
      <c r="P1086" s="49" t="s">
        <v>25</v>
      </c>
      <c r="Q1086" s="49" t="s">
        <v>1836</v>
      </c>
      <c r="S1086" s="59"/>
    </row>
    <row r="1087" spans="2:21" s="49" customFormat="1" ht="18.75" hidden="1" customHeight="1">
      <c r="B1087" s="44"/>
      <c r="C1087" s="7"/>
      <c r="D1087" s="1">
        <v>46077</v>
      </c>
      <c r="E1087" t="s">
        <v>1837</v>
      </c>
      <c r="F1087" s="1"/>
      <c r="G1087" s="1"/>
      <c r="H1087" t="s">
        <v>1064</v>
      </c>
      <c r="I1087" s="2">
        <v>11.92</v>
      </c>
      <c r="J1087" s="2" t="s">
        <v>43</v>
      </c>
      <c r="K108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87" s="3"/>
      <c r="M1087" s="11"/>
      <c r="N108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11.92</v>
      </c>
      <c r="O108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46077</v>
      </c>
      <c r="P1087" t="s">
        <v>25</v>
      </c>
      <c r="Q1087" t="s">
        <v>1775</v>
      </c>
      <c r="R1087"/>
      <c r="S1087" s="24"/>
      <c r="T1087"/>
      <c r="U1087"/>
    </row>
    <row r="1088" spans="2:21" s="49" customFormat="1" ht="18.75" hidden="1" customHeight="1">
      <c r="B1088" s="44"/>
      <c r="C1088" s="7"/>
      <c r="D1088" s="1">
        <v>46079</v>
      </c>
      <c r="E1088" s="29" t="s">
        <v>1838</v>
      </c>
      <c r="F1088" s="1"/>
      <c r="G1088" s="1"/>
      <c r="H1088" t="s">
        <v>1067</v>
      </c>
      <c r="I1088" s="2">
        <v>126.94</v>
      </c>
      <c r="J1088" s="2" t="s">
        <v>43</v>
      </c>
      <c r="K108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88" s="3"/>
      <c r="M1088" s="11"/>
      <c r="N108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126.94</v>
      </c>
      <c r="O108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46079</v>
      </c>
      <c r="P1088" t="s">
        <v>25</v>
      </c>
      <c r="Q1088"/>
      <c r="R1088"/>
      <c r="S1088" s="24"/>
      <c r="T1088"/>
      <c r="U1088"/>
    </row>
    <row r="1089" spans="2:21" s="49" customFormat="1" ht="18.75" hidden="1" customHeight="1">
      <c r="B1089" s="56"/>
      <c r="C1089" s="57"/>
      <c r="D1089" s="48">
        <v>46112</v>
      </c>
      <c r="E1089" s="50" t="s">
        <v>1839</v>
      </c>
      <c r="F1089" s="48"/>
      <c r="G1089" s="48"/>
      <c r="H1089" s="49" t="s">
        <v>108</v>
      </c>
      <c r="I1089" s="58">
        <v>3200.52</v>
      </c>
      <c r="J1089" s="51" t="s">
        <v>30</v>
      </c>
      <c r="K1089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89" s="52"/>
      <c r="M1089" s="58"/>
      <c r="N1089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3200.52</v>
      </c>
      <c r="O1089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46172</v>
      </c>
      <c r="P1089" s="49" t="s">
        <v>25</v>
      </c>
      <c r="Q1089" s="49" t="s">
        <v>344</v>
      </c>
      <c r="R1089" s="48">
        <v>46170</v>
      </c>
      <c r="S1089" s="59" t="s">
        <v>27</v>
      </c>
      <c r="U1089" s="49" t="s">
        <v>32</v>
      </c>
    </row>
    <row r="1090" spans="2:21" s="49" customFormat="1" ht="18.75" hidden="1" customHeight="1">
      <c r="B1090" s="56"/>
      <c r="C1090" s="57"/>
      <c r="D1090" s="48">
        <v>46112</v>
      </c>
      <c r="E1090" s="50" t="s">
        <v>1840</v>
      </c>
      <c r="F1090" s="48"/>
      <c r="G1090" s="48"/>
      <c r="H1090" s="49" t="s">
        <v>108</v>
      </c>
      <c r="I1090" s="58">
        <v>3825.84</v>
      </c>
      <c r="J1090" s="51" t="s">
        <v>30</v>
      </c>
      <c r="K1090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90" s="52"/>
      <c r="M1090" s="58"/>
      <c r="N1090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3825.84</v>
      </c>
      <c r="O1090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46172</v>
      </c>
      <c r="P1090" s="49" t="s">
        <v>25</v>
      </c>
      <c r="Q1090" s="49" t="s">
        <v>1038</v>
      </c>
      <c r="R1090" s="48">
        <v>46170</v>
      </c>
      <c r="S1090" s="59" t="s">
        <v>27</v>
      </c>
      <c r="U1090" s="49" t="s">
        <v>32</v>
      </c>
    </row>
    <row r="1091" spans="2:21" s="49" customFormat="1" ht="18.75" hidden="1" customHeight="1">
      <c r="B1091" s="130"/>
      <c r="C1091" s="131"/>
      <c r="D1091" s="132">
        <v>46079</v>
      </c>
      <c r="E1091" s="133" t="s">
        <v>1841</v>
      </c>
      <c r="F1091" s="132"/>
      <c r="G1091" s="132"/>
      <c r="H1091" s="134" t="s">
        <v>1842</v>
      </c>
      <c r="I1091" s="135">
        <v>15375</v>
      </c>
      <c r="J1091" s="135" t="s">
        <v>43</v>
      </c>
      <c r="K109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91" s="136"/>
      <c r="M1091" s="135"/>
      <c r="N109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15375</v>
      </c>
      <c r="O109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46079</v>
      </c>
      <c r="P1091" s="134"/>
      <c r="Q1091" s="134" t="s">
        <v>1843</v>
      </c>
      <c r="R1091" s="134"/>
      <c r="S1091" s="137"/>
      <c r="T1091" s="134"/>
      <c r="U1091" s="134"/>
    </row>
    <row r="1092" spans="2:21" s="49" customFormat="1" ht="18.75" hidden="1" customHeight="1">
      <c r="B1092" s="56"/>
      <c r="C1092" s="57"/>
      <c r="D1092" s="48">
        <v>46112</v>
      </c>
      <c r="E1092" s="50" t="s">
        <v>1844</v>
      </c>
      <c r="F1092" s="48"/>
      <c r="G1092" s="48"/>
      <c r="H1092" s="49" t="s">
        <v>108</v>
      </c>
      <c r="I1092" s="58">
        <v>17142.84</v>
      </c>
      <c r="J1092" s="51" t="s">
        <v>30</v>
      </c>
      <c r="K1092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92" s="52"/>
      <c r="M1092" s="58"/>
      <c r="N1092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17142.84</v>
      </c>
      <c r="O1092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46172</v>
      </c>
      <c r="P1092" s="49" t="s">
        <v>25</v>
      </c>
      <c r="Q1092" s="49" t="s">
        <v>292</v>
      </c>
      <c r="R1092" s="48">
        <v>46170</v>
      </c>
      <c r="S1092" s="59" t="s">
        <v>27</v>
      </c>
      <c r="U1092" s="49" t="s">
        <v>32</v>
      </c>
    </row>
    <row r="1093" spans="2:21" s="190" customFormat="1" ht="18.75" hidden="1" customHeight="1">
      <c r="B1093" s="56"/>
      <c r="C1093" s="57"/>
      <c r="D1093" s="48">
        <v>46112</v>
      </c>
      <c r="E1093" s="50" t="s">
        <v>1845</v>
      </c>
      <c r="F1093" s="48"/>
      <c r="G1093" s="48"/>
      <c r="H1093" s="49" t="s">
        <v>108</v>
      </c>
      <c r="I1093" s="58">
        <v>1679.1</v>
      </c>
      <c r="J1093" s="51" t="s">
        <v>30</v>
      </c>
      <c r="K1093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93" s="52"/>
      <c r="M1093" s="58"/>
      <c r="N1093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1679.1</v>
      </c>
      <c r="O1093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46172</v>
      </c>
      <c r="P1093" s="49" t="s">
        <v>25</v>
      </c>
      <c r="Q1093" s="49" t="s">
        <v>891</v>
      </c>
      <c r="R1093" s="48">
        <v>46170</v>
      </c>
      <c r="S1093" s="59" t="s">
        <v>27</v>
      </c>
      <c r="T1093" s="49"/>
      <c r="U1093" s="49" t="s">
        <v>32</v>
      </c>
    </row>
    <row r="1094" spans="2:21" s="49" customFormat="1" ht="18.75" hidden="1" customHeight="1">
      <c r="B1094" s="56"/>
      <c r="C1094" s="57"/>
      <c r="D1094" s="48">
        <v>46112</v>
      </c>
      <c r="E1094" s="50" t="s">
        <v>1846</v>
      </c>
      <c r="F1094" s="48"/>
      <c r="G1094" s="48"/>
      <c r="H1094" s="49" t="s">
        <v>108</v>
      </c>
      <c r="I1094" s="58">
        <v>2663.4</v>
      </c>
      <c r="J1094" s="51" t="s">
        <v>30</v>
      </c>
      <c r="K1094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94" s="52"/>
      <c r="M1094" s="58"/>
      <c r="N1094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2663.4</v>
      </c>
      <c r="O1094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46172</v>
      </c>
      <c r="P1094" s="49" t="s">
        <v>25</v>
      </c>
      <c r="Q1094" s="49" t="s">
        <v>830</v>
      </c>
      <c r="R1094" s="48">
        <v>46170</v>
      </c>
      <c r="S1094" s="59" t="s">
        <v>27</v>
      </c>
      <c r="U1094" s="49" t="s">
        <v>32</v>
      </c>
    </row>
    <row r="1095" spans="2:21" s="49" customFormat="1" ht="18.75" hidden="1" customHeight="1">
      <c r="B1095" s="56"/>
      <c r="C1095" s="57"/>
      <c r="D1095" s="48">
        <v>46087</v>
      </c>
      <c r="E1095" s="50">
        <v>102</v>
      </c>
      <c r="F1095" s="48"/>
      <c r="G1095" s="48"/>
      <c r="H1095" s="49" t="s">
        <v>1251</v>
      </c>
      <c r="I1095" s="51">
        <v>9370</v>
      </c>
      <c r="J1095" s="51" t="s">
        <v>55</v>
      </c>
      <c r="K1095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95" s="52"/>
      <c r="M1095" s="58"/>
      <c r="N1095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9370</v>
      </c>
      <c r="O1095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095" s="49" t="s">
        <v>25</v>
      </c>
      <c r="S1095" s="59"/>
      <c r="U1095" s="49" t="s">
        <v>32</v>
      </c>
    </row>
    <row r="1096" spans="2:21" s="49" customFormat="1" ht="18.75" hidden="1" customHeight="1">
      <c r="B1096" s="1"/>
      <c r="C1096"/>
      <c r="D1096" s="1">
        <v>45664</v>
      </c>
      <c r="E1096" s="29" t="s">
        <v>1847</v>
      </c>
      <c r="F1096" s="1"/>
      <c r="G1096" s="1"/>
      <c r="H1096" t="s">
        <v>1046</v>
      </c>
      <c r="I1096" s="2">
        <v>120</v>
      </c>
      <c r="J1096" s="2" t="s">
        <v>43</v>
      </c>
      <c r="K109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96" s="3"/>
      <c r="M1096" s="11"/>
      <c r="N109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109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45664</v>
      </c>
      <c r="P1096" t="s">
        <v>25</v>
      </c>
      <c r="Q1096" t="s">
        <v>1848</v>
      </c>
      <c r="R1096" s="1">
        <v>46030</v>
      </c>
      <c r="S1096" t="s">
        <v>45</v>
      </c>
      <c r="T1096"/>
      <c r="U1096" t="s">
        <v>32</v>
      </c>
    </row>
    <row r="1097" spans="2:21" s="49" customFormat="1" ht="18.75" hidden="1" customHeight="1">
      <c r="B1097" s="1"/>
      <c r="C1097"/>
      <c r="D1097" s="1">
        <v>45664</v>
      </c>
      <c r="E1097" s="29" t="s">
        <v>1849</v>
      </c>
      <c r="F1097" s="1"/>
      <c r="G1097" s="1"/>
      <c r="H1097" t="s">
        <v>1046</v>
      </c>
      <c r="I1097" s="2">
        <v>120</v>
      </c>
      <c r="J1097" s="2" t="s">
        <v>43</v>
      </c>
      <c r="K109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97" s="3"/>
      <c r="M1097" s="11"/>
      <c r="N109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109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45664</v>
      </c>
      <c r="P1097" t="s">
        <v>25</v>
      </c>
      <c r="Q1097" t="s">
        <v>1850</v>
      </c>
      <c r="R1097" s="1">
        <v>46030</v>
      </c>
      <c r="S1097" t="s">
        <v>45</v>
      </c>
      <c r="T1097"/>
      <c r="U1097" t="s">
        <v>32</v>
      </c>
    </row>
    <row r="1098" spans="2:21" s="49" customFormat="1" ht="18.75" hidden="1" customHeight="1">
      <c r="B1098" s="1"/>
      <c r="C1098"/>
      <c r="D1098" s="1">
        <v>45664</v>
      </c>
      <c r="E1098" s="29" t="s">
        <v>1851</v>
      </c>
      <c r="F1098" s="1"/>
      <c r="G1098" s="1"/>
      <c r="H1098" t="s">
        <v>1046</v>
      </c>
      <c r="I1098" s="2">
        <v>120</v>
      </c>
      <c r="J1098" s="2" t="s">
        <v>43</v>
      </c>
      <c r="K109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098" s="3"/>
      <c r="M1098" s="11"/>
      <c r="N109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109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45664</v>
      </c>
      <c r="P1098" t="s">
        <v>25</v>
      </c>
      <c r="Q1098" t="s">
        <v>1852</v>
      </c>
      <c r="R1098" s="1">
        <v>46030</v>
      </c>
      <c r="S1098" t="s">
        <v>45</v>
      </c>
      <c r="T1098"/>
      <c r="U1098" t="s">
        <v>32</v>
      </c>
    </row>
    <row r="1099" spans="2:21" s="49" customFormat="1" ht="18.75" hidden="1" customHeight="1">
      <c r="B1099" s="130"/>
      <c r="C1099" s="131"/>
      <c r="D1099" s="132">
        <v>46113</v>
      </c>
      <c r="E1099" s="133" t="s">
        <v>1853</v>
      </c>
      <c r="F1099" s="132"/>
      <c r="G1099" s="132"/>
      <c r="H1099" s="134" t="s">
        <v>97</v>
      </c>
      <c r="I1099" s="135">
        <v>145.13999999999999</v>
      </c>
      <c r="J1099" s="135" t="s">
        <v>98</v>
      </c>
      <c r="K1099" s="11" t="str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/>
      </c>
      <c r="L1099" s="136"/>
      <c r="M1099" s="135"/>
      <c r="N109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145.13999999999999</v>
      </c>
      <c r="O1099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099" s="134"/>
      <c r="Q1099" s="134"/>
      <c r="R1099" s="134"/>
      <c r="S1099" s="137"/>
      <c r="T1099" s="134"/>
      <c r="U1099" s="134"/>
    </row>
    <row r="1100" spans="2:21" s="49" customFormat="1" ht="18.75" hidden="1" customHeight="1">
      <c r="B1100" s="56"/>
      <c r="C1100" s="57"/>
      <c r="D1100" s="48">
        <v>46112</v>
      </c>
      <c r="E1100" s="50">
        <v>155</v>
      </c>
      <c r="F1100" s="48"/>
      <c r="G1100" s="48"/>
      <c r="H1100" s="49" t="s">
        <v>1251</v>
      </c>
      <c r="I1100" s="51">
        <v>5400</v>
      </c>
      <c r="J1100" s="51" t="s">
        <v>55</v>
      </c>
      <c r="K1100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00" s="52"/>
      <c r="M1100" s="58"/>
      <c r="N1100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5400</v>
      </c>
      <c r="O1100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00" s="49" t="s">
        <v>25</v>
      </c>
      <c r="S1100" s="59"/>
      <c r="U1100" s="49" t="s">
        <v>32</v>
      </c>
    </row>
    <row r="1101" spans="2:21" s="49" customFormat="1" ht="18.75" hidden="1" customHeight="1">
      <c r="B1101" s="1"/>
      <c r="C1101"/>
      <c r="D1101" s="1" t="s">
        <v>1854</v>
      </c>
      <c r="E1101" s="29" t="s">
        <v>1855</v>
      </c>
      <c r="F1101" s="1"/>
      <c r="G1101" s="1"/>
      <c r="H1101" s="49" t="s">
        <v>69</v>
      </c>
      <c r="I1101" s="2">
        <v>22267.67</v>
      </c>
      <c r="J1101" s="2" t="s">
        <v>55</v>
      </c>
      <c r="K110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01" s="3"/>
      <c r="M1101" s="11"/>
      <c r="N110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22267.67</v>
      </c>
      <c r="O1101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01" t="s">
        <v>25</v>
      </c>
      <c r="Q1101" t="s">
        <v>1856</v>
      </c>
      <c r="R1101" s="1">
        <v>46007</v>
      </c>
      <c r="S1101"/>
      <c r="T1101" s="24"/>
      <c r="U1101"/>
    </row>
    <row r="1102" spans="2:21" s="49" customFormat="1" ht="18.75" hidden="1" customHeight="1">
      <c r="B1102" s="56"/>
      <c r="C1102" s="57"/>
      <c r="D1102" s="48">
        <v>46122</v>
      </c>
      <c r="E1102" s="50">
        <v>1852274503</v>
      </c>
      <c r="F1102" s="48"/>
      <c r="G1102" s="48"/>
      <c r="H1102" s="49" t="s">
        <v>1519</v>
      </c>
      <c r="I1102" s="51">
        <v>39.9</v>
      </c>
      <c r="J1102" s="51" t="s">
        <v>43</v>
      </c>
      <c r="K110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02" s="52"/>
      <c r="M1102" s="58"/>
      <c r="N110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39.9</v>
      </c>
      <c r="O110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46122</v>
      </c>
      <c r="P1102" s="49" t="s">
        <v>25</v>
      </c>
      <c r="Q1102" s="49" t="s">
        <v>1857</v>
      </c>
      <c r="S1102" s="59"/>
    </row>
    <row r="1103" spans="2:21" s="49" customFormat="1" ht="18.75" hidden="1" customHeight="1">
      <c r="B1103" s="56"/>
      <c r="C1103" s="57"/>
      <c r="D1103" s="48">
        <v>46122</v>
      </c>
      <c r="E1103" s="50">
        <v>1852274495</v>
      </c>
      <c r="F1103" s="48"/>
      <c r="G1103" s="48"/>
      <c r="H1103" s="49" t="s">
        <v>1519</v>
      </c>
      <c r="I1103" s="51">
        <v>39.9</v>
      </c>
      <c r="J1103" s="51" t="s">
        <v>43</v>
      </c>
      <c r="K110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03" s="52"/>
      <c r="M1103" s="58"/>
      <c r="N110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39.9</v>
      </c>
      <c r="O110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46122</v>
      </c>
      <c r="P1103" s="49" t="s">
        <v>25</v>
      </c>
      <c r="Q1103" s="49" t="s">
        <v>1858</v>
      </c>
      <c r="S1103" s="59"/>
    </row>
    <row r="1104" spans="2:21" s="49" customFormat="1" ht="18.75" hidden="1" customHeight="1">
      <c r="B1104" s="56"/>
      <c r="C1104" s="57"/>
      <c r="D1104" s="48">
        <v>46170</v>
      </c>
      <c r="E1104" s="50">
        <v>1852338645</v>
      </c>
      <c r="F1104" s="48"/>
      <c r="G1104" s="48"/>
      <c r="H1104" s="49" t="s">
        <v>1519</v>
      </c>
      <c r="I1104" s="51">
        <v>40.5</v>
      </c>
      <c r="J1104" s="51" t="s">
        <v>43</v>
      </c>
      <c r="K1104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04" s="52"/>
      <c r="M1104" s="58"/>
      <c r="N1104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40.5</v>
      </c>
      <c r="O1104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46170</v>
      </c>
      <c r="P1104" s="49" t="s">
        <v>25</v>
      </c>
      <c r="Q1104" s="49" t="s">
        <v>1859</v>
      </c>
      <c r="S1104" s="59"/>
    </row>
    <row r="1105" spans="1:21" s="49" customFormat="1" ht="18.75" hidden="1" customHeight="1">
      <c r="B1105" s="56"/>
      <c r="C1105" s="57"/>
      <c r="D1105" s="48">
        <v>46196</v>
      </c>
      <c r="E1105" s="50">
        <v>1852375989</v>
      </c>
      <c r="F1105" s="48"/>
      <c r="G1105" s="48"/>
      <c r="H1105" s="49" t="s">
        <v>1519</v>
      </c>
      <c r="I1105" s="51">
        <v>43.7</v>
      </c>
      <c r="J1105" s="51" t="s">
        <v>43</v>
      </c>
      <c r="K1105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05" s="52"/>
      <c r="M1105" s="58"/>
      <c r="N1105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43.7</v>
      </c>
      <c r="O1105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46196</v>
      </c>
      <c r="P1105" s="49" t="s">
        <v>25</v>
      </c>
      <c r="Q1105" s="49" t="s">
        <v>1860</v>
      </c>
      <c r="S1105" s="59"/>
      <c r="T1105" s="49" t="s">
        <v>1521</v>
      </c>
    </row>
    <row r="1106" spans="1:21" s="49" customFormat="1" ht="18.75" hidden="1" customHeight="1">
      <c r="B1106" s="1"/>
      <c r="C1106" s="7"/>
      <c r="D1106" s="1">
        <v>46064</v>
      </c>
      <c r="E1106" s="29" t="s">
        <v>1861</v>
      </c>
      <c r="F1106" s="1"/>
      <c r="G1106" s="1"/>
      <c r="H1106" t="s">
        <v>54</v>
      </c>
      <c r="I1106" s="2">
        <v>1140.25</v>
      </c>
      <c r="J1106" s="2" t="s">
        <v>55</v>
      </c>
      <c r="K110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06" s="3"/>
      <c r="M1106"/>
      <c r="N110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1140.25</v>
      </c>
      <c r="O1106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06" t="s">
        <v>25</v>
      </c>
      <c r="Q1106"/>
      <c r="R1106" s="1">
        <v>46059</v>
      </c>
      <c r="S1106" s="24"/>
      <c r="T1106"/>
      <c r="U1106" s="49" t="s">
        <v>32</v>
      </c>
    </row>
    <row r="1107" spans="1:21" s="49" customFormat="1" ht="18.75" hidden="1" customHeight="1">
      <c r="B1107" s="1"/>
      <c r="C1107" s="7"/>
      <c r="D1107" s="1">
        <v>46064</v>
      </c>
      <c r="E1107" s="29" t="s">
        <v>1862</v>
      </c>
      <c r="F1107" s="1"/>
      <c r="G1107" s="1"/>
      <c r="H1107" t="s">
        <v>54</v>
      </c>
      <c r="I1107" s="2">
        <v>459.01</v>
      </c>
      <c r="J1107" s="2" t="s">
        <v>55</v>
      </c>
      <c r="K110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07" s="3"/>
      <c r="M1107"/>
      <c r="N110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459.01</v>
      </c>
      <c r="O1107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07" t="s">
        <v>25</v>
      </c>
      <c r="Q1107"/>
      <c r="R1107" s="1">
        <v>46059</v>
      </c>
      <c r="S1107" s="24"/>
      <c r="T1107"/>
      <c r="U1107" s="49" t="s">
        <v>32</v>
      </c>
    </row>
    <row r="1108" spans="1:21" s="49" customFormat="1" ht="18.75" hidden="1" customHeight="1">
      <c r="B1108" s="56"/>
      <c r="C1108" s="57"/>
      <c r="D1108" s="48">
        <v>46083</v>
      </c>
      <c r="E1108" s="50" t="s">
        <v>1863</v>
      </c>
      <c r="F1108" s="48"/>
      <c r="G1108" s="48"/>
      <c r="H1108" s="49" t="s">
        <v>54</v>
      </c>
      <c r="I1108" s="51">
        <v>312.95</v>
      </c>
      <c r="J1108" s="51" t="s">
        <v>55</v>
      </c>
      <c r="K1108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08" s="52"/>
      <c r="M1108" s="58"/>
      <c r="N1108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312.95</v>
      </c>
      <c r="O1108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08" s="49" t="s">
        <v>25</v>
      </c>
      <c r="Q1108" s="49" t="s">
        <v>1864</v>
      </c>
      <c r="R1108" s="48">
        <v>46079</v>
      </c>
      <c r="S1108" s="59" t="s">
        <v>27</v>
      </c>
      <c r="T1108" s="49" t="s">
        <v>1865</v>
      </c>
      <c r="U1108" s="49" t="s">
        <v>32</v>
      </c>
    </row>
    <row r="1109" spans="1:21" s="190" customFormat="1" ht="18.75" hidden="1" customHeight="1">
      <c r="B1109" s="56"/>
      <c r="C1109" s="57"/>
      <c r="D1109" s="48">
        <v>46092</v>
      </c>
      <c r="E1109" s="50" t="s">
        <v>1866</v>
      </c>
      <c r="F1109" s="48"/>
      <c r="G1109" s="48"/>
      <c r="H1109" s="49" t="s">
        <v>54</v>
      </c>
      <c r="I1109" s="51">
        <v>91.13</v>
      </c>
      <c r="J1109" s="51" t="s">
        <v>55</v>
      </c>
      <c r="K1109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09" s="52"/>
      <c r="M1109" s="58"/>
      <c r="N1109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91.13</v>
      </c>
      <c r="O1109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09" s="49" t="s">
        <v>25</v>
      </c>
      <c r="Q1109" s="49" t="s">
        <v>1867</v>
      </c>
      <c r="R1109" s="48">
        <v>46091</v>
      </c>
      <c r="S1109" s="59"/>
      <c r="T1109" s="49"/>
      <c r="U1109" s="49" t="s">
        <v>32</v>
      </c>
    </row>
    <row r="1110" spans="1:21" s="49" customFormat="1" ht="18.75" hidden="1" customHeight="1">
      <c r="B1110" s="56"/>
      <c r="C1110" s="57"/>
      <c r="D1110" s="48">
        <v>46098</v>
      </c>
      <c r="E1110" s="50" t="s">
        <v>1868</v>
      </c>
      <c r="F1110" s="48"/>
      <c r="G1110" s="48"/>
      <c r="H1110" s="49" t="s">
        <v>54</v>
      </c>
      <c r="I1110" s="51">
        <v>-1140.25</v>
      </c>
      <c r="J1110" s="51" t="s">
        <v>55</v>
      </c>
      <c r="K1110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10" s="52"/>
      <c r="M1110" s="58"/>
      <c r="N1110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-1140.25</v>
      </c>
      <c r="O1110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10" s="49" t="s">
        <v>25</v>
      </c>
      <c r="Q1110" s="65" t="s">
        <v>1869</v>
      </c>
      <c r="S1110" s="59"/>
      <c r="U1110" s="49" t="s">
        <v>32</v>
      </c>
    </row>
    <row r="1111" spans="1:21" s="49" customFormat="1" ht="18.75" hidden="1" customHeight="1">
      <c r="B1111" s="56"/>
      <c r="C1111" s="57"/>
      <c r="D1111" s="48">
        <v>46100</v>
      </c>
      <c r="E1111" s="50" t="s">
        <v>1870</v>
      </c>
      <c r="F1111" s="48"/>
      <c r="G1111" s="48"/>
      <c r="H1111" s="49" t="s">
        <v>54</v>
      </c>
      <c r="I1111" s="51">
        <v>1140.25</v>
      </c>
      <c r="J1111" s="51" t="s">
        <v>55</v>
      </c>
      <c r="K1111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11" s="52"/>
      <c r="M1111" s="58"/>
      <c r="N1111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1140.25</v>
      </c>
      <c r="O1111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11" s="49" t="s">
        <v>25</v>
      </c>
      <c r="Q1111" s="49" t="s">
        <v>1871</v>
      </c>
      <c r="S1111" s="59"/>
      <c r="U1111" s="49" t="s">
        <v>32</v>
      </c>
    </row>
    <row r="1112" spans="1:21" s="49" customFormat="1" ht="18.75" hidden="1" customHeight="1">
      <c r="B1112" s="56"/>
      <c r="C1112" s="57"/>
      <c r="D1112" s="48">
        <v>46121</v>
      </c>
      <c r="E1112" s="50" t="s">
        <v>1872</v>
      </c>
      <c r="F1112" s="48"/>
      <c r="G1112" s="48"/>
      <c r="H1112" s="49" t="s">
        <v>54</v>
      </c>
      <c r="I1112" s="51">
        <v>-1140.25</v>
      </c>
      <c r="J1112" s="51" t="s">
        <v>55</v>
      </c>
      <c r="K1112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12" s="52"/>
      <c r="M1112" s="58"/>
      <c r="N1112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-1140.25</v>
      </c>
      <c r="O1112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12" s="49" t="s">
        <v>25</v>
      </c>
      <c r="Q1112" s="49" t="s">
        <v>1873</v>
      </c>
      <c r="S1112" s="59"/>
      <c r="U1112" s="49" t="s">
        <v>32</v>
      </c>
    </row>
    <row r="1113" spans="1:21" s="49" customFormat="1" ht="18.75" hidden="1" customHeight="1">
      <c r="B1113" s="56"/>
      <c r="C1113" s="57"/>
      <c r="D1113" s="48">
        <v>46115</v>
      </c>
      <c r="E1113" s="50" t="s">
        <v>1874</v>
      </c>
      <c r="F1113" s="48"/>
      <c r="G1113" s="48"/>
      <c r="H1113" s="49" t="s">
        <v>1746</v>
      </c>
      <c r="I1113" s="51">
        <v>45.29</v>
      </c>
      <c r="J1113" s="51" t="s">
        <v>98</v>
      </c>
      <c r="K1113" s="58" t="str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/>
      </c>
      <c r="L1113" s="52"/>
      <c r="M1113" s="58"/>
      <c r="N1113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45.29</v>
      </c>
      <c r="O1113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13" s="49" t="s">
        <v>25</v>
      </c>
      <c r="Q1113" s="49" t="s">
        <v>1875</v>
      </c>
      <c r="S1113" s="59"/>
    </row>
    <row r="1114" spans="1:21" s="63" customFormat="1" ht="18.75" hidden="1" customHeight="1">
      <c r="B1114" s="56"/>
      <c r="C1114" s="57"/>
      <c r="D1114" s="48">
        <v>46056</v>
      </c>
      <c r="E1114" s="50" t="s">
        <v>1745</v>
      </c>
      <c r="F1114" s="48"/>
      <c r="G1114" s="48"/>
      <c r="H1114" s="49" t="s">
        <v>1746</v>
      </c>
      <c r="I1114" s="51">
        <v>45.03</v>
      </c>
      <c r="J1114" s="51" t="s">
        <v>98</v>
      </c>
      <c r="K1114" s="58" t="str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/>
      </c>
      <c r="L1114" s="52"/>
      <c r="M1114" s="58"/>
      <c r="N1114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45.03</v>
      </c>
      <c r="O1114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14" s="49" t="s">
        <v>25</v>
      </c>
      <c r="Q1114" s="49" t="s">
        <v>1876</v>
      </c>
      <c r="R1114" s="49"/>
      <c r="S1114" s="59"/>
      <c r="T1114" s="49"/>
      <c r="U1114" s="49"/>
    </row>
    <row r="1115" spans="1:21" s="49" customFormat="1" ht="18.75" hidden="1" customHeight="1">
      <c r="B1115" s="56"/>
      <c r="C1115" s="57"/>
      <c r="D1115" s="48">
        <v>46121</v>
      </c>
      <c r="E1115" s="50" t="s">
        <v>1877</v>
      </c>
      <c r="F1115" s="48"/>
      <c r="G1115" s="48"/>
      <c r="H1115" s="49" t="s">
        <v>86</v>
      </c>
      <c r="I1115" s="51">
        <v>379.37</v>
      </c>
      <c r="J1115" s="51" t="s">
        <v>55</v>
      </c>
      <c r="K1115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15" s="52"/>
      <c r="M1115" s="58"/>
      <c r="N1115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379.37</v>
      </c>
      <c r="O1115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15" s="49" t="s">
        <v>25</v>
      </c>
      <c r="Q1115" s="49" t="s">
        <v>1878</v>
      </c>
      <c r="S1115" s="59"/>
    </row>
    <row r="1116" spans="1:21" s="49" customFormat="1" ht="18.75" hidden="1" customHeight="1">
      <c r="B1116" s="56"/>
      <c r="C1116" s="57"/>
      <c r="D1116" s="48">
        <v>46122</v>
      </c>
      <c r="E1116" s="50" t="s">
        <v>1879</v>
      </c>
      <c r="F1116" s="48"/>
      <c r="G1116" s="48"/>
      <c r="H1116" s="49" t="s">
        <v>86</v>
      </c>
      <c r="I1116" s="51">
        <v>132.72999999999999</v>
      </c>
      <c r="J1116" s="51" t="s">
        <v>55</v>
      </c>
      <c r="K1116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16" s="52"/>
      <c r="M1116" s="58"/>
      <c r="N1116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132.72999999999999</v>
      </c>
      <c r="O1116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16" s="49" t="s">
        <v>25</v>
      </c>
      <c r="Q1116" s="49" t="s">
        <v>1880</v>
      </c>
      <c r="S1116" s="59"/>
    </row>
    <row r="1117" spans="1:21" s="49" customFormat="1" ht="18.75" hidden="1" customHeight="1">
      <c r="A1117" s="49" t="s">
        <v>453</v>
      </c>
      <c r="B1117" s="56"/>
      <c r="C1117" s="57"/>
      <c r="D1117" s="48">
        <v>46128</v>
      </c>
      <c r="E1117" s="50" t="s">
        <v>1881</v>
      </c>
      <c r="F1117" s="48"/>
      <c r="G1117" s="48"/>
      <c r="H1117" s="49" t="s">
        <v>86</v>
      </c>
      <c r="I1117" s="51">
        <v>640.29</v>
      </c>
      <c r="J1117" s="51" t="s">
        <v>55</v>
      </c>
      <c r="K1117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17" s="52"/>
      <c r="M1117" s="58"/>
      <c r="N1117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640.29</v>
      </c>
      <c r="O1117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17" s="49" t="s">
        <v>25</v>
      </c>
      <c r="Q1117" s="49" t="s">
        <v>1882</v>
      </c>
      <c r="S1117" s="59"/>
    </row>
    <row r="1118" spans="1:21" s="49" customFormat="1" ht="18.75" hidden="1" customHeight="1">
      <c r="B1118" s="56"/>
      <c r="C1118" s="57"/>
      <c r="D1118" s="48">
        <v>46112</v>
      </c>
      <c r="E1118" s="50">
        <v>5534837676</v>
      </c>
      <c r="F1118" s="48"/>
      <c r="G1118" s="48"/>
      <c r="H1118" s="49" t="s">
        <v>1657</v>
      </c>
      <c r="I1118" s="51">
        <v>6055.3</v>
      </c>
      <c r="J1118" s="51" t="s">
        <v>43</v>
      </c>
      <c r="K1118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18" s="52"/>
      <c r="M1118" s="58"/>
      <c r="N1118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6055.3</v>
      </c>
      <c r="O1118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46112</v>
      </c>
      <c r="P1118" s="49" t="s">
        <v>25</v>
      </c>
      <c r="Q1118" s="49" t="s">
        <v>1883</v>
      </c>
      <c r="S1118" s="59"/>
    </row>
    <row r="1119" spans="1:21" s="49" customFormat="1" ht="18.75" hidden="1" customHeight="1">
      <c r="B1119" s="56"/>
      <c r="C1119" s="57"/>
      <c r="D1119" s="48">
        <v>46050</v>
      </c>
      <c r="E1119" s="50" t="s">
        <v>1884</v>
      </c>
      <c r="F1119" s="48"/>
      <c r="G1119" s="48"/>
      <c r="H1119" s="49" t="s">
        <v>419</v>
      </c>
      <c r="I1119" s="51">
        <v>298.82</v>
      </c>
      <c r="J1119" s="51" t="s">
        <v>98</v>
      </c>
      <c r="K1119" s="58" t="str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/>
      </c>
      <c r="L1119" s="52"/>
      <c r="M1119" s="58"/>
      <c r="N1119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298.82</v>
      </c>
      <c r="O1119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19" s="49" t="s">
        <v>25</v>
      </c>
      <c r="Q1119" s="49" t="s">
        <v>1885</v>
      </c>
      <c r="S1119" s="59"/>
    </row>
    <row r="1120" spans="1:21" s="49" customFormat="1" ht="18.75" hidden="1" customHeight="1">
      <c r="B1120" s="56"/>
      <c r="C1120" s="57"/>
      <c r="D1120" s="48">
        <v>46056</v>
      </c>
      <c r="E1120" s="50" t="s">
        <v>1886</v>
      </c>
      <c r="F1120" s="48"/>
      <c r="G1120" s="48"/>
      <c r="H1120" s="49" t="s">
        <v>419</v>
      </c>
      <c r="I1120" s="51">
        <v>11.47</v>
      </c>
      <c r="J1120" s="51" t="s">
        <v>98</v>
      </c>
      <c r="K1120" s="58" t="str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/>
      </c>
      <c r="L1120" s="52"/>
      <c r="M1120" s="58"/>
      <c r="N1120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11.47</v>
      </c>
      <c r="O1120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20" s="49" t="s">
        <v>25</v>
      </c>
      <c r="Q1120" s="49" t="s">
        <v>1887</v>
      </c>
      <c r="S1120" s="59"/>
    </row>
    <row r="1121" spans="2:21" s="49" customFormat="1" ht="18.75" hidden="1" customHeight="1">
      <c r="B1121" s="56"/>
      <c r="C1121" s="57"/>
      <c r="D1121" s="48">
        <v>46067</v>
      </c>
      <c r="E1121" s="50" t="s">
        <v>1888</v>
      </c>
      <c r="F1121" s="48"/>
      <c r="G1121" s="48"/>
      <c r="H1121" s="49" t="s">
        <v>419</v>
      </c>
      <c r="I1121" s="51">
        <v>35.14</v>
      </c>
      <c r="J1121" s="51" t="s">
        <v>98</v>
      </c>
      <c r="K1121" s="58" t="str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/>
      </c>
      <c r="L1121" s="52"/>
      <c r="M1121" s="58"/>
      <c r="N1121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35.14</v>
      </c>
      <c r="O1121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21" s="49" t="s">
        <v>25</v>
      </c>
      <c r="Q1121" s="49" t="s">
        <v>1889</v>
      </c>
      <c r="S1121" s="59"/>
    </row>
    <row r="1122" spans="2:21" s="49" customFormat="1" ht="18.75" hidden="1" customHeight="1">
      <c r="B1122" s="56"/>
      <c r="C1122" s="57"/>
      <c r="D1122" s="48">
        <v>46109</v>
      </c>
      <c r="E1122" s="50" t="s">
        <v>1890</v>
      </c>
      <c r="F1122" s="48"/>
      <c r="G1122" s="48"/>
      <c r="H1122" s="49" t="s">
        <v>419</v>
      </c>
      <c r="I1122" s="51">
        <v>362.85</v>
      </c>
      <c r="J1122" s="51" t="s">
        <v>98</v>
      </c>
      <c r="K1122" s="58" t="str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/>
      </c>
      <c r="L1122" s="52"/>
      <c r="M1122" s="58"/>
      <c r="N1122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362.85</v>
      </c>
      <c r="O1122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22" s="49" t="s">
        <v>25</v>
      </c>
      <c r="Q1122" s="49" t="s">
        <v>1891</v>
      </c>
      <c r="S1122" s="59"/>
    </row>
    <row r="1123" spans="2:21" s="49" customFormat="1" ht="18.75" hidden="1" customHeight="1">
      <c r="B1123" s="56"/>
      <c r="C1123" s="57"/>
      <c r="D1123" s="48">
        <v>46122</v>
      </c>
      <c r="E1123" s="50" t="s">
        <v>1892</v>
      </c>
      <c r="F1123" s="48"/>
      <c r="G1123" s="48"/>
      <c r="H1123" s="49" t="s">
        <v>419</v>
      </c>
      <c r="I1123" s="51">
        <v>4.13</v>
      </c>
      <c r="J1123" s="51" t="s">
        <v>98</v>
      </c>
      <c r="K1123" s="58" t="str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/>
      </c>
      <c r="L1123" s="52"/>
      <c r="M1123" s="58"/>
      <c r="N1123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4.13</v>
      </c>
      <c r="O1123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23" s="49" t="s">
        <v>25</v>
      </c>
      <c r="Q1123" s="49" t="s">
        <v>1893</v>
      </c>
      <c r="S1123" s="59"/>
    </row>
    <row r="1124" spans="2:21" s="49" customFormat="1" ht="18.75" hidden="1" customHeight="1">
      <c r="B1124" s="56"/>
      <c r="C1124" s="57"/>
      <c r="D1124" s="48">
        <v>46126</v>
      </c>
      <c r="E1124" s="50" t="s">
        <v>1894</v>
      </c>
      <c r="F1124" s="48"/>
      <c r="G1124" s="48"/>
      <c r="H1124" s="49" t="s">
        <v>419</v>
      </c>
      <c r="I1124" s="51">
        <v>35.14</v>
      </c>
      <c r="J1124" s="51" t="s">
        <v>98</v>
      </c>
      <c r="K1124" s="58" t="str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/>
      </c>
      <c r="L1124" s="52"/>
      <c r="M1124" s="58"/>
      <c r="N1124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35.14</v>
      </c>
      <c r="O1124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24" s="49" t="s">
        <v>25</v>
      </c>
      <c r="Q1124" s="49" t="s">
        <v>1895</v>
      </c>
      <c r="S1124" s="59"/>
    </row>
    <row r="1125" spans="2:21" s="49" customFormat="1" ht="18.75" hidden="1" customHeight="1">
      <c r="B1125" s="56"/>
      <c r="C1125" s="57"/>
      <c r="D1125" s="48">
        <v>46132</v>
      </c>
      <c r="E1125" s="50" t="s">
        <v>1896</v>
      </c>
      <c r="F1125" s="48"/>
      <c r="G1125" s="48"/>
      <c r="H1125" s="49" t="s">
        <v>108</v>
      </c>
      <c r="I1125" s="58">
        <v>3594.24</v>
      </c>
      <c r="J1125" s="51" t="s">
        <v>30</v>
      </c>
      <c r="K1125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25" s="52"/>
      <c r="M1125" s="58"/>
      <c r="N1125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3594.24</v>
      </c>
      <c r="O1125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46192</v>
      </c>
      <c r="P1125" s="49" t="s">
        <v>25</v>
      </c>
      <c r="Q1125" s="49" t="s">
        <v>1114</v>
      </c>
      <c r="R1125" s="48">
        <v>46191</v>
      </c>
      <c r="S1125" s="59" t="s">
        <v>27</v>
      </c>
      <c r="U1125" s="49" t="s">
        <v>32</v>
      </c>
    </row>
    <row r="1126" spans="2:21" s="49" customFormat="1" ht="18.75" hidden="1" customHeight="1">
      <c r="B1126" s="56"/>
      <c r="C1126" s="57"/>
      <c r="D1126" s="48">
        <v>46132</v>
      </c>
      <c r="E1126" s="50" t="s">
        <v>1897</v>
      </c>
      <c r="F1126" s="48"/>
      <c r="G1126" s="48"/>
      <c r="H1126" s="49" t="s">
        <v>108</v>
      </c>
      <c r="I1126" s="51">
        <v>4509.0600000000004</v>
      </c>
      <c r="J1126" s="51" t="s">
        <v>30</v>
      </c>
      <c r="K1126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26" s="52"/>
      <c r="M1126" s="58"/>
      <c r="N1126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4509.0600000000004</v>
      </c>
      <c r="O1126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46192</v>
      </c>
      <c r="P1126" s="49" t="s">
        <v>25</v>
      </c>
      <c r="Q1126" s="49" t="s">
        <v>705</v>
      </c>
      <c r="R1126" s="48">
        <v>46191</v>
      </c>
      <c r="S1126" s="59" t="s">
        <v>27</v>
      </c>
      <c r="U1126" s="49" t="s">
        <v>32</v>
      </c>
    </row>
    <row r="1127" spans="2:21" s="49" customFormat="1" ht="18.75" hidden="1" customHeight="1">
      <c r="B1127" s="56"/>
      <c r="C1127" s="57"/>
      <c r="D1127" s="48">
        <v>46132</v>
      </c>
      <c r="E1127" s="50" t="s">
        <v>1898</v>
      </c>
      <c r="F1127" s="48"/>
      <c r="G1127" s="48"/>
      <c r="H1127" s="49" t="s">
        <v>108</v>
      </c>
      <c r="I1127" s="51">
        <v>3524.76</v>
      </c>
      <c r="J1127" s="51" t="s">
        <v>30</v>
      </c>
      <c r="K1127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27" s="52"/>
      <c r="M1127" s="58"/>
      <c r="N1127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3524.76</v>
      </c>
      <c r="O1127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46192</v>
      </c>
      <c r="P1127" s="49" t="s">
        <v>25</v>
      </c>
      <c r="Q1127" s="49" t="s">
        <v>899</v>
      </c>
      <c r="R1127" s="48">
        <v>46191</v>
      </c>
      <c r="S1127" s="59" t="s">
        <v>27</v>
      </c>
      <c r="U1127" s="49" t="s">
        <v>32</v>
      </c>
    </row>
    <row r="1128" spans="2:21" s="49" customFormat="1" ht="18.75" hidden="1" customHeight="1">
      <c r="B1128" s="56"/>
      <c r="C1128" s="57"/>
      <c r="D1128" s="48">
        <v>46132</v>
      </c>
      <c r="E1128" s="50" t="s">
        <v>1899</v>
      </c>
      <c r="F1128" s="48"/>
      <c r="G1128" s="48"/>
      <c r="H1128" s="49" t="s">
        <v>108</v>
      </c>
      <c r="I1128" s="51">
        <v>25144.62</v>
      </c>
      <c r="J1128" s="51" t="s">
        <v>30</v>
      </c>
      <c r="K1128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28" s="52"/>
      <c r="M1128" s="58"/>
      <c r="N1128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25144.62</v>
      </c>
      <c r="O1128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46192</v>
      </c>
      <c r="P1128" s="49" t="s">
        <v>25</v>
      </c>
      <c r="Q1128" s="49" t="s">
        <v>477</v>
      </c>
      <c r="R1128" s="48">
        <v>46191</v>
      </c>
      <c r="S1128" s="59" t="s">
        <v>27</v>
      </c>
      <c r="U1128" s="49" t="s">
        <v>32</v>
      </c>
    </row>
    <row r="1129" spans="2:21" s="49" customFormat="1" ht="18.75" hidden="1" customHeight="1">
      <c r="B1129" s="56"/>
      <c r="C1129" s="57"/>
      <c r="D1129" s="48">
        <v>46132</v>
      </c>
      <c r="E1129" s="50" t="s">
        <v>1900</v>
      </c>
      <c r="F1129" s="48"/>
      <c r="G1129" s="48"/>
      <c r="H1129" s="49" t="s">
        <v>108</v>
      </c>
      <c r="I1129" s="51">
        <v>16802.580000000002</v>
      </c>
      <c r="J1129" s="51" t="s">
        <v>30</v>
      </c>
      <c r="K1129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29" s="52"/>
      <c r="M1129" s="58"/>
      <c r="N1129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16802.580000000002</v>
      </c>
      <c r="O1129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46192</v>
      </c>
      <c r="P1129" s="49" t="s">
        <v>25</v>
      </c>
      <c r="Q1129" s="49" t="s">
        <v>292</v>
      </c>
      <c r="R1129" s="48">
        <v>46191</v>
      </c>
      <c r="S1129" s="59" t="s">
        <v>27</v>
      </c>
      <c r="U1129" s="49" t="s">
        <v>32</v>
      </c>
    </row>
    <row r="1130" spans="2:21" s="49" customFormat="1" ht="18.75" hidden="1" customHeight="1">
      <c r="B1130" s="56"/>
      <c r="C1130" s="57"/>
      <c r="D1130" s="48">
        <v>46147</v>
      </c>
      <c r="E1130" s="50" t="s">
        <v>1901</v>
      </c>
      <c r="F1130" s="48"/>
      <c r="G1130" s="48"/>
      <c r="H1130" s="49" t="s">
        <v>29</v>
      </c>
      <c r="I1130" s="51">
        <v>27399.8</v>
      </c>
      <c r="J1130" s="51" t="s">
        <v>30</v>
      </c>
      <c r="K1130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30" s="52"/>
      <c r="M1130" s="58"/>
      <c r="N1130" s="135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27399.8</v>
      </c>
      <c r="O1130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46207</v>
      </c>
      <c r="P1130" s="49" t="s">
        <v>25</v>
      </c>
      <c r="Q1130" s="49" t="s">
        <v>1728</v>
      </c>
      <c r="R1130" s="48">
        <v>46198</v>
      </c>
      <c r="S1130" s="59" t="s">
        <v>27</v>
      </c>
      <c r="U1130" s="49" t="s">
        <v>32</v>
      </c>
    </row>
    <row r="1131" spans="2:21" s="49" customFormat="1" ht="18.75" hidden="1" customHeight="1">
      <c r="B1131" s="56"/>
      <c r="C1131" s="57"/>
      <c r="D1131" s="48">
        <v>46128</v>
      </c>
      <c r="E1131" s="50" t="s">
        <v>1902</v>
      </c>
      <c r="F1131" s="48"/>
      <c r="G1131" s="48"/>
      <c r="H1131" s="49" t="s">
        <v>86</v>
      </c>
      <c r="I1131" s="51">
        <v>227.74</v>
      </c>
      <c r="J1131" s="51" t="s">
        <v>55</v>
      </c>
      <c r="K1131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31" s="52"/>
      <c r="M1131" s="58"/>
      <c r="N1131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227.74</v>
      </c>
      <c r="O1131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31" s="49" t="s">
        <v>25</v>
      </c>
      <c r="Q1131" s="49" t="s">
        <v>87</v>
      </c>
      <c r="S1131" s="59"/>
    </row>
    <row r="1132" spans="2:21" s="49" customFormat="1" ht="18.75" hidden="1" customHeight="1">
      <c r="B1132" s="56"/>
      <c r="C1132" s="57"/>
      <c r="D1132" s="48">
        <v>46128</v>
      </c>
      <c r="E1132" s="50" t="s">
        <v>1903</v>
      </c>
      <c r="F1132" s="48"/>
      <c r="G1132" s="48"/>
      <c r="H1132" s="49" t="s">
        <v>86</v>
      </c>
      <c r="I1132" s="51">
        <v>207.81</v>
      </c>
      <c r="J1132" s="51" t="s">
        <v>55</v>
      </c>
      <c r="K1132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32" s="52"/>
      <c r="M1132" s="58"/>
      <c r="N1132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207.81</v>
      </c>
      <c r="O1132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32" s="49" t="s">
        <v>25</v>
      </c>
      <c r="Q1132" s="49" t="s">
        <v>1904</v>
      </c>
      <c r="S1132" s="59"/>
    </row>
    <row r="1133" spans="2:21" s="49" customFormat="1" ht="18.75" hidden="1" customHeight="1">
      <c r="B1133" s="56"/>
      <c r="C1133" s="57"/>
      <c r="D1133" s="48">
        <v>46128</v>
      </c>
      <c r="E1133" s="50" t="s">
        <v>1905</v>
      </c>
      <c r="F1133" s="48"/>
      <c r="G1133" s="48"/>
      <c r="H1133" s="49" t="s">
        <v>86</v>
      </c>
      <c r="I1133" s="51">
        <v>533.84</v>
      </c>
      <c r="J1133" s="51" t="s">
        <v>55</v>
      </c>
      <c r="K1133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33" s="52"/>
      <c r="M1133" s="58"/>
      <c r="N1133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533.84</v>
      </c>
      <c r="O1133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33" s="49" t="s">
        <v>25</v>
      </c>
      <c r="Q1133" s="49" t="s">
        <v>1906</v>
      </c>
      <c r="S1133" s="59"/>
    </row>
    <row r="1134" spans="2:21" s="49" customFormat="1" ht="18.75" hidden="1" customHeight="1">
      <c r="B1134" s="56"/>
      <c r="C1134" s="57"/>
      <c r="D1134" s="48">
        <v>46129</v>
      </c>
      <c r="E1134" s="50">
        <v>660</v>
      </c>
      <c r="F1134" s="48"/>
      <c r="G1134" s="48"/>
      <c r="H1134" s="49" t="s">
        <v>1907</v>
      </c>
      <c r="I1134" s="51">
        <v>145.19999999999999</v>
      </c>
      <c r="J1134" s="51" t="s">
        <v>43</v>
      </c>
      <c r="K1134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34" s="52"/>
      <c r="M1134" s="58"/>
      <c r="N1134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145.19999999999999</v>
      </c>
      <c r="O1134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46129</v>
      </c>
      <c r="P1134" s="49" t="s">
        <v>25</v>
      </c>
      <c r="Q1134" s="49" t="s">
        <v>1908</v>
      </c>
      <c r="S1134" s="59"/>
    </row>
    <row r="1135" spans="2:21" s="63" customFormat="1" ht="18.75" hidden="1" customHeight="1">
      <c r="B1135" s="56"/>
      <c r="C1135" s="57"/>
      <c r="D1135" s="48">
        <v>46148</v>
      </c>
      <c r="E1135" s="50" t="s">
        <v>1909</v>
      </c>
      <c r="F1135" s="48"/>
      <c r="G1135" s="48"/>
      <c r="H1135" s="49" t="s">
        <v>29</v>
      </c>
      <c r="I1135" s="51">
        <v>30483.85</v>
      </c>
      <c r="J1135" s="51" t="s">
        <v>30</v>
      </c>
      <c r="K1135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35" s="52"/>
      <c r="M1135" s="58"/>
      <c r="N1135" s="135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30483.85</v>
      </c>
      <c r="O1135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46208</v>
      </c>
      <c r="P1135" s="49" t="s">
        <v>25</v>
      </c>
      <c r="Q1135" s="49" t="s">
        <v>220</v>
      </c>
      <c r="R1135" s="48">
        <v>46198</v>
      </c>
      <c r="S1135" s="59" t="s">
        <v>27</v>
      </c>
      <c r="T1135" s="49"/>
      <c r="U1135" s="49" t="s">
        <v>32</v>
      </c>
    </row>
    <row r="1136" spans="2:21" s="63" customFormat="1" ht="18.75" hidden="1" customHeight="1">
      <c r="B1136" s="56"/>
      <c r="C1136" s="57"/>
      <c r="D1136" s="48">
        <v>46149</v>
      </c>
      <c r="E1136" s="50" t="s">
        <v>1910</v>
      </c>
      <c r="F1136" s="48"/>
      <c r="G1136" s="48"/>
      <c r="H1136" s="49" t="s">
        <v>29</v>
      </c>
      <c r="I1136" s="51">
        <v>9580</v>
      </c>
      <c r="J1136" s="51" t="s">
        <v>30</v>
      </c>
      <c r="K1136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36" s="52"/>
      <c r="M1136" s="58"/>
      <c r="N1136" s="135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9580</v>
      </c>
      <c r="O1136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46209</v>
      </c>
      <c r="P1136" s="49" t="s">
        <v>25</v>
      </c>
      <c r="Q1136" s="49" t="s">
        <v>112</v>
      </c>
      <c r="R1136" s="48">
        <v>46198</v>
      </c>
      <c r="S1136" s="59" t="s">
        <v>27</v>
      </c>
      <c r="T1136" s="49"/>
      <c r="U1136" s="49" t="s">
        <v>32</v>
      </c>
    </row>
    <row r="1137" spans="1:21" s="49" customFormat="1" ht="18.75" hidden="1" customHeight="1">
      <c r="B1137" s="56"/>
      <c r="C1137" s="57"/>
      <c r="D1137" s="48">
        <v>46150</v>
      </c>
      <c r="E1137" s="50" t="s">
        <v>1911</v>
      </c>
      <c r="F1137" s="48"/>
      <c r="G1137" s="48"/>
      <c r="H1137" s="49" t="s">
        <v>29</v>
      </c>
      <c r="I1137" s="51">
        <v>21623.72</v>
      </c>
      <c r="J1137" s="51" t="s">
        <v>30</v>
      </c>
      <c r="K1137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37" s="52"/>
      <c r="M1137" s="58"/>
      <c r="N1137" s="135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21623.72</v>
      </c>
      <c r="O1137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46210</v>
      </c>
      <c r="P1137" s="49" t="s">
        <v>25</v>
      </c>
      <c r="Q1137" s="49" t="s">
        <v>112</v>
      </c>
      <c r="R1137" s="48">
        <v>46198</v>
      </c>
      <c r="S1137" s="59" t="s">
        <v>27</v>
      </c>
      <c r="U1137" s="49" t="s">
        <v>32</v>
      </c>
    </row>
    <row r="1138" spans="1:21" s="49" customFormat="1" ht="18.75" hidden="1" customHeight="1">
      <c r="B1138" s="56"/>
      <c r="C1138" s="57"/>
      <c r="D1138" s="48">
        <v>46150</v>
      </c>
      <c r="E1138" s="50" t="s">
        <v>1912</v>
      </c>
      <c r="F1138" s="48"/>
      <c r="G1138" s="48"/>
      <c r="H1138" s="49" t="s">
        <v>29</v>
      </c>
      <c r="I1138" s="51">
        <v>33619.9</v>
      </c>
      <c r="J1138" s="51" t="s">
        <v>30</v>
      </c>
      <c r="K1138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38" s="52"/>
      <c r="M1138" s="58"/>
      <c r="N1138" s="135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33619.9</v>
      </c>
      <c r="O1138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46210</v>
      </c>
      <c r="P1138" s="49" t="s">
        <v>25</v>
      </c>
      <c r="Q1138" s="49" t="s">
        <v>36</v>
      </c>
      <c r="R1138" s="48">
        <v>46198</v>
      </c>
      <c r="S1138" s="59" t="s">
        <v>27</v>
      </c>
      <c r="U1138" s="49" t="s">
        <v>32</v>
      </c>
    </row>
    <row r="1139" spans="1:21" s="49" customFormat="1" ht="18.75" hidden="1" customHeight="1">
      <c r="B1139" s="56"/>
      <c r="C1139" s="57"/>
      <c r="D1139" s="48">
        <v>46150</v>
      </c>
      <c r="E1139" s="50" t="s">
        <v>1913</v>
      </c>
      <c r="F1139" s="48"/>
      <c r="G1139" s="48"/>
      <c r="H1139" s="49" t="s">
        <v>29</v>
      </c>
      <c r="I1139" s="51">
        <v>8485.18</v>
      </c>
      <c r="J1139" s="51" t="s">
        <v>30</v>
      </c>
      <c r="K1139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39" s="52"/>
      <c r="M1139" s="58"/>
      <c r="N1139" s="135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8485.18</v>
      </c>
      <c r="O1139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46210</v>
      </c>
      <c r="P1139" s="49" t="s">
        <v>25</v>
      </c>
      <c r="Q1139" s="49" t="s">
        <v>36</v>
      </c>
      <c r="R1139" s="48">
        <v>46198</v>
      </c>
      <c r="S1139" s="59" t="s">
        <v>27</v>
      </c>
      <c r="U1139" s="49" t="s">
        <v>32</v>
      </c>
    </row>
    <row r="1140" spans="1:21" s="49" customFormat="1" ht="18.75" hidden="1" customHeight="1">
      <c r="B1140" s="83"/>
      <c r="C1140" s="77"/>
      <c r="D1140" s="76">
        <v>46189</v>
      </c>
      <c r="E1140" s="78" t="s">
        <v>1914</v>
      </c>
      <c r="F1140" s="76"/>
      <c r="G1140" s="76"/>
      <c r="H1140" s="63" t="s">
        <v>634</v>
      </c>
      <c r="I1140" s="79">
        <v>589.04</v>
      </c>
      <c r="J1140" s="79" t="s">
        <v>43</v>
      </c>
      <c r="K1140" s="79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40" s="80"/>
      <c r="M1140" s="81"/>
      <c r="N1140" s="237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589.04</v>
      </c>
      <c r="O1140" s="8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46189</v>
      </c>
      <c r="P1140" s="49" t="s">
        <v>25</v>
      </c>
      <c r="Q1140" s="63" t="s">
        <v>1915</v>
      </c>
      <c r="R1140" s="76">
        <v>46198</v>
      </c>
      <c r="S1140" s="82" t="s">
        <v>27</v>
      </c>
      <c r="T1140" s="63"/>
      <c r="U1140" s="63"/>
    </row>
    <row r="1141" spans="1:21" s="49" customFormat="1" ht="18.75" hidden="1" customHeight="1">
      <c r="B1141" s="83"/>
      <c r="C1141" s="77"/>
      <c r="D1141" s="76">
        <v>46192</v>
      </c>
      <c r="E1141" s="78" t="s">
        <v>1916</v>
      </c>
      <c r="F1141" s="76"/>
      <c r="G1141" s="76"/>
      <c r="H1141" s="63" t="s">
        <v>634</v>
      </c>
      <c r="I1141" s="79">
        <v>-100</v>
      </c>
      <c r="J1141" s="79" t="s">
        <v>43</v>
      </c>
      <c r="K1141" s="79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41" s="80"/>
      <c r="M1141" s="81"/>
      <c r="N1141" s="237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-100</v>
      </c>
      <c r="O1141" s="8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46192</v>
      </c>
      <c r="P1141" s="49" t="s">
        <v>25</v>
      </c>
      <c r="Q1141" s="63" t="s">
        <v>1917</v>
      </c>
      <c r="R1141" s="76">
        <v>46198</v>
      </c>
      <c r="S1141" s="82" t="s">
        <v>27</v>
      </c>
      <c r="T1141" s="63"/>
      <c r="U1141" s="63"/>
    </row>
    <row r="1142" spans="1:21" s="49" customFormat="1" ht="18.75" hidden="1" customHeight="1">
      <c r="B1142" s="56"/>
      <c r="C1142" s="57"/>
      <c r="D1142" s="48">
        <v>46189</v>
      </c>
      <c r="E1142" s="50" t="s">
        <v>1918</v>
      </c>
      <c r="F1142" s="48"/>
      <c r="G1142" s="48"/>
      <c r="H1142" s="49" t="s">
        <v>1919</v>
      </c>
      <c r="I1142" s="51">
        <v>5900</v>
      </c>
      <c r="J1142" s="51" t="s">
        <v>43</v>
      </c>
      <c r="K114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42" s="52"/>
      <c r="M1142" s="58"/>
      <c r="N1142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5900</v>
      </c>
      <c r="O1142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46189</v>
      </c>
      <c r="P1142" s="49" t="s">
        <v>25</v>
      </c>
      <c r="Q1142" s="49" t="s">
        <v>344</v>
      </c>
      <c r="R1142" s="48">
        <v>46198</v>
      </c>
      <c r="S1142" s="59"/>
    </row>
    <row r="1143" spans="1:21" s="49" customFormat="1" ht="18.75" hidden="1" customHeight="1">
      <c r="B1143" s="56"/>
      <c r="C1143" s="57"/>
      <c r="D1143" s="48">
        <v>46132</v>
      </c>
      <c r="E1143" s="50" t="s">
        <v>1920</v>
      </c>
      <c r="F1143" s="48"/>
      <c r="G1143" s="48"/>
      <c r="H1143" s="49" t="s">
        <v>86</v>
      </c>
      <c r="I1143" s="51">
        <v>398.13</v>
      </c>
      <c r="J1143" s="51" t="s">
        <v>55</v>
      </c>
      <c r="K114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43" s="52"/>
      <c r="M1143" s="58"/>
      <c r="N114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398.13</v>
      </c>
      <c r="O1143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43" s="49" t="s">
        <v>25</v>
      </c>
      <c r="Q1143" s="49" t="s">
        <v>87</v>
      </c>
      <c r="S1143" s="59"/>
    </row>
    <row r="1144" spans="1:21" s="49" customFormat="1" ht="18.75" hidden="1" customHeight="1">
      <c r="B1144" s="56"/>
      <c r="C1144" s="57"/>
      <c r="D1144" s="48">
        <v>46209</v>
      </c>
      <c r="E1144" s="50" t="s">
        <v>1921</v>
      </c>
      <c r="F1144" s="48"/>
      <c r="G1144" s="48"/>
      <c r="H1144" s="49" t="s">
        <v>265</v>
      </c>
      <c r="I1144" s="51">
        <v>900</v>
      </c>
      <c r="J1144" s="51" t="s">
        <v>55</v>
      </c>
      <c r="K1144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44" s="52"/>
      <c r="M1144" s="58"/>
      <c r="N1144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900</v>
      </c>
      <c r="O1144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44" s="49" t="s">
        <v>25</v>
      </c>
      <c r="Q1144" s="49" t="s">
        <v>1922</v>
      </c>
      <c r="R1144" s="48">
        <v>46198</v>
      </c>
      <c r="S1144" s="59" t="s">
        <v>183</v>
      </c>
    </row>
    <row r="1145" spans="1:21" s="49" customFormat="1" ht="18.75" hidden="1" customHeight="1">
      <c r="B1145" s="56"/>
      <c r="C1145" s="142"/>
      <c r="D1145" s="76">
        <v>46192</v>
      </c>
      <c r="E1145" s="50" t="s">
        <v>1923</v>
      </c>
      <c r="F1145" s="76"/>
      <c r="G1145" s="76"/>
      <c r="H1145" s="49" t="s">
        <v>569</v>
      </c>
      <c r="I1145" s="79">
        <v>83</v>
      </c>
      <c r="J1145" s="51" t="s">
        <v>43</v>
      </c>
      <c r="K1145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45" s="52"/>
      <c r="M1145" s="58"/>
      <c r="N1145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83</v>
      </c>
      <c r="O1145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46192</v>
      </c>
      <c r="P1145" s="49" t="s">
        <v>25</v>
      </c>
      <c r="Q1145" s="49" t="s">
        <v>1924</v>
      </c>
      <c r="R1145" s="76">
        <v>46198</v>
      </c>
      <c r="S1145" s="82" t="s">
        <v>27</v>
      </c>
      <c r="T1145" s="63"/>
    </row>
    <row r="1146" spans="1:21" s="49" customFormat="1" ht="18.75" hidden="1" customHeight="1">
      <c r="B1146" s="56"/>
      <c r="C1146" s="57"/>
      <c r="D1146" s="48">
        <v>46130</v>
      </c>
      <c r="E1146" s="50" t="s">
        <v>1925</v>
      </c>
      <c r="F1146" s="48"/>
      <c r="G1146" s="48"/>
      <c r="H1146" s="49" t="s">
        <v>1118</v>
      </c>
      <c r="I1146" s="51">
        <v>663.06</v>
      </c>
      <c r="J1146" s="51" t="s">
        <v>43</v>
      </c>
      <c r="K114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46" s="52"/>
      <c r="M1146" s="58"/>
      <c r="N114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663.06</v>
      </c>
      <c r="O114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46130</v>
      </c>
      <c r="P1146" s="49" t="s">
        <v>25</v>
      </c>
      <c r="Q1146" s="49" t="s">
        <v>1926</v>
      </c>
      <c r="S1146" s="59"/>
    </row>
    <row r="1147" spans="1:21" s="49" customFormat="1" ht="18.75" hidden="1" customHeight="1">
      <c r="B1147" s="56"/>
      <c r="C1147" s="57"/>
      <c r="D1147" s="48">
        <v>46130</v>
      </c>
      <c r="E1147" s="50" t="s">
        <v>1927</v>
      </c>
      <c r="F1147" s="48"/>
      <c r="G1147" s="48"/>
      <c r="H1147" s="49" t="s">
        <v>1118</v>
      </c>
      <c r="I1147" s="51">
        <v>225.5</v>
      </c>
      <c r="J1147" s="51" t="s">
        <v>43</v>
      </c>
      <c r="K114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47" s="52"/>
      <c r="M1147" s="58"/>
      <c r="N114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225.5</v>
      </c>
      <c r="O114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46130</v>
      </c>
      <c r="P1147" s="49" t="s">
        <v>25</v>
      </c>
      <c r="Q1147" s="49" t="s">
        <v>1928</v>
      </c>
      <c r="S1147" s="59"/>
    </row>
    <row r="1148" spans="1:21" s="49" customFormat="1" ht="18.75" hidden="1" customHeight="1">
      <c r="B1148" s="56"/>
      <c r="C1148" s="57"/>
      <c r="D1148" s="48">
        <v>46130</v>
      </c>
      <c r="E1148" s="50" t="s">
        <v>1929</v>
      </c>
      <c r="F1148" s="48"/>
      <c r="G1148" s="48"/>
      <c r="H1148" s="49" t="s">
        <v>1118</v>
      </c>
      <c r="I1148" s="51">
        <v>804.42</v>
      </c>
      <c r="J1148" s="51" t="s">
        <v>43</v>
      </c>
      <c r="K114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48" s="52"/>
      <c r="M1148" s="58"/>
      <c r="N114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804.42</v>
      </c>
      <c r="O114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46130</v>
      </c>
      <c r="P1148" s="49" t="s">
        <v>25</v>
      </c>
      <c r="Q1148" s="49" t="s">
        <v>1930</v>
      </c>
      <c r="S1148" s="59"/>
    </row>
    <row r="1149" spans="1:21" s="49" customFormat="1" ht="18.75" hidden="1" customHeight="1">
      <c r="B1149" s="56"/>
      <c r="C1149" s="57"/>
      <c r="D1149" s="48">
        <v>46130</v>
      </c>
      <c r="E1149" s="50" t="s">
        <v>1931</v>
      </c>
      <c r="F1149" s="48"/>
      <c r="G1149" s="48"/>
      <c r="H1149" s="49" t="s">
        <v>1118</v>
      </c>
      <c r="I1149" s="51">
        <v>91.2</v>
      </c>
      <c r="J1149" s="51" t="s">
        <v>43</v>
      </c>
      <c r="K114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49" s="52"/>
      <c r="M1149" s="58"/>
      <c r="N114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91.2</v>
      </c>
      <c r="O114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46130</v>
      </c>
      <c r="P1149" s="49" t="s">
        <v>25</v>
      </c>
      <c r="Q1149" s="49" t="s">
        <v>1932</v>
      </c>
      <c r="S1149" s="59"/>
    </row>
    <row r="1150" spans="1:21" s="49" customFormat="1" ht="18.75" hidden="1" customHeight="1">
      <c r="A1150" s="49" t="s">
        <v>453</v>
      </c>
      <c r="B1150" s="56"/>
      <c r="C1150" s="57"/>
      <c r="D1150" s="48">
        <v>46139</v>
      </c>
      <c r="E1150" s="50" t="s">
        <v>1933</v>
      </c>
      <c r="F1150" s="48"/>
      <c r="G1150" s="48"/>
      <c r="H1150" s="49" t="s">
        <v>108</v>
      </c>
      <c r="I1150" s="51">
        <v>4868.04</v>
      </c>
      <c r="J1150" s="51" t="s">
        <v>30</v>
      </c>
      <c r="K1150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50" s="52"/>
      <c r="M1150" s="58"/>
      <c r="N1150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4868.04</v>
      </c>
      <c r="O1150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46199</v>
      </c>
      <c r="P1150" s="49" t="s">
        <v>25</v>
      </c>
      <c r="Q1150" s="49" t="s">
        <v>711</v>
      </c>
      <c r="R1150" s="48">
        <v>46198</v>
      </c>
      <c r="S1150" s="59" t="s">
        <v>27</v>
      </c>
      <c r="U1150" s="49" t="s">
        <v>32</v>
      </c>
    </row>
    <row r="1151" spans="1:21" ht="18.75" hidden="1" customHeight="1">
      <c r="B1151" s="56"/>
      <c r="C1151" s="57"/>
      <c r="D1151" s="48">
        <v>46139</v>
      </c>
      <c r="E1151" s="50" t="s">
        <v>1934</v>
      </c>
      <c r="F1151" s="48"/>
      <c r="G1151" s="48"/>
      <c r="H1151" s="49" t="s">
        <v>108</v>
      </c>
      <c r="I1151" s="51">
        <v>942.42</v>
      </c>
      <c r="J1151" s="51" t="s">
        <v>30</v>
      </c>
      <c r="K1151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51" s="52"/>
      <c r="M1151" s="58"/>
      <c r="N1151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942.42</v>
      </c>
      <c r="O1151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46199</v>
      </c>
      <c r="P1151" s="49" t="s">
        <v>25</v>
      </c>
      <c r="Q1151" s="49" t="s">
        <v>537</v>
      </c>
      <c r="R1151" s="48">
        <v>46198</v>
      </c>
      <c r="S1151" s="59" t="s">
        <v>27</v>
      </c>
      <c r="T1151" s="49"/>
      <c r="U1151" s="49" t="s">
        <v>32</v>
      </c>
    </row>
    <row r="1152" spans="1:21" ht="18.75" hidden="1" customHeight="1">
      <c r="B1152" s="56"/>
      <c r="C1152" s="57"/>
      <c r="D1152" s="48">
        <v>46121</v>
      </c>
      <c r="E1152" s="50" t="s">
        <v>1935</v>
      </c>
      <c r="F1152" s="48"/>
      <c r="G1152" s="48"/>
      <c r="H1152" s="49" t="s">
        <v>54</v>
      </c>
      <c r="I1152" s="51">
        <v>1140.25</v>
      </c>
      <c r="J1152" s="51" t="s">
        <v>55</v>
      </c>
      <c r="K115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52" s="52"/>
      <c r="M1152" s="58"/>
      <c r="N115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1140.25</v>
      </c>
      <c r="O1152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52" s="49" t="s">
        <v>25</v>
      </c>
      <c r="Q1152" s="49" t="s">
        <v>1936</v>
      </c>
      <c r="R1152" s="49"/>
      <c r="S1152" s="59"/>
      <c r="T1152" s="49"/>
      <c r="U1152" s="49" t="s">
        <v>32</v>
      </c>
    </row>
    <row r="1153" spans="2:21" s="49" customFormat="1" ht="18.75" hidden="1" customHeight="1">
      <c r="B1153" s="56"/>
      <c r="C1153" s="57"/>
      <c r="D1153" s="48">
        <v>46127</v>
      </c>
      <c r="E1153" s="50" t="s">
        <v>1937</v>
      </c>
      <c r="F1153" s="48"/>
      <c r="G1153" s="48"/>
      <c r="H1153" s="49" t="s">
        <v>54</v>
      </c>
      <c r="I1153" s="51">
        <v>347.09</v>
      </c>
      <c r="J1153" s="51" t="s">
        <v>55</v>
      </c>
      <c r="K115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53" s="52"/>
      <c r="M1153" s="58"/>
      <c r="N115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347.09</v>
      </c>
      <c r="O1153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53" s="49" t="s">
        <v>25</v>
      </c>
      <c r="Q1153" s="59" t="s">
        <v>1938</v>
      </c>
      <c r="S1153" s="59"/>
      <c r="U1153" s="49" t="s">
        <v>32</v>
      </c>
    </row>
    <row r="1154" spans="2:21" s="49" customFormat="1" ht="18.75" hidden="1" customHeight="1">
      <c r="B1154" s="56">
        <v>46155</v>
      </c>
      <c r="C1154" s="57" t="s">
        <v>1939</v>
      </c>
      <c r="D1154" s="48">
        <v>46160</v>
      </c>
      <c r="E1154" s="50" t="s">
        <v>1940</v>
      </c>
      <c r="F1154" s="48"/>
      <c r="G1154" s="48"/>
      <c r="H1154" s="49" t="s">
        <v>54</v>
      </c>
      <c r="I1154" s="51">
        <v>3624.9</v>
      </c>
      <c r="J1154" s="51" t="s">
        <v>55</v>
      </c>
      <c r="K115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54" s="52"/>
      <c r="M1154" s="58"/>
      <c r="N115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3624.9</v>
      </c>
      <c r="O1154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54" s="49" t="s">
        <v>25</v>
      </c>
      <c r="Q1154" s="49" t="s">
        <v>1941</v>
      </c>
      <c r="R1154" s="48">
        <v>46156</v>
      </c>
      <c r="S1154" s="59" t="s">
        <v>27</v>
      </c>
      <c r="T1154" s="49" t="s">
        <v>1942</v>
      </c>
      <c r="U1154" s="49" t="s">
        <v>32</v>
      </c>
    </row>
    <row r="1155" spans="2:21" s="49" customFormat="1" ht="18.75" hidden="1" customHeight="1">
      <c r="B1155" s="56">
        <v>46092</v>
      </c>
      <c r="C1155" s="57" t="s">
        <v>1943</v>
      </c>
      <c r="D1155" s="48">
        <v>46122</v>
      </c>
      <c r="E1155" s="50">
        <v>407</v>
      </c>
      <c r="F1155" s="48"/>
      <c r="G1155" s="48"/>
      <c r="H1155" s="49" t="s">
        <v>301</v>
      </c>
      <c r="I1155" s="51">
        <v>337.28</v>
      </c>
      <c r="J1155" s="51" t="s">
        <v>55</v>
      </c>
      <c r="K115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55" s="52"/>
      <c r="M1155" s="58"/>
      <c r="N115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337.28</v>
      </c>
      <c r="O1155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55" s="49" t="s">
        <v>25</v>
      </c>
      <c r="Q1155" s="49" t="s">
        <v>261</v>
      </c>
      <c r="R1155" s="48">
        <v>46121</v>
      </c>
      <c r="S1155" s="59" t="s">
        <v>45</v>
      </c>
      <c r="U1155" s="49" t="s">
        <v>32</v>
      </c>
    </row>
    <row r="1156" spans="2:21" s="49" customFormat="1" ht="18.75" hidden="1" customHeight="1">
      <c r="B1156" s="44"/>
      <c r="C1156" s="7"/>
      <c r="D1156" s="1">
        <v>46133</v>
      </c>
      <c r="E1156" s="34" t="s">
        <v>1944</v>
      </c>
      <c r="F1156" s="1"/>
      <c r="G1156" s="1"/>
      <c r="H1156" t="s">
        <v>1118</v>
      </c>
      <c r="I1156" s="2">
        <v>496.82</v>
      </c>
      <c r="J1156" s="2" t="s">
        <v>43</v>
      </c>
      <c r="K115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56" s="3"/>
      <c r="M1156" s="11"/>
      <c r="N115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496.82</v>
      </c>
      <c r="O115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46133</v>
      </c>
      <c r="P1156" t="s">
        <v>25</v>
      </c>
      <c r="Q1156"/>
      <c r="R1156"/>
      <c r="S1156" s="24"/>
      <c r="T1156"/>
    </row>
    <row r="1157" spans="2:21" s="49" customFormat="1" ht="18.75" hidden="1" customHeight="1">
      <c r="B1157" s="1">
        <v>45974</v>
      </c>
      <c r="C1157" t="s">
        <v>1945</v>
      </c>
      <c r="D1157" s="1">
        <v>46052</v>
      </c>
      <c r="E1157" s="23" t="s">
        <v>1946</v>
      </c>
      <c r="F1157" s="1">
        <v>46051</v>
      </c>
      <c r="G1157" s="1"/>
      <c r="H1157" t="s">
        <v>301</v>
      </c>
      <c r="I1157" s="2">
        <v>429.12</v>
      </c>
      <c r="J1157" s="2" t="s">
        <v>55</v>
      </c>
      <c r="K115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57" s="3"/>
      <c r="M1157" s="11"/>
      <c r="N115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429.12</v>
      </c>
      <c r="O115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46051</v>
      </c>
      <c r="P1157" t="s">
        <v>25</v>
      </c>
      <c r="Q1157" t="s">
        <v>126</v>
      </c>
      <c r="R1157" s="1">
        <v>46051</v>
      </c>
      <c r="S1157" t="s">
        <v>45</v>
      </c>
      <c r="T1157" s="24"/>
      <c r="U1157"/>
    </row>
    <row r="1158" spans="2:21" s="49" customFormat="1" ht="18.75" hidden="1" customHeight="1">
      <c r="B1158" s="48">
        <v>46062</v>
      </c>
      <c r="C1158" s="57" t="s">
        <v>1947</v>
      </c>
      <c r="D1158" s="48">
        <v>46099</v>
      </c>
      <c r="E1158" s="50">
        <v>307</v>
      </c>
      <c r="F1158" s="48"/>
      <c r="G1158" s="48"/>
      <c r="H1158" s="49" t="s">
        <v>301</v>
      </c>
      <c r="I1158" s="51">
        <v>452.88</v>
      </c>
      <c r="J1158" s="51" t="s">
        <v>55</v>
      </c>
      <c r="K115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58" s="52"/>
      <c r="N115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452.88</v>
      </c>
      <c r="O1158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58" s="49" t="s">
        <v>25</v>
      </c>
      <c r="Q1158" s="49" t="s">
        <v>292</v>
      </c>
      <c r="R1158" s="48">
        <v>46100</v>
      </c>
      <c r="S1158" s="59" t="s">
        <v>45</v>
      </c>
      <c r="U1158" s="49" t="s">
        <v>32</v>
      </c>
    </row>
    <row r="1159" spans="2:21" s="49" customFormat="1" ht="18.75" hidden="1" customHeight="1">
      <c r="B1159" s="56">
        <v>46140</v>
      </c>
      <c r="C1159" s="57" t="s">
        <v>1948</v>
      </c>
      <c r="D1159" s="48">
        <v>46168</v>
      </c>
      <c r="E1159" s="50">
        <v>599</v>
      </c>
      <c r="F1159" s="48"/>
      <c r="G1159" s="48"/>
      <c r="H1159" s="49" t="s">
        <v>301</v>
      </c>
      <c r="I1159" s="51">
        <v>756.92</v>
      </c>
      <c r="J1159" s="51" t="s">
        <v>55</v>
      </c>
      <c r="K1159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59" s="52"/>
      <c r="M1159" s="58"/>
      <c r="N1159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756.92</v>
      </c>
      <c r="O1159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59" s="49" t="s">
        <v>25</v>
      </c>
      <c r="Q1159" s="49" t="s">
        <v>52</v>
      </c>
      <c r="R1159" s="48">
        <v>46170</v>
      </c>
      <c r="S1159" s="59" t="s">
        <v>45</v>
      </c>
      <c r="U1159" s="49" t="s">
        <v>32</v>
      </c>
    </row>
    <row r="1160" spans="2:21" s="49" customFormat="1" ht="18.75" hidden="1" customHeight="1">
      <c r="B1160" s="56"/>
      <c r="C1160" s="57"/>
      <c r="D1160" s="48">
        <v>46148</v>
      </c>
      <c r="E1160" s="50" t="s">
        <v>1949</v>
      </c>
      <c r="F1160" s="48"/>
      <c r="G1160" s="48"/>
      <c r="H1160" s="49" t="s">
        <v>1118</v>
      </c>
      <c r="I1160" s="51">
        <v>181.49</v>
      </c>
      <c r="J1160" s="51" t="s">
        <v>43</v>
      </c>
      <c r="K116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60" s="52"/>
      <c r="M1160" s="58"/>
      <c r="N116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181.49</v>
      </c>
      <c r="O116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46148</v>
      </c>
      <c r="P1160" s="49" t="s">
        <v>25</v>
      </c>
      <c r="Q1160" s="49" t="s">
        <v>1950</v>
      </c>
      <c r="S1160" s="59"/>
    </row>
    <row r="1161" spans="2:21" s="49" customFormat="1" ht="18.75" hidden="1" customHeight="1">
      <c r="B1161" s="1"/>
      <c r="C1161"/>
      <c r="D1161" s="1" t="s">
        <v>1951</v>
      </c>
      <c r="E1161" s="29" t="s">
        <v>1952</v>
      </c>
      <c r="F1161" s="1">
        <v>46024</v>
      </c>
      <c r="G1161" s="1"/>
      <c r="H1161" s="49" t="s">
        <v>69</v>
      </c>
      <c r="I1161" s="2">
        <v>22784.27</v>
      </c>
      <c r="J1161" s="2" t="s">
        <v>55</v>
      </c>
      <c r="K116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61" s="3"/>
      <c r="M1161" s="11"/>
      <c r="N116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22784.27</v>
      </c>
      <c r="O116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46024</v>
      </c>
      <c r="P1161" t="s">
        <v>25</v>
      </c>
      <c r="Q1161" t="s">
        <v>721</v>
      </c>
      <c r="R1161" s="1"/>
      <c r="S1161"/>
      <c r="T1161" s="24"/>
      <c r="U1161"/>
    </row>
    <row r="1162" spans="2:21" s="49" customFormat="1" ht="18.75" hidden="1" customHeight="1">
      <c r="B1162" s="56">
        <v>46044</v>
      </c>
      <c r="C1162" s="146" t="s">
        <v>776</v>
      </c>
      <c r="D1162" s="48">
        <v>46142</v>
      </c>
      <c r="E1162" s="50">
        <v>2026201320</v>
      </c>
      <c r="F1162" s="48"/>
      <c r="G1162" s="48"/>
      <c r="H1162" s="49" t="s">
        <v>77</v>
      </c>
      <c r="I1162" s="51">
        <v>0</v>
      </c>
      <c r="J1162" s="51" t="s">
        <v>43</v>
      </c>
      <c r="K1162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62" s="52"/>
      <c r="M1162" s="58"/>
      <c r="N1162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0</v>
      </c>
      <c r="O1162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46142</v>
      </c>
      <c r="P1162" s="49" t="s">
        <v>25</v>
      </c>
      <c r="Q1162" s="49" t="s">
        <v>1953</v>
      </c>
      <c r="S1162" s="59"/>
    </row>
    <row r="1163" spans="2:21" s="49" customFormat="1" ht="18.75" hidden="1" customHeight="1">
      <c r="B1163" s="56">
        <v>46044</v>
      </c>
      <c r="C1163" s="146" t="s">
        <v>776</v>
      </c>
      <c r="D1163" s="48">
        <v>46142</v>
      </c>
      <c r="E1163" s="50">
        <v>2026201356</v>
      </c>
      <c r="F1163" s="48"/>
      <c r="G1163" s="48"/>
      <c r="H1163" s="49" t="s">
        <v>77</v>
      </c>
      <c r="I1163" s="51">
        <v>0</v>
      </c>
      <c r="J1163" s="51" t="s">
        <v>43</v>
      </c>
      <c r="K1163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63" s="52"/>
      <c r="M1163" s="58"/>
      <c r="N1163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0</v>
      </c>
      <c r="O1163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46142</v>
      </c>
      <c r="P1163" s="49" t="s">
        <v>25</v>
      </c>
      <c r="Q1163" s="49" t="s">
        <v>1954</v>
      </c>
      <c r="S1163" s="59"/>
    </row>
    <row r="1164" spans="2:21" s="49" customFormat="1" ht="18.75" hidden="1" customHeight="1">
      <c r="B1164" s="56">
        <v>46044</v>
      </c>
      <c r="C1164" s="146" t="s">
        <v>776</v>
      </c>
      <c r="D1164" s="48">
        <v>46142</v>
      </c>
      <c r="E1164" s="50">
        <v>2026201357</v>
      </c>
      <c r="F1164" s="48"/>
      <c r="G1164" s="48"/>
      <c r="H1164" s="49" t="s">
        <v>77</v>
      </c>
      <c r="I1164" s="51">
        <v>0</v>
      </c>
      <c r="J1164" s="51" t="s">
        <v>43</v>
      </c>
      <c r="K1164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64" s="52"/>
      <c r="M1164" s="58"/>
      <c r="N1164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0</v>
      </c>
      <c r="O1164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46142</v>
      </c>
      <c r="P1164" s="49" t="s">
        <v>25</v>
      </c>
      <c r="Q1164" s="49" t="s">
        <v>1955</v>
      </c>
      <c r="S1164" s="59"/>
    </row>
    <row r="1165" spans="2:21" s="49" customFormat="1" ht="18.75" hidden="1" customHeight="1">
      <c r="B1165" s="56"/>
      <c r="C1165" s="57"/>
      <c r="D1165" s="48">
        <v>46140</v>
      </c>
      <c r="E1165" s="50" t="s">
        <v>1956</v>
      </c>
      <c r="F1165" s="48"/>
      <c r="G1165" s="48"/>
      <c r="H1165" s="49" t="s">
        <v>419</v>
      </c>
      <c r="I1165" s="51">
        <v>377.08</v>
      </c>
      <c r="J1165" s="51" t="s">
        <v>98</v>
      </c>
      <c r="K1165" s="58" t="str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/>
      </c>
      <c r="L1165" s="52"/>
      <c r="M1165" s="58"/>
      <c r="N1165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377.08</v>
      </c>
      <c r="O1165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65" s="49" t="s">
        <v>25</v>
      </c>
      <c r="Q1165" s="49" t="s">
        <v>1957</v>
      </c>
      <c r="S1165" s="59"/>
    </row>
    <row r="1166" spans="2:21" s="49" customFormat="1" ht="18.75" hidden="1" customHeight="1">
      <c r="B1166" s="56"/>
      <c r="C1166" s="57"/>
      <c r="D1166" s="48">
        <v>46142</v>
      </c>
      <c r="E1166" s="50">
        <v>5568782428</v>
      </c>
      <c r="F1166" s="48"/>
      <c r="G1166" s="48"/>
      <c r="H1166" s="49" t="s">
        <v>1657</v>
      </c>
      <c r="I1166" s="51">
        <v>6643.03</v>
      </c>
      <c r="J1166" s="51" t="s">
        <v>43</v>
      </c>
      <c r="K1166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66" s="52"/>
      <c r="M1166" s="58"/>
      <c r="N1166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6643.03</v>
      </c>
      <c r="O1166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46142</v>
      </c>
      <c r="P1166" s="49" t="s">
        <v>25</v>
      </c>
      <c r="Q1166" s="49" t="s">
        <v>1958</v>
      </c>
      <c r="S1166" s="59"/>
    </row>
    <row r="1167" spans="2:21" s="49" customFormat="1" ht="18.75" hidden="1" customHeight="1">
      <c r="B1167" s="56"/>
      <c r="C1167" s="57"/>
      <c r="D1167" s="48">
        <v>46139</v>
      </c>
      <c r="E1167" s="50" t="s">
        <v>1959</v>
      </c>
      <c r="F1167" s="48"/>
      <c r="G1167" s="48"/>
      <c r="H1167" s="49" t="s">
        <v>108</v>
      </c>
      <c r="I1167" s="51">
        <v>15764.82</v>
      </c>
      <c r="J1167" s="51" t="s">
        <v>30</v>
      </c>
      <c r="K1167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67" s="52"/>
      <c r="M1167" s="58"/>
      <c r="N1167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15764.82</v>
      </c>
      <c r="O1167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46199</v>
      </c>
      <c r="P1167" s="49" t="s">
        <v>25</v>
      </c>
      <c r="Q1167" s="49" t="s">
        <v>261</v>
      </c>
      <c r="R1167" s="48">
        <v>46198</v>
      </c>
      <c r="S1167" s="59" t="s">
        <v>27</v>
      </c>
      <c r="U1167" s="49" t="s">
        <v>32</v>
      </c>
    </row>
    <row r="1168" spans="2:21" s="49" customFormat="1" ht="18.75" hidden="1" customHeight="1">
      <c r="B1168" s="56"/>
      <c r="C1168" s="57"/>
      <c r="D1168" s="48">
        <v>46142</v>
      </c>
      <c r="E1168" s="50" t="s">
        <v>1960</v>
      </c>
      <c r="F1168" s="48"/>
      <c r="G1168" s="48"/>
      <c r="H1168" s="49" t="s">
        <v>108</v>
      </c>
      <c r="I1168" s="51">
        <v>9731.64</v>
      </c>
      <c r="J1168" s="51" t="s">
        <v>30</v>
      </c>
      <c r="K1168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68" s="52"/>
      <c r="M1168" s="58"/>
      <c r="N1168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9731.64</v>
      </c>
      <c r="O1168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46202</v>
      </c>
      <c r="P1168" s="49" t="s">
        <v>25</v>
      </c>
      <c r="Q1168" s="49" t="s">
        <v>235</v>
      </c>
      <c r="R1168" s="48">
        <v>46198</v>
      </c>
      <c r="S1168" s="59" t="s">
        <v>27</v>
      </c>
      <c r="U1168" s="49" t="s">
        <v>32</v>
      </c>
    </row>
    <row r="1169" spans="2:21" s="49" customFormat="1" ht="18.75" hidden="1" customHeight="1">
      <c r="B1169" s="56"/>
      <c r="C1169" s="57"/>
      <c r="D1169" s="48">
        <v>46142</v>
      </c>
      <c r="E1169" s="50" t="s">
        <v>1961</v>
      </c>
      <c r="F1169" s="48"/>
      <c r="G1169" s="48"/>
      <c r="H1169" s="49" t="s">
        <v>108</v>
      </c>
      <c r="I1169" s="51">
        <v>3802.68</v>
      </c>
      <c r="J1169" s="51" t="s">
        <v>30</v>
      </c>
      <c r="K1169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69" s="52"/>
      <c r="M1169" s="58"/>
      <c r="N1169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3802.68</v>
      </c>
      <c r="O1169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46202</v>
      </c>
      <c r="P1169" s="49" t="s">
        <v>25</v>
      </c>
      <c r="Q1169" s="49" t="s">
        <v>1186</v>
      </c>
      <c r="R1169" s="48">
        <v>46198</v>
      </c>
      <c r="S1169" s="59" t="s">
        <v>27</v>
      </c>
      <c r="U1169" s="49" t="s">
        <v>32</v>
      </c>
    </row>
    <row r="1170" spans="2:21" s="63" customFormat="1" ht="18.75" hidden="1" customHeight="1">
      <c r="B1170" s="1"/>
      <c r="C1170"/>
      <c r="D1170" s="1" t="s">
        <v>1962</v>
      </c>
      <c r="E1170" s="29" t="s">
        <v>1963</v>
      </c>
      <c r="F1170" s="1"/>
      <c r="G1170" s="1"/>
      <c r="H1170" s="49" t="s">
        <v>69</v>
      </c>
      <c r="I1170" s="2">
        <v>0</v>
      </c>
      <c r="J1170" s="2" t="s">
        <v>55</v>
      </c>
      <c r="K117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70" s="3"/>
      <c r="M1170" s="11"/>
      <c r="N117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0</v>
      </c>
      <c r="O1170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70" t="s">
        <v>25</v>
      </c>
      <c r="Q1170" t="s">
        <v>697</v>
      </c>
      <c r="R1170" s="1"/>
      <c r="S1170"/>
      <c r="T1170" s="24"/>
      <c r="U1170"/>
    </row>
    <row r="1171" spans="2:21" s="49" customFormat="1" ht="18.75" hidden="1" customHeight="1">
      <c r="B1171" s="56"/>
      <c r="C1171" s="57"/>
      <c r="D1171" s="48">
        <v>46145</v>
      </c>
      <c r="E1171" s="50" t="s">
        <v>1964</v>
      </c>
      <c r="F1171" s="48"/>
      <c r="G1171" s="48"/>
      <c r="H1171" s="49" t="s">
        <v>1746</v>
      </c>
      <c r="I1171" s="51">
        <v>45.29</v>
      </c>
      <c r="J1171" s="51" t="s">
        <v>98</v>
      </c>
      <c r="K1171" s="58" t="str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/>
      </c>
      <c r="L1171" s="52"/>
      <c r="M1171" s="58"/>
      <c r="N1171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45.29</v>
      </c>
      <c r="O1171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71" s="49" t="s">
        <v>25</v>
      </c>
      <c r="Q1171" s="49" t="s">
        <v>1965</v>
      </c>
      <c r="S1171" s="59"/>
    </row>
    <row r="1172" spans="2:21" s="49" customFormat="1" ht="18.75" hidden="1" customHeight="1">
      <c r="B1172" s="1"/>
      <c r="C1172" s="7"/>
      <c r="D1172" s="1">
        <v>46063</v>
      </c>
      <c r="E1172" s="29">
        <v>1852195562</v>
      </c>
      <c r="F1172" s="1"/>
      <c r="G1172" s="1"/>
      <c r="H1172" t="s">
        <v>1519</v>
      </c>
      <c r="I1172" s="2">
        <v>46.55</v>
      </c>
      <c r="J1172" s="2" t="s">
        <v>43</v>
      </c>
      <c r="K117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72" s="3"/>
      <c r="M1172"/>
      <c r="N117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46.55</v>
      </c>
      <c r="O117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46063</v>
      </c>
      <c r="P1172" t="s">
        <v>25</v>
      </c>
      <c r="Q1172"/>
      <c r="R1172" s="1"/>
      <c r="S1172" s="24"/>
      <c r="T1172"/>
      <c r="U1172"/>
    </row>
    <row r="1173" spans="2:21" s="49" customFormat="1" ht="18.75" hidden="1" customHeight="1">
      <c r="B1173" s="56"/>
      <c r="C1173" s="57"/>
      <c r="D1173" s="48">
        <v>46154</v>
      </c>
      <c r="E1173" s="50">
        <v>247</v>
      </c>
      <c r="F1173" s="48"/>
      <c r="G1173" s="48"/>
      <c r="H1173" s="49" t="s">
        <v>1251</v>
      </c>
      <c r="I1173" s="51">
        <v>21500</v>
      </c>
      <c r="J1173" s="51" t="s">
        <v>55</v>
      </c>
      <c r="K1173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73" s="52"/>
      <c r="M1173" s="58"/>
      <c r="N1173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21500</v>
      </c>
      <c r="O1173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73" s="49" t="s">
        <v>25</v>
      </c>
      <c r="S1173" s="59"/>
      <c r="U1173" s="49" t="s">
        <v>32</v>
      </c>
    </row>
    <row r="1174" spans="2:21" s="49" customFormat="1" ht="18.75" hidden="1" customHeight="1">
      <c r="B1174" s="56"/>
      <c r="C1174" s="57"/>
      <c r="D1174" s="48">
        <v>46154</v>
      </c>
      <c r="E1174" s="50" t="s">
        <v>1966</v>
      </c>
      <c r="F1174" s="48"/>
      <c r="G1174" s="48"/>
      <c r="H1174" s="49" t="s">
        <v>86</v>
      </c>
      <c r="I1174" s="51">
        <v>277.83</v>
      </c>
      <c r="J1174" s="51" t="s">
        <v>55</v>
      </c>
      <c r="K117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74" s="52"/>
      <c r="M1174" s="58"/>
      <c r="N117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277.83</v>
      </c>
      <c r="O1174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74" s="49" t="s">
        <v>25</v>
      </c>
      <c r="Q1174" s="49" t="s">
        <v>1967</v>
      </c>
      <c r="S1174" s="59"/>
    </row>
    <row r="1175" spans="2:21" s="49" customFormat="1" ht="18.75" hidden="1" customHeight="1">
      <c r="B1175" s="56"/>
      <c r="C1175" s="57"/>
      <c r="D1175" s="48">
        <v>46150</v>
      </c>
      <c r="E1175" s="50" t="s">
        <v>1968</v>
      </c>
      <c r="F1175" s="48"/>
      <c r="G1175" s="48"/>
      <c r="H1175" s="49" t="s">
        <v>86</v>
      </c>
      <c r="I1175" s="51">
        <v>152.97</v>
      </c>
      <c r="J1175" s="51" t="s">
        <v>55</v>
      </c>
      <c r="K117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75" s="52"/>
      <c r="M1175" s="58"/>
      <c r="N117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152.97</v>
      </c>
      <c r="O1175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75" s="49" t="s">
        <v>25</v>
      </c>
      <c r="Q1175" s="49" t="s">
        <v>87</v>
      </c>
      <c r="S1175" s="59"/>
    </row>
    <row r="1176" spans="2:21" s="49" customFormat="1" ht="18.75" hidden="1" customHeight="1">
      <c r="B1176" s="56"/>
      <c r="C1176" s="57"/>
      <c r="D1176" s="48">
        <v>46153</v>
      </c>
      <c r="E1176" s="50" t="s">
        <v>1969</v>
      </c>
      <c r="F1176" s="48"/>
      <c r="G1176" s="48"/>
      <c r="H1176" s="49" t="s">
        <v>86</v>
      </c>
      <c r="I1176" s="51">
        <v>93.54</v>
      </c>
      <c r="J1176" s="51" t="s">
        <v>55</v>
      </c>
      <c r="K117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76" s="52"/>
      <c r="M1176" s="58"/>
      <c r="N117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93.54</v>
      </c>
      <c r="O1176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76" s="49" t="s">
        <v>25</v>
      </c>
      <c r="Q1176" s="49" t="s">
        <v>1882</v>
      </c>
      <c r="S1176" s="59"/>
    </row>
    <row r="1177" spans="2:21" s="49" customFormat="1" ht="18.75" hidden="1" customHeight="1">
      <c r="B1177" s="56"/>
      <c r="C1177" s="57"/>
      <c r="D1177" s="48">
        <v>46155</v>
      </c>
      <c r="E1177" s="50" t="s">
        <v>1970</v>
      </c>
      <c r="F1177" s="48"/>
      <c r="G1177" s="48"/>
      <c r="H1177" s="49" t="s">
        <v>86</v>
      </c>
      <c r="I1177" s="51">
        <v>266.72000000000003</v>
      </c>
      <c r="J1177" s="51" t="s">
        <v>55</v>
      </c>
      <c r="K117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77" s="52"/>
      <c r="M1177" s="58"/>
      <c r="N117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266.72000000000003</v>
      </c>
      <c r="O1177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77" s="49" t="s">
        <v>25</v>
      </c>
      <c r="Q1177" s="49" t="s">
        <v>1967</v>
      </c>
      <c r="S1177" s="59"/>
    </row>
    <row r="1178" spans="2:21" s="49" customFormat="1" ht="18.75" hidden="1" customHeight="1">
      <c r="B1178" s="83"/>
      <c r="C1178" s="77"/>
      <c r="D1178" s="76">
        <v>46150</v>
      </c>
      <c r="E1178" s="78" t="s">
        <v>1971</v>
      </c>
      <c r="F1178" s="76"/>
      <c r="G1178" s="76"/>
      <c r="H1178" s="63" t="s">
        <v>181</v>
      </c>
      <c r="I1178" s="79">
        <v>61.5</v>
      </c>
      <c r="J1178" s="79" t="s">
        <v>55</v>
      </c>
      <c r="K1178" s="8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78" s="80"/>
      <c r="M1178" s="81"/>
      <c r="N1178" s="8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61.5</v>
      </c>
      <c r="O1178" s="138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78" s="63" t="s">
        <v>25</v>
      </c>
      <c r="Q1178" s="63" t="s">
        <v>1972</v>
      </c>
      <c r="R1178" s="76">
        <v>46149</v>
      </c>
      <c r="S1178" s="82" t="s">
        <v>94</v>
      </c>
      <c r="T1178" s="63"/>
      <c r="U1178" s="63"/>
    </row>
    <row r="1179" spans="2:21" s="49" customFormat="1" ht="18.75" hidden="1" customHeight="1">
      <c r="B1179" s="1"/>
      <c r="C1179" s="7"/>
      <c r="D1179" s="1">
        <v>46059</v>
      </c>
      <c r="E1179" s="29" t="s">
        <v>1973</v>
      </c>
      <c r="F1179" s="1"/>
      <c r="G1179" s="1"/>
      <c r="H1179" s="49" t="s">
        <v>69</v>
      </c>
      <c r="I1179" s="2">
        <v>0</v>
      </c>
      <c r="J1179" s="2" t="s">
        <v>55</v>
      </c>
      <c r="K117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79" s="3"/>
      <c r="M1179" s="11"/>
      <c r="N117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0</v>
      </c>
      <c r="O1179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79" t="s">
        <v>25</v>
      </c>
      <c r="Q1179" t="s">
        <v>126</v>
      </c>
      <c r="R1179"/>
      <c r="S1179" s="24"/>
      <c r="T1179"/>
      <c r="U1179" t="s">
        <v>32</v>
      </c>
    </row>
    <row r="1180" spans="2:21" s="49" customFormat="1" ht="18.75" hidden="1" customHeight="1">
      <c r="B1180" s="56">
        <v>46142</v>
      </c>
      <c r="C1180" s="57" t="s">
        <v>1974</v>
      </c>
      <c r="D1180" s="48">
        <v>46157</v>
      </c>
      <c r="E1180" s="50" t="s">
        <v>1975</v>
      </c>
      <c r="F1180" s="48"/>
      <c r="G1180" s="48"/>
      <c r="H1180" s="49" t="s">
        <v>23</v>
      </c>
      <c r="I1180" s="51">
        <v>127.63</v>
      </c>
      <c r="J1180" s="51" t="s">
        <v>55</v>
      </c>
      <c r="K118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80" s="52"/>
      <c r="M1180" s="58"/>
      <c r="N118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127.63</v>
      </c>
      <c r="O1180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80" s="49" t="s">
        <v>25</v>
      </c>
      <c r="Q1180" s="49" t="s">
        <v>241</v>
      </c>
      <c r="R1180" s="48">
        <v>46156</v>
      </c>
      <c r="S1180" s="59" t="s">
        <v>45</v>
      </c>
      <c r="U1180" s="49" t="s">
        <v>32</v>
      </c>
    </row>
    <row r="1181" spans="2:21" s="49" customFormat="1" ht="18.75" hidden="1" customHeight="1">
      <c r="B1181" s="56"/>
      <c r="C1181" s="57"/>
      <c r="D1181" s="48">
        <v>46142</v>
      </c>
      <c r="E1181" s="50" t="s">
        <v>1976</v>
      </c>
      <c r="F1181" s="48"/>
      <c r="G1181" s="48"/>
      <c r="H1181" s="49" t="s">
        <v>779</v>
      </c>
      <c r="I1181" s="51">
        <v>15262.51</v>
      </c>
      <c r="J1181" s="51" t="s">
        <v>43</v>
      </c>
      <c r="K118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81" s="52"/>
      <c r="M1181" s="58"/>
      <c r="N118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15262.51</v>
      </c>
      <c r="O118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46142</v>
      </c>
      <c r="P1181" s="49" t="s">
        <v>25</v>
      </c>
      <c r="S1181" s="59" t="s">
        <v>183</v>
      </c>
    </row>
    <row r="1182" spans="2:21" s="49" customFormat="1" ht="18.75" hidden="1" customHeight="1">
      <c r="B1182" s="56"/>
      <c r="C1182" s="57"/>
      <c r="D1182" s="48">
        <v>46142</v>
      </c>
      <c r="E1182" s="50" t="s">
        <v>1977</v>
      </c>
      <c r="F1182" s="48"/>
      <c r="G1182" s="48"/>
      <c r="H1182" s="49" t="s">
        <v>779</v>
      </c>
      <c r="I1182" s="51">
        <v>15262.61</v>
      </c>
      <c r="J1182" s="51" t="s">
        <v>43</v>
      </c>
      <c r="K118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82" s="52"/>
      <c r="M1182" s="58"/>
      <c r="N118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15262.61</v>
      </c>
      <c r="O118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46142</v>
      </c>
      <c r="P1182" s="49" t="s">
        <v>25</v>
      </c>
      <c r="Q1182" s="59" t="s">
        <v>1978</v>
      </c>
      <c r="S1182" s="59" t="s">
        <v>183</v>
      </c>
    </row>
    <row r="1183" spans="2:21" s="49" customFormat="1" ht="18.75" hidden="1" customHeight="1">
      <c r="B1183" s="56"/>
      <c r="C1183" s="57"/>
      <c r="D1183" s="48">
        <v>46147</v>
      </c>
      <c r="E1183" s="50" t="s">
        <v>1979</v>
      </c>
      <c r="F1183" s="48"/>
      <c r="G1183" s="48"/>
      <c r="H1183" s="49" t="s">
        <v>779</v>
      </c>
      <c r="I1183" s="51">
        <v>13319.47</v>
      </c>
      <c r="J1183" s="51" t="s">
        <v>43</v>
      </c>
      <c r="K118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83" s="52"/>
      <c r="M1183" s="58"/>
      <c r="N118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13319.47</v>
      </c>
      <c r="O118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46147</v>
      </c>
      <c r="P1183" s="49" t="s">
        <v>25</v>
      </c>
      <c r="S1183" s="59" t="s">
        <v>183</v>
      </c>
    </row>
    <row r="1184" spans="2:21" s="49" customFormat="1" ht="18.75" hidden="1" customHeight="1">
      <c r="B1184" s="56"/>
      <c r="C1184" s="57"/>
      <c r="D1184" s="48">
        <v>46147</v>
      </c>
      <c r="E1184" s="50" t="s">
        <v>1980</v>
      </c>
      <c r="F1184" s="48"/>
      <c r="G1184" s="48"/>
      <c r="H1184" s="49" t="s">
        <v>779</v>
      </c>
      <c r="I1184" s="51">
        <v>13319.47</v>
      </c>
      <c r="J1184" s="51" t="s">
        <v>43</v>
      </c>
      <c r="K118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84" s="52"/>
      <c r="M1184" s="58"/>
      <c r="N118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13319.47</v>
      </c>
      <c r="O118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46147</v>
      </c>
      <c r="P1184" s="49" t="s">
        <v>25</v>
      </c>
      <c r="Q1184" s="59" t="s">
        <v>1981</v>
      </c>
      <c r="S1184" s="59" t="s">
        <v>183</v>
      </c>
    </row>
    <row r="1185" spans="2:21" s="49" customFormat="1" ht="18.75" hidden="1" customHeight="1">
      <c r="B1185" s="56"/>
      <c r="C1185" s="57"/>
      <c r="D1185" s="48">
        <v>46148</v>
      </c>
      <c r="E1185" s="50" t="s">
        <v>1982</v>
      </c>
      <c r="F1185" s="48"/>
      <c r="G1185" s="48"/>
      <c r="H1185" s="49" t="s">
        <v>779</v>
      </c>
      <c r="I1185" s="51">
        <v>11556.96</v>
      </c>
      <c r="J1185" s="51" t="s">
        <v>43</v>
      </c>
      <c r="K118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85" s="52"/>
      <c r="M1185" s="58"/>
      <c r="N118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11556.96</v>
      </c>
      <c r="O118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46148</v>
      </c>
      <c r="P1185" s="49" t="s">
        <v>25</v>
      </c>
      <c r="S1185" s="59" t="s">
        <v>183</v>
      </c>
    </row>
    <row r="1186" spans="2:21" s="49" customFormat="1" ht="18.75" hidden="1" customHeight="1">
      <c r="B1186" s="56"/>
      <c r="C1186" s="57"/>
      <c r="D1186" s="48">
        <v>46148</v>
      </c>
      <c r="E1186" s="50" t="s">
        <v>1983</v>
      </c>
      <c r="F1186" s="48"/>
      <c r="G1186" s="48"/>
      <c r="H1186" s="49" t="s">
        <v>779</v>
      </c>
      <c r="I1186" s="51">
        <v>11556.96</v>
      </c>
      <c r="J1186" s="51" t="s">
        <v>43</v>
      </c>
      <c r="K118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86" s="52"/>
      <c r="M1186" s="58"/>
      <c r="N118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11556.96</v>
      </c>
      <c r="O118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46148</v>
      </c>
      <c r="P1186" s="49" t="s">
        <v>25</v>
      </c>
      <c r="Q1186" s="59" t="s">
        <v>1984</v>
      </c>
      <c r="S1186" s="59" t="s">
        <v>183</v>
      </c>
    </row>
    <row r="1187" spans="2:21" s="49" customFormat="1" ht="18.75" hidden="1" customHeight="1">
      <c r="B1187" s="56"/>
      <c r="C1187" s="57"/>
      <c r="D1187" s="48">
        <v>46148</v>
      </c>
      <c r="E1187" s="50" t="s">
        <v>1985</v>
      </c>
      <c r="F1187" s="48"/>
      <c r="G1187" s="48"/>
      <c r="H1187" s="49" t="s">
        <v>779</v>
      </c>
      <c r="I1187" s="51">
        <v>14486.99</v>
      </c>
      <c r="J1187" s="51" t="s">
        <v>43</v>
      </c>
      <c r="K118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87" s="52"/>
      <c r="M1187" s="58"/>
      <c r="N118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14486.99</v>
      </c>
      <c r="O118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46148</v>
      </c>
      <c r="P1187" s="49" t="s">
        <v>25</v>
      </c>
      <c r="S1187" s="59" t="s">
        <v>183</v>
      </c>
    </row>
    <row r="1188" spans="2:21" s="49" customFormat="1" ht="18.75" hidden="1" customHeight="1">
      <c r="B1188" s="56"/>
      <c r="C1188" s="57"/>
      <c r="D1188" s="48">
        <v>46148</v>
      </c>
      <c r="E1188" s="50" t="s">
        <v>1986</v>
      </c>
      <c r="F1188" s="48"/>
      <c r="G1188" s="48"/>
      <c r="H1188" s="49" t="s">
        <v>779</v>
      </c>
      <c r="I1188" s="51">
        <v>14486.99</v>
      </c>
      <c r="J1188" s="51" t="s">
        <v>43</v>
      </c>
      <c r="K118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88" s="52"/>
      <c r="M1188" s="58"/>
      <c r="N118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14486.99</v>
      </c>
      <c r="O118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46148</v>
      </c>
      <c r="P1188" s="49" t="s">
        <v>25</v>
      </c>
      <c r="Q1188" s="59" t="s">
        <v>1987</v>
      </c>
      <c r="S1188" s="59" t="s">
        <v>183</v>
      </c>
    </row>
    <row r="1189" spans="2:21" s="49" customFormat="1" ht="18.75" hidden="1" customHeight="1">
      <c r="B1189" s="56"/>
      <c r="C1189" s="57"/>
      <c r="D1189" s="48">
        <v>46147</v>
      </c>
      <c r="E1189" s="50" t="s">
        <v>1988</v>
      </c>
      <c r="F1189" s="48"/>
      <c r="G1189" s="48"/>
      <c r="H1189" s="49" t="s">
        <v>779</v>
      </c>
      <c r="I1189" s="51">
        <v>15039.12</v>
      </c>
      <c r="J1189" s="51" t="s">
        <v>43</v>
      </c>
      <c r="K118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89" s="52"/>
      <c r="M1189" s="58"/>
      <c r="N118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15039.12</v>
      </c>
      <c r="O1189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46147</v>
      </c>
      <c r="P1189" s="49" t="s">
        <v>25</v>
      </c>
      <c r="S1189" s="59" t="s">
        <v>183</v>
      </c>
    </row>
    <row r="1190" spans="2:21" s="49" customFormat="1" ht="18.75" hidden="1" customHeight="1">
      <c r="B1190" s="56"/>
      <c r="C1190" s="57"/>
      <c r="D1190" s="48">
        <v>46147</v>
      </c>
      <c r="E1190" s="50" t="s">
        <v>1989</v>
      </c>
      <c r="F1190" s="48"/>
      <c r="G1190" s="48"/>
      <c r="H1190" s="49" t="s">
        <v>779</v>
      </c>
      <c r="I1190" s="51">
        <v>15039.12</v>
      </c>
      <c r="J1190" s="51" t="s">
        <v>43</v>
      </c>
      <c r="K1190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90" s="52"/>
      <c r="M1190" s="58"/>
      <c r="N1190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15039.12</v>
      </c>
      <c r="O1190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46147</v>
      </c>
      <c r="P1190" s="49" t="s">
        <v>25</v>
      </c>
      <c r="Q1190" s="59" t="s">
        <v>1990</v>
      </c>
      <c r="S1190" s="59" t="s">
        <v>183</v>
      </c>
    </row>
    <row r="1191" spans="2:21" s="49" customFormat="1" ht="18.75" hidden="1" customHeight="1">
      <c r="B1191" s="56"/>
      <c r="C1191" s="57"/>
      <c r="D1191" s="48">
        <v>46156</v>
      </c>
      <c r="E1191" s="50" t="s">
        <v>1991</v>
      </c>
      <c r="F1191" s="48"/>
      <c r="G1191" s="48"/>
      <c r="H1191" s="49" t="s">
        <v>86</v>
      </c>
      <c r="I1191" s="51">
        <v>575.86</v>
      </c>
      <c r="J1191" s="51" t="s">
        <v>55</v>
      </c>
      <c r="K119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91" s="52"/>
      <c r="M1191" s="58"/>
      <c r="N119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575.86</v>
      </c>
      <c r="O1191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91" s="49" t="s">
        <v>25</v>
      </c>
      <c r="Q1191" s="49" t="s">
        <v>1967</v>
      </c>
      <c r="S1191" s="59"/>
    </row>
    <row r="1192" spans="2:21" s="49" customFormat="1" ht="18.75" hidden="1" customHeight="1">
      <c r="B1192" s="83"/>
      <c r="C1192" s="77"/>
      <c r="D1192" s="76">
        <v>46160</v>
      </c>
      <c r="E1192" s="78" t="s">
        <v>1992</v>
      </c>
      <c r="F1192" s="76"/>
      <c r="G1192" s="76"/>
      <c r="H1192" s="63" t="s">
        <v>108</v>
      </c>
      <c r="I1192" s="79">
        <v>126.11</v>
      </c>
      <c r="J1192" s="79" t="s">
        <v>30</v>
      </c>
      <c r="K1192" s="8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92" s="80"/>
      <c r="M1192" s="81"/>
      <c r="N1192" s="8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126.11</v>
      </c>
      <c r="O1192" s="138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46220</v>
      </c>
      <c r="P1192" s="63" t="s">
        <v>25</v>
      </c>
      <c r="Q1192" s="63" t="s">
        <v>241</v>
      </c>
      <c r="R1192" s="76">
        <v>46219</v>
      </c>
      <c r="S1192" s="82" t="s">
        <v>27</v>
      </c>
      <c r="T1192" s="63"/>
      <c r="U1192" s="63" t="s">
        <v>32</v>
      </c>
    </row>
    <row r="1193" spans="2:21" s="49" customFormat="1" ht="18.75" hidden="1" customHeight="1">
      <c r="B1193" s="83"/>
      <c r="C1193" s="77"/>
      <c r="D1193" s="76">
        <v>46160</v>
      </c>
      <c r="E1193" s="78" t="s">
        <v>1993</v>
      </c>
      <c r="F1193" s="76"/>
      <c r="G1193" s="76"/>
      <c r="H1193" s="63" t="s">
        <v>108</v>
      </c>
      <c r="I1193" s="195">
        <v>846.08</v>
      </c>
      <c r="J1193" s="195" t="s">
        <v>30</v>
      </c>
      <c r="K1193" s="8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93" s="196"/>
      <c r="M1193" s="197"/>
      <c r="N1193" s="8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846.08</v>
      </c>
      <c r="O1193" s="138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46220</v>
      </c>
      <c r="P1193" s="63" t="s">
        <v>25</v>
      </c>
      <c r="Q1193" s="63" t="s">
        <v>241</v>
      </c>
      <c r="R1193" s="76">
        <v>46219</v>
      </c>
      <c r="S1193" s="82" t="s">
        <v>27</v>
      </c>
      <c r="T1193" s="63"/>
      <c r="U1193" s="63" t="s">
        <v>32</v>
      </c>
    </row>
    <row r="1194" spans="2:21" s="49" customFormat="1" ht="18.75" hidden="1" customHeight="1">
      <c r="B1194" s="56">
        <v>46150</v>
      </c>
      <c r="C1194" s="57" t="s">
        <v>1994</v>
      </c>
      <c r="D1194" s="48">
        <v>46152</v>
      </c>
      <c r="E1194" s="50" t="s">
        <v>1995</v>
      </c>
      <c r="F1194" s="48"/>
      <c r="G1194" s="48"/>
      <c r="H1194" s="49" t="s">
        <v>23</v>
      </c>
      <c r="I1194" s="58">
        <v>24.6</v>
      </c>
      <c r="J1194" s="51" t="s">
        <v>55</v>
      </c>
      <c r="K119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94" s="52"/>
      <c r="M1194" s="58"/>
      <c r="N119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24.6</v>
      </c>
      <c r="O1194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94" s="49" t="s">
        <v>25</v>
      </c>
      <c r="Q1194" s="49" t="s">
        <v>31</v>
      </c>
      <c r="R1194" s="48">
        <v>46156</v>
      </c>
      <c r="S1194" s="59" t="s">
        <v>45</v>
      </c>
      <c r="U1194" s="49" t="s">
        <v>32</v>
      </c>
    </row>
    <row r="1195" spans="2:21" s="49" customFormat="1" ht="18.75" hidden="1" customHeight="1">
      <c r="B1195" s="56"/>
      <c r="C1195" s="57"/>
      <c r="D1195" s="48">
        <v>46161</v>
      </c>
      <c r="E1195" s="50">
        <v>1852325376</v>
      </c>
      <c r="F1195" s="48"/>
      <c r="G1195" s="48"/>
      <c r="H1195" s="49" t="s">
        <v>1519</v>
      </c>
      <c r="I1195" s="51">
        <v>46.55</v>
      </c>
      <c r="J1195" s="51" t="s">
        <v>43</v>
      </c>
      <c r="K119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95" s="52"/>
      <c r="M1195" s="58"/>
      <c r="N119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46.55</v>
      </c>
      <c r="O119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46161</v>
      </c>
      <c r="P1195" s="49" t="s">
        <v>25</v>
      </c>
      <c r="Q1195" s="49" t="s">
        <v>1996</v>
      </c>
      <c r="S1195" s="59"/>
    </row>
    <row r="1196" spans="2:21" s="49" customFormat="1" ht="18.75" hidden="1" customHeight="1">
      <c r="B1196" s="56"/>
      <c r="C1196" s="57"/>
      <c r="D1196" s="48">
        <v>46161</v>
      </c>
      <c r="E1196" s="50" t="s">
        <v>1997</v>
      </c>
      <c r="F1196" s="48"/>
      <c r="G1196" s="48"/>
      <c r="H1196" s="49" t="s">
        <v>329</v>
      </c>
      <c r="I1196" s="51">
        <v>440.38</v>
      </c>
      <c r="J1196" s="51" t="s">
        <v>330</v>
      </c>
      <c r="K1196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96" s="52"/>
      <c r="M1196" s="58"/>
      <c r="N1196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440.38</v>
      </c>
      <c r="O1196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46191</v>
      </c>
      <c r="P1196" s="49" t="s">
        <v>25</v>
      </c>
      <c r="Q1196" s="49" t="s">
        <v>1038</v>
      </c>
      <c r="R1196" s="48">
        <v>46191</v>
      </c>
      <c r="S1196" s="59" t="s">
        <v>27</v>
      </c>
      <c r="U1196" s="49" t="s">
        <v>32</v>
      </c>
    </row>
    <row r="1197" spans="2:21" s="49" customFormat="1" ht="18.75" hidden="1" customHeight="1">
      <c r="B1197" s="56"/>
      <c r="C1197" s="57"/>
      <c r="D1197" s="48">
        <v>46161</v>
      </c>
      <c r="E1197" s="50" t="s">
        <v>1998</v>
      </c>
      <c r="F1197" s="48"/>
      <c r="G1197" s="48"/>
      <c r="H1197" s="49" t="s">
        <v>329</v>
      </c>
      <c r="I1197" s="51">
        <v>302.62</v>
      </c>
      <c r="J1197" s="51" t="s">
        <v>330</v>
      </c>
      <c r="K1197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97" s="52"/>
      <c r="M1197" s="58"/>
      <c r="N1197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302.62</v>
      </c>
      <c r="O1197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46191</v>
      </c>
      <c r="P1197" s="49" t="s">
        <v>25</v>
      </c>
      <c r="Q1197" s="49" t="s">
        <v>344</v>
      </c>
      <c r="R1197" s="48">
        <v>46191</v>
      </c>
      <c r="S1197" s="59" t="s">
        <v>27</v>
      </c>
      <c r="U1197" s="49" t="s">
        <v>32</v>
      </c>
    </row>
    <row r="1198" spans="2:21" s="49" customFormat="1" ht="18.75" hidden="1" customHeight="1">
      <c r="B1198" s="56">
        <v>46174</v>
      </c>
      <c r="C1198" s="57"/>
      <c r="D1198" s="48">
        <v>46174</v>
      </c>
      <c r="E1198" s="50" t="s">
        <v>1999</v>
      </c>
      <c r="F1198" s="48"/>
      <c r="G1198" s="48"/>
      <c r="H1198" s="49" t="s">
        <v>148</v>
      </c>
      <c r="I1198" s="51">
        <v>2702</v>
      </c>
      <c r="J1198" s="51" t="s">
        <v>43</v>
      </c>
      <c r="K1198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98" s="52"/>
      <c r="M1198" s="58"/>
      <c r="N1198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2702</v>
      </c>
      <c r="O1198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46174</v>
      </c>
      <c r="P1198" s="49" t="s">
        <v>25</v>
      </c>
      <c r="Q1198" s="49" t="s">
        <v>2000</v>
      </c>
      <c r="R1198" s="48">
        <v>46178</v>
      </c>
      <c r="S1198" s="59" t="s">
        <v>27</v>
      </c>
    </row>
    <row r="1199" spans="2:21" s="49" customFormat="1" ht="18.75" hidden="1" customHeight="1">
      <c r="B1199" s="56">
        <v>46174</v>
      </c>
      <c r="C1199" s="57"/>
      <c r="D1199" s="48"/>
      <c r="E1199" s="50"/>
      <c r="F1199" s="48"/>
      <c r="G1199" s="48"/>
      <c r="H1199" s="49" t="s">
        <v>155</v>
      </c>
      <c r="I1199" s="51">
        <v>2000</v>
      </c>
      <c r="J1199" s="51" t="s">
        <v>55</v>
      </c>
      <c r="K1199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199" s="52"/>
      <c r="M1199" s="58"/>
      <c r="N1199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2000</v>
      </c>
      <c r="O1199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199" s="49" t="s">
        <v>25</v>
      </c>
      <c r="Q1199" s="49" t="s">
        <v>2001</v>
      </c>
      <c r="R1199" s="48">
        <v>46178</v>
      </c>
      <c r="S1199" s="59" t="s">
        <v>27</v>
      </c>
    </row>
    <row r="1200" spans="2:21" s="49" customFormat="1" ht="18.75" hidden="1" customHeight="1">
      <c r="B1200" s="56">
        <v>46174</v>
      </c>
      <c r="C1200" s="57"/>
      <c r="D1200" s="48">
        <v>46178</v>
      </c>
      <c r="E1200" s="50" t="s">
        <v>2002</v>
      </c>
      <c r="F1200" s="48"/>
      <c r="G1200" s="48"/>
      <c r="H1200" s="49" t="s">
        <v>162</v>
      </c>
      <c r="I1200" s="51">
        <v>1300</v>
      </c>
      <c r="J1200" s="51" t="s">
        <v>55</v>
      </c>
      <c r="K1200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00" s="52"/>
      <c r="M1200" s="58"/>
      <c r="N1200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1300</v>
      </c>
      <c r="O1200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00" s="49" t="s">
        <v>25</v>
      </c>
      <c r="Q1200" s="49" t="s">
        <v>2003</v>
      </c>
      <c r="R1200" s="48">
        <v>46178</v>
      </c>
      <c r="S1200" s="59" t="s">
        <v>27</v>
      </c>
    </row>
    <row r="1201" spans="2:21" s="49" customFormat="1" ht="18.75" hidden="1" customHeight="1">
      <c r="B1201" s="56">
        <v>46174</v>
      </c>
      <c r="C1201" s="57"/>
      <c r="D1201" s="48">
        <v>46206</v>
      </c>
      <c r="E1201" s="50" t="s">
        <v>170</v>
      </c>
      <c r="F1201" s="48"/>
      <c r="G1201" s="48"/>
      <c r="H1201" s="49" t="s">
        <v>171</v>
      </c>
      <c r="I1201" s="51">
        <v>3000</v>
      </c>
      <c r="J1201" s="51" t="s">
        <v>55</v>
      </c>
      <c r="K1201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01" s="52"/>
      <c r="M1201" s="58"/>
      <c r="N1201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3000</v>
      </c>
      <c r="O1201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01" s="49" t="s">
        <v>25</v>
      </c>
      <c r="Q1201" s="49" t="s">
        <v>2004</v>
      </c>
      <c r="R1201" s="48">
        <v>46178</v>
      </c>
      <c r="S1201" s="59" t="s">
        <v>27</v>
      </c>
    </row>
    <row r="1202" spans="2:21" s="49" customFormat="1" ht="18.75" hidden="1" customHeight="1">
      <c r="B1202" s="56"/>
      <c r="C1202" s="57"/>
      <c r="D1202" s="48">
        <v>46173</v>
      </c>
      <c r="E1202" s="50" t="s">
        <v>2005</v>
      </c>
      <c r="F1202" s="48"/>
      <c r="G1202" s="48"/>
      <c r="H1202" s="49" t="s">
        <v>2006</v>
      </c>
      <c r="I1202" s="51">
        <v>19.27</v>
      </c>
      <c r="J1202" s="51" t="s">
        <v>55</v>
      </c>
      <c r="K120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02" s="52"/>
      <c r="M1202" s="58"/>
      <c r="N1202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19.27</v>
      </c>
      <c r="O1202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02" s="49" t="s">
        <v>25</v>
      </c>
      <c r="Q1202" s="49" t="s">
        <v>2007</v>
      </c>
      <c r="R1202" s="48">
        <v>46184</v>
      </c>
      <c r="S1202" s="59" t="s">
        <v>183</v>
      </c>
      <c r="T1202" s="49" t="s">
        <v>2008</v>
      </c>
    </row>
    <row r="1203" spans="2:21" s="49" customFormat="1" ht="18.75" hidden="1" customHeight="1">
      <c r="B1203" s="56">
        <v>46176</v>
      </c>
      <c r="C1203" s="57"/>
      <c r="D1203" s="48"/>
      <c r="E1203" s="50"/>
      <c r="F1203" s="48"/>
      <c r="G1203" s="48"/>
      <c r="H1203" s="49" t="s">
        <v>181</v>
      </c>
      <c r="I1203" s="51">
        <v>750</v>
      </c>
      <c r="J1203" s="51" t="s">
        <v>55</v>
      </c>
      <c r="K120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03" s="52"/>
      <c r="M1203" s="58"/>
      <c r="N1203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750</v>
      </c>
      <c r="O1203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03" s="49" t="s">
        <v>25</v>
      </c>
      <c r="Q1203" s="49" t="s">
        <v>2009</v>
      </c>
      <c r="R1203" s="48">
        <v>46178</v>
      </c>
      <c r="S1203" s="59" t="s">
        <v>183</v>
      </c>
    </row>
    <row r="1204" spans="2:21" s="49" customFormat="1" ht="18.75" hidden="1" customHeight="1">
      <c r="B1204" s="56"/>
      <c r="C1204" s="57"/>
      <c r="D1204" s="48">
        <v>46155</v>
      </c>
      <c r="E1204" s="50" t="s">
        <v>2010</v>
      </c>
      <c r="F1204" s="48"/>
      <c r="G1204" s="48"/>
      <c r="H1204" s="49" t="s">
        <v>181</v>
      </c>
      <c r="I1204" s="51">
        <v>-61.5</v>
      </c>
      <c r="J1204" s="51" t="s">
        <v>55</v>
      </c>
      <c r="K120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04" s="52"/>
      <c r="M1204" s="58"/>
      <c r="N120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-61.5</v>
      </c>
      <c r="O1204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04" s="49" t="s">
        <v>25</v>
      </c>
      <c r="Q1204" s="49" t="s">
        <v>2011</v>
      </c>
      <c r="S1204" s="59"/>
    </row>
    <row r="1205" spans="2:21" s="49" customFormat="1" ht="18.75" hidden="1" customHeight="1">
      <c r="B1205" s="56"/>
      <c r="C1205" s="57"/>
      <c r="D1205" s="48">
        <v>46142</v>
      </c>
      <c r="E1205" s="50" t="s">
        <v>2012</v>
      </c>
      <c r="F1205" s="48"/>
      <c r="G1205" s="48"/>
      <c r="H1205" s="49" t="s">
        <v>108</v>
      </c>
      <c r="I1205" s="51">
        <v>3849</v>
      </c>
      <c r="J1205" s="51" t="s">
        <v>30</v>
      </c>
      <c r="K1205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05" s="52"/>
      <c r="M1205" s="58"/>
      <c r="N1205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3849</v>
      </c>
      <c r="O1205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46202</v>
      </c>
      <c r="P1205" s="49" t="s">
        <v>25</v>
      </c>
      <c r="Q1205" s="49" t="s">
        <v>1728</v>
      </c>
      <c r="R1205" s="48">
        <v>46198</v>
      </c>
      <c r="S1205" s="59" t="s">
        <v>27</v>
      </c>
      <c r="U1205" s="49" t="s">
        <v>32</v>
      </c>
    </row>
    <row r="1206" spans="2:21" s="49" customFormat="1" ht="18.75" hidden="1" customHeight="1">
      <c r="B1206" s="1"/>
      <c r="C1206"/>
      <c r="D1206" s="1">
        <v>46035</v>
      </c>
      <c r="E1206" s="29" t="s">
        <v>2013</v>
      </c>
      <c r="F1206" s="1"/>
      <c r="G1206" s="1"/>
      <c r="H1206" t="s">
        <v>1046</v>
      </c>
      <c r="I1206" s="2">
        <v>0</v>
      </c>
      <c r="J1206" s="2" t="s">
        <v>43</v>
      </c>
      <c r="K120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06" s="3"/>
      <c r="M1206" s="11"/>
      <c r="N120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0</v>
      </c>
      <c r="O120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46035</v>
      </c>
      <c r="P1206" t="s">
        <v>25</v>
      </c>
      <c r="Q1206"/>
      <c r="R1206"/>
      <c r="S1206" t="s">
        <v>45</v>
      </c>
      <c r="T1206"/>
      <c r="U1206" t="s">
        <v>32</v>
      </c>
    </row>
    <row r="1207" spans="2:21" s="49" customFormat="1" ht="18.75" hidden="1" customHeight="1">
      <c r="B1207" s="56"/>
      <c r="C1207" s="57"/>
      <c r="D1207" s="48">
        <v>45859</v>
      </c>
      <c r="E1207" s="50" t="s">
        <v>2014</v>
      </c>
      <c r="F1207" s="48"/>
      <c r="G1207" s="48"/>
      <c r="H1207" s="49" t="s">
        <v>54</v>
      </c>
      <c r="I1207" s="51">
        <v>23.66</v>
      </c>
      <c r="J1207" s="51" t="s">
        <v>55</v>
      </c>
      <c r="K1207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07" s="52"/>
      <c r="M1207" s="58"/>
      <c r="N1207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23.66</v>
      </c>
      <c r="O1207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07" s="49" t="s">
        <v>25</v>
      </c>
      <c r="Q1207" s="49" t="s">
        <v>2015</v>
      </c>
      <c r="R1207" s="48">
        <v>46163</v>
      </c>
      <c r="S1207" s="59" t="s">
        <v>27</v>
      </c>
    </row>
    <row r="1208" spans="2:21" s="49" customFormat="1" ht="18.75" hidden="1" customHeight="1">
      <c r="B1208" s="56"/>
      <c r="C1208" s="57"/>
      <c r="D1208" s="48">
        <v>45887</v>
      </c>
      <c r="E1208" s="50" t="s">
        <v>2016</v>
      </c>
      <c r="F1208" s="48"/>
      <c r="G1208" s="48"/>
      <c r="H1208" s="49" t="s">
        <v>54</v>
      </c>
      <c r="I1208" s="51">
        <v>85.58</v>
      </c>
      <c r="J1208" s="51" t="s">
        <v>55</v>
      </c>
      <c r="K1208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08" s="52"/>
      <c r="M1208" s="58"/>
      <c r="N1208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85.58</v>
      </c>
      <c r="O1208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08" s="49" t="s">
        <v>25</v>
      </c>
      <c r="Q1208" s="49" t="s">
        <v>2017</v>
      </c>
      <c r="R1208" s="48">
        <v>46163</v>
      </c>
      <c r="S1208" s="59" t="s">
        <v>27</v>
      </c>
    </row>
    <row r="1209" spans="2:21" s="49" customFormat="1" ht="18.75" hidden="1" customHeight="1">
      <c r="B1209" s="56">
        <v>46170</v>
      </c>
      <c r="C1209" s="57"/>
      <c r="D1209" s="48">
        <v>45890</v>
      </c>
      <c r="E1209" s="50" t="s">
        <v>2018</v>
      </c>
      <c r="F1209" s="48"/>
      <c r="G1209" s="48"/>
      <c r="H1209" s="49" t="s">
        <v>54</v>
      </c>
      <c r="I1209" s="51">
        <v>41.08</v>
      </c>
      <c r="J1209" s="51" t="s">
        <v>55</v>
      </c>
      <c r="K1209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09" s="52"/>
      <c r="M1209" s="58"/>
      <c r="N1209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41.08</v>
      </c>
      <c r="O1209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09" s="49" t="s">
        <v>25</v>
      </c>
      <c r="Q1209" s="49" t="s">
        <v>2019</v>
      </c>
      <c r="R1209" s="48">
        <v>46163</v>
      </c>
      <c r="S1209" s="59" t="s">
        <v>27</v>
      </c>
    </row>
    <row r="1210" spans="2:21" s="49" customFormat="1" ht="18.75" hidden="1" customHeight="1">
      <c r="B1210" s="56">
        <v>46153</v>
      </c>
      <c r="C1210" s="57" t="s">
        <v>2020</v>
      </c>
      <c r="D1210" s="48">
        <v>46164</v>
      </c>
      <c r="E1210" s="50" t="s">
        <v>2021</v>
      </c>
      <c r="F1210" s="48"/>
      <c r="G1210" s="48"/>
      <c r="H1210" s="49" t="s">
        <v>92</v>
      </c>
      <c r="I1210" s="51">
        <v>1230</v>
      </c>
      <c r="J1210" s="51" t="s">
        <v>43</v>
      </c>
      <c r="K1210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10" s="52"/>
      <c r="M1210" s="58"/>
      <c r="N1210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1230</v>
      </c>
      <c r="O1210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46164</v>
      </c>
      <c r="P1210" s="49" t="s">
        <v>25</v>
      </c>
      <c r="Q1210" s="49" t="s">
        <v>840</v>
      </c>
      <c r="R1210" s="48">
        <v>46163</v>
      </c>
      <c r="S1210" s="59" t="s">
        <v>94</v>
      </c>
    </row>
    <row r="1211" spans="2:21" s="49" customFormat="1" ht="18.75" hidden="1" customHeight="1">
      <c r="B1211" s="56">
        <v>46153</v>
      </c>
      <c r="C1211" s="57" t="s">
        <v>2022</v>
      </c>
      <c r="D1211" s="48">
        <v>46164</v>
      </c>
      <c r="E1211" s="50" t="s">
        <v>2023</v>
      </c>
      <c r="F1211" s="48"/>
      <c r="G1211" s="48"/>
      <c r="H1211" s="49" t="s">
        <v>92</v>
      </c>
      <c r="I1211" s="51">
        <v>430.5</v>
      </c>
      <c r="J1211" s="51" t="s">
        <v>43</v>
      </c>
      <c r="K1211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11" s="52"/>
      <c r="M1211" s="58"/>
      <c r="N1211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430.5</v>
      </c>
      <c r="O1211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46164</v>
      </c>
      <c r="P1211" s="49" t="s">
        <v>25</v>
      </c>
      <c r="Q1211" s="49" t="s">
        <v>745</v>
      </c>
      <c r="R1211" s="48">
        <v>46163</v>
      </c>
      <c r="S1211" s="59" t="s">
        <v>94</v>
      </c>
    </row>
    <row r="1212" spans="2:21" s="49" customFormat="1" ht="18.75" hidden="1" customHeight="1">
      <c r="B1212" s="56"/>
      <c r="C1212" s="57"/>
      <c r="D1212" s="48">
        <v>46162</v>
      </c>
      <c r="E1212" s="50" t="s">
        <v>2024</v>
      </c>
      <c r="F1212" s="48"/>
      <c r="G1212" s="48"/>
      <c r="H1212" s="49" t="s">
        <v>329</v>
      </c>
      <c r="I1212" s="51">
        <v>377.05</v>
      </c>
      <c r="J1212" s="51" t="s">
        <v>330</v>
      </c>
      <c r="K1212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12" s="52"/>
      <c r="M1212" s="58"/>
      <c r="N1212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377.05</v>
      </c>
      <c r="O1212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46192</v>
      </c>
      <c r="P1212" s="49" t="s">
        <v>25</v>
      </c>
      <c r="Q1212" s="49" t="s">
        <v>232</v>
      </c>
      <c r="R1212" s="48">
        <v>46191</v>
      </c>
      <c r="S1212" s="59" t="s">
        <v>27</v>
      </c>
      <c r="U1212" s="49" t="s">
        <v>32</v>
      </c>
    </row>
    <row r="1213" spans="2:21" s="49" customFormat="1" ht="18.75" hidden="1" customHeight="1">
      <c r="B1213" s="56"/>
      <c r="C1213" s="57"/>
      <c r="D1213" s="48">
        <v>46162</v>
      </c>
      <c r="E1213" s="50">
        <v>687104598</v>
      </c>
      <c r="F1213" s="48"/>
      <c r="G1213" s="48"/>
      <c r="H1213" s="49" t="s">
        <v>416</v>
      </c>
      <c r="I1213" s="51">
        <v>3500</v>
      </c>
      <c r="J1213" s="51" t="s">
        <v>330</v>
      </c>
      <c r="K1213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13" s="52"/>
      <c r="M1213" s="58"/>
      <c r="N1213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3500</v>
      </c>
      <c r="O1213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46192</v>
      </c>
      <c r="P1213" s="49" t="s">
        <v>25</v>
      </c>
      <c r="Q1213" s="49" t="s">
        <v>2025</v>
      </c>
      <c r="R1213" s="48">
        <v>46191</v>
      </c>
      <c r="S1213" s="59" t="s">
        <v>45</v>
      </c>
    </row>
    <row r="1214" spans="2:21" s="49" customFormat="1" ht="18.75" hidden="1" customHeight="1">
      <c r="B1214" s="56"/>
      <c r="C1214" s="57"/>
      <c r="D1214" s="48">
        <v>46053</v>
      </c>
      <c r="E1214" s="50" t="s">
        <v>2026</v>
      </c>
      <c r="F1214" s="48"/>
      <c r="G1214" s="48"/>
      <c r="H1214" s="49" t="s">
        <v>1421</v>
      </c>
      <c r="I1214" s="51">
        <v>1537.5</v>
      </c>
      <c r="J1214" s="51" t="s">
        <v>43</v>
      </c>
      <c r="K1214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14" s="52"/>
      <c r="M1214" s="58"/>
      <c r="N1214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1537.5</v>
      </c>
      <c r="O1214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46053</v>
      </c>
      <c r="P1214" s="49" t="s">
        <v>25</v>
      </c>
      <c r="Q1214" s="49" t="s">
        <v>2027</v>
      </c>
      <c r="R1214" s="48">
        <v>46148</v>
      </c>
      <c r="S1214" s="59"/>
    </row>
    <row r="1215" spans="2:21" s="49" customFormat="1" ht="18.75" hidden="1" customHeight="1">
      <c r="B1215" s="56"/>
      <c r="C1215" s="57"/>
      <c r="D1215" s="48">
        <v>46006</v>
      </c>
      <c r="E1215" s="50" t="s">
        <v>2028</v>
      </c>
      <c r="F1215" s="48"/>
      <c r="G1215" s="48"/>
      <c r="H1215" s="49" t="s">
        <v>1421</v>
      </c>
      <c r="I1215" s="51">
        <v>1537.5</v>
      </c>
      <c r="J1215" s="51" t="s">
        <v>43</v>
      </c>
      <c r="K1215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15" s="52"/>
      <c r="M1215" s="58"/>
      <c r="N1215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1537.5</v>
      </c>
      <c r="O1215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46006</v>
      </c>
      <c r="P1215" s="49" t="s">
        <v>25</v>
      </c>
      <c r="Q1215" s="49" t="s">
        <v>2029</v>
      </c>
      <c r="R1215" s="48">
        <v>46148</v>
      </c>
      <c r="S1215" s="59"/>
    </row>
    <row r="1216" spans="2:21" s="190" customFormat="1" ht="18.75" hidden="1" customHeight="1">
      <c r="B1216" s="56"/>
      <c r="C1216" s="57"/>
      <c r="D1216" s="48">
        <v>46163</v>
      </c>
      <c r="E1216" s="50" t="s">
        <v>2030</v>
      </c>
      <c r="F1216" s="48"/>
      <c r="G1216" s="48"/>
      <c r="H1216" s="49" t="s">
        <v>329</v>
      </c>
      <c r="I1216" s="51">
        <v>819.03</v>
      </c>
      <c r="J1216" s="51" t="s">
        <v>330</v>
      </c>
      <c r="K1216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16" s="52"/>
      <c r="M1216" s="58"/>
      <c r="N1216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819.03</v>
      </c>
      <c r="O1216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46193</v>
      </c>
      <c r="P1216" s="49" t="s">
        <v>25</v>
      </c>
      <c r="Q1216" s="49" t="s">
        <v>522</v>
      </c>
      <c r="R1216" s="48">
        <v>46191</v>
      </c>
      <c r="S1216" s="59" t="s">
        <v>27</v>
      </c>
      <c r="T1216" s="49"/>
      <c r="U1216" s="49" t="s">
        <v>32</v>
      </c>
    </row>
    <row r="1217" spans="2:21" s="49" customFormat="1" ht="18.75" hidden="1" customHeight="1">
      <c r="B1217" s="56"/>
      <c r="C1217" s="57"/>
      <c r="D1217" s="48">
        <v>46163</v>
      </c>
      <c r="E1217" s="50" t="s">
        <v>2031</v>
      </c>
      <c r="F1217" s="48"/>
      <c r="G1217" s="48"/>
      <c r="H1217" s="49" t="s">
        <v>329</v>
      </c>
      <c r="I1217" s="51">
        <v>819.03</v>
      </c>
      <c r="J1217" s="51" t="s">
        <v>330</v>
      </c>
      <c r="K1217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17" s="52"/>
      <c r="M1217" s="58"/>
      <c r="N1217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819.03</v>
      </c>
      <c r="O1217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46193</v>
      </c>
      <c r="P1217" s="49" t="s">
        <v>25</v>
      </c>
      <c r="Q1217" s="49" t="s">
        <v>1114</v>
      </c>
      <c r="R1217" s="48">
        <v>46191</v>
      </c>
      <c r="S1217" s="59" t="s">
        <v>27</v>
      </c>
      <c r="U1217" s="49" t="s">
        <v>32</v>
      </c>
    </row>
    <row r="1218" spans="2:21" s="49" customFormat="1" ht="18.75" hidden="1" customHeight="1">
      <c r="B1218" s="56"/>
      <c r="C1218" s="57"/>
      <c r="D1218" s="48">
        <v>46163</v>
      </c>
      <c r="E1218" s="50" t="s">
        <v>2032</v>
      </c>
      <c r="F1218" s="48"/>
      <c r="G1218" s="48"/>
      <c r="H1218" s="49" t="s">
        <v>329</v>
      </c>
      <c r="I1218" s="51">
        <v>1598.54</v>
      </c>
      <c r="J1218" s="51" t="s">
        <v>330</v>
      </c>
      <c r="K1218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18" s="52"/>
      <c r="M1218" s="58"/>
      <c r="N1218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1598.54</v>
      </c>
      <c r="O1218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46193</v>
      </c>
      <c r="P1218" s="49" t="s">
        <v>25</v>
      </c>
      <c r="Q1218" s="49" t="s">
        <v>292</v>
      </c>
      <c r="R1218" s="48">
        <v>46191</v>
      </c>
      <c r="S1218" s="59" t="s">
        <v>27</v>
      </c>
      <c r="U1218" s="49" t="s">
        <v>32</v>
      </c>
    </row>
    <row r="1219" spans="2:21" s="49" customFormat="1" ht="18.75" hidden="1" customHeight="1">
      <c r="B1219" s="56"/>
      <c r="C1219" s="57"/>
      <c r="D1219" s="48">
        <v>46163</v>
      </c>
      <c r="E1219" s="50" t="s">
        <v>2033</v>
      </c>
      <c r="F1219" s="48"/>
      <c r="G1219" s="48"/>
      <c r="H1219" s="49" t="s">
        <v>329</v>
      </c>
      <c r="I1219" s="51">
        <v>-819.03</v>
      </c>
      <c r="J1219" s="51" t="s">
        <v>330</v>
      </c>
      <c r="K1219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19" s="52"/>
      <c r="M1219" s="58"/>
      <c r="N1219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-819.03</v>
      </c>
      <c r="O1219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46193</v>
      </c>
      <c r="P1219" s="49" t="s">
        <v>25</v>
      </c>
      <c r="Q1219" s="49" t="s">
        <v>522</v>
      </c>
      <c r="R1219" s="48">
        <v>46191</v>
      </c>
      <c r="S1219" s="59" t="s">
        <v>27</v>
      </c>
      <c r="U1219" s="49" t="s">
        <v>32</v>
      </c>
    </row>
    <row r="1220" spans="2:21" s="49" customFormat="1" ht="18.75" hidden="1" customHeight="1">
      <c r="B1220" s="56"/>
      <c r="C1220" s="57"/>
      <c r="D1220" s="48">
        <v>46163</v>
      </c>
      <c r="E1220" s="50" t="s">
        <v>2034</v>
      </c>
      <c r="F1220" s="48"/>
      <c r="G1220" s="48"/>
      <c r="H1220" s="49" t="s">
        <v>329</v>
      </c>
      <c r="I1220" s="51">
        <v>606.27</v>
      </c>
      <c r="J1220" s="51" t="s">
        <v>330</v>
      </c>
      <c r="K1220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20" s="52"/>
      <c r="M1220" s="58"/>
      <c r="N1220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606.27</v>
      </c>
      <c r="O1220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46193</v>
      </c>
      <c r="P1220" s="49" t="s">
        <v>25</v>
      </c>
      <c r="Q1220" s="49" t="s">
        <v>522</v>
      </c>
      <c r="R1220" s="48">
        <v>46191</v>
      </c>
      <c r="S1220" s="59" t="s">
        <v>27</v>
      </c>
      <c r="U1220" s="49" t="s">
        <v>32</v>
      </c>
    </row>
    <row r="1221" spans="2:21" s="49" customFormat="1" ht="18.75" hidden="1" customHeight="1">
      <c r="B1221" s="56"/>
      <c r="C1221" s="57"/>
      <c r="D1221" s="48">
        <v>46163</v>
      </c>
      <c r="E1221" s="50" t="s">
        <v>2035</v>
      </c>
      <c r="F1221" s="48"/>
      <c r="G1221" s="48"/>
      <c r="H1221" s="49" t="s">
        <v>329</v>
      </c>
      <c r="I1221" s="51">
        <v>1078.3399999999999</v>
      </c>
      <c r="J1221" s="51" t="s">
        <v>330</v>
      </c>
      <c r="K1221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21" s="52"/>
      <c r="M1221" s="58"/>
      <c r="N1221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1078.3399999999999</v>
      </c>
      <c r="O1221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46193</v>
      </c>
      <c r="P1221" s="49" t="s">
        <v>25</v>
      </c>
      <c r="Q1221" s="49" t="s">
        <v>899</v>
      </c>
      <c r="R1221" s="48">
        <v>46191</v>
      </c>
      <c r="S1221" s="59" t="s">
        <v>27</v>
      </c>
      <c r="U1221" s="49" t="s">
        <v>32</v>
      </c>
    </row>
    <row r="1222" spans="2:21" s="49" customFormat="1" ht="18.75" hidden="1" customHeight="1">
      <c r="B1222" s="1"/>
      <c r="C1222" s="7"/>
      <c r="D1222" s="1">
        <v>46055</v>
      </c>
      <c r="E1222" s="29" t="s">
        <v>2036</v>
      </c>
      <c r="F1222" s="1"/>
      <c r="G1222" s="1"/>
      <c r="H1222" t="s">
        <v>1046</v>
      </c>
      <c r="I1222" s="2">
        <v>0</v>
      </c>
      <c r="J1222" s="2" t="s">
        <v>43</v>
      </c>
      <c r="K1222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22" s="3"/>
      <c r="M1222" s="11"/>
      <c r="N1222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0</v>
      </c>
      <c r="O1222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46055</v>
      </c>
      <c r="P1222" t="s">
        <v>25</v>
      </c>
      <c r="Q1222" t="s">
        <v>2037</v>
      </c>
      <c r="R1222"/>
      <c r="S1222" t="s">
        <v>45</v>
      </c>
      <c r="T1222"/>
      <c r="U1222" t="s">
        <v>32</v>
      </c>
    </row>
    <row r="1223" spans="2:21" s="49" customFormat="1" ht="18.75" hidden="1" customHeight="1">
      <c r="B1223" s="56"/>
      <c r="C1223" s="57"/>
      <c r="D1223" s="48">
        <v>46163</v>
      </c>
      <c r="E1223" s="50" t="s">
        <v>2038</v>
      </c>
      <c r="F1223" s="48"/>
      <c r="G1223" s="48"/>
      <c r="H1223" s="49" t="s">
        <v>86</v>
      </c>
      <c r="I1223" s="51">
        <v>398.94</v>
      </c>
      <c r="J1223" s="51" t="s">
        <v>55</v>
      </c>
      <c r="K1223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23" s="52"/>
      <c r="M1223" s="58"/>
      <c r="N1223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398.94</v>
      </c>
      <c r="O1223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23" s="49" t="s">
        <v>25</v>
      </c>
      <c r="Q1223" s="49" t="s">
        <v>87</v>
      </c>
      <c r="R1223" s="48"/>
      <c r="S1223" s="59"/>
    </row>
    <row r="1224" spans="2:21" s="49" customFormat="1" ht="18.75" hidden="1" customHeight="1">
      <c r="B1224" s="56"/>
      <c r="C1224" s="57"/>
      <c r="D1224" s="48">
        <v>46163</v>
      </c>
      <c r="E1224" s="50" t="s">
        <v>2039</v>
      </c>
      <c r="F1224" s="48"/>
      <c r="G1224" s="48"/>
      <c r="H1224" s="49" t="s">
        <v>86</v>
      </c>
      <c r="I1224" s="51">
        <v>142.71</v>
      </c>
      <c r="J1224" s="51" t="s">
        <v>55</v>
      </c>
      <c r="K1224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24" s="52"/>
      <c r="M1224" s="58"/>
      <c r="N1224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142.71</v>
      </c>
      <c r="O1224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24" s="49" t="s">
        <v>25</v>
      </c>
      <c r="Q1224" s="49" t="s">
        <v>87</v>
      </c>
      <c r="R1224" s="48"/>
      <c r="S1224" s="59"/>
    </row>
    <row r="1225" spans="2:21" s="49" customFormat="1" ht="18.75" hidden="1" customHeight="1">
      <c r="B1225" s="56"/>
      <c r="C1225" s="57"/>
      <c r="D1225" s="48">
        <v>46164</v>
      </c>
      <c r="E1225" s="50" t="s">
        <v>2040</v>
      </c>
      <c r="F1225" s="48"/>
      <c r="G1225" s="48"/>
      <c r="H1225" s="49" t="s">
        <v>329</v>
      </c>
      <c r="I1225" s="51">
        <v>2420</v>
      </c>
      <c r="J1225" s="51" t="s">
        <v>330</v>
      </c>
      <c r="K1225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25" s="52"/>
      <c r="M1225" s="58"/>
      <c r="N1225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2420</v>
      </c>
      <c r="O1225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46194</v>
      </c>
      <c r="P1225" s="49" t="s">
        <v>25</v>
      </c>
      <c r="Q1225" s="49" t="s">
        <v>2041</v>
      </c>
      <c r="R1225" s="48">
        <v>46191</v>
      </c>
      <c r="S1225" s="59" t="s">
        <v>27</v>
      </c>
      <c r="U1225" s="49" t="s">
        <v>32</v>
      </c>
    </row>
    <row r="1226" spans="2:21" s="49" customFormat="1" ht="18.75" hidden="1" customHeight="1">
      <c r="B1226" s="56"/>
      <c r="C1226" s="57"/>
      <c r="D1226" s="48">
        <v>46164</v>
      </c>
      <c r="E1226" s="50" t="s">
        <v>2042</v>
      </c>
      <c r="F1226" s="48"/>
      <c r="G1226" s="48"/>
      <c r="H1226" s="49" t="s">
        <v>329</v>
      </c>
      <c r="I1226" s="51">
        <v>2420</v>
      </c>
      <c r="J1226" s="51" t="s">
        <v>330</v>
      </c>
      <c r="K1226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26" s="52"/>
      <c r="M1226" s="58"/>
      <c r="N1226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2420</v>
      </c>
      <c r="O1226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46194</v>
      </c>
      <c r="P1226" s="49" t="s">
        <v>25</v>
      </c>
      <c r="Q1226" s="49" t="s">
        <v>2041</v>
      </c>
      <c r="R1226" s="48">
        <v>46191</v>
      </c>
      <c r="S1226" s="59" t="s">
        <v>27</v>
      </c>
      <c r="U1226" s="49" t="s">
        <v>32</v>
      </c>
    </row>
    <row r="1227" spans="2:21" s="49" customFormat="1" ht="18.75" hidden="1" customHeight="1">
      <c r="B1227" s="56"/>
      <c r="C1227" s="57"/>
      <c r="D1227" s="48">
        <v>46164</v>
      </c>
      <c r="E1227" s="50" t="s">
        <v>2043</v>
      </c>
      <c r="F1227" s="48"/>
      <c r="G1227" s="48"/>
      <c r="H1227" s="49" t="s">
        <v>329</v>
      </c>
      <c r="I1227" s="51">
        <v>2420</v>
      </c>
      <c r="J1227" s="51" t="s">
        <v>330</v>
      </c>
      <c r="K1227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27" s="52"/>
      <c r="M1227" s="58"/>
      <c r="N1227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2420</v>
      </c>
      <c r="O1227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46194</v>
      </c>
      <c r="P1227" s="49" t="s">
        <v>25</v>
      </c>
      <c r="Q1227" s="49" t="s">
        <v>2041</v>
      </c>
      <c r="R1227" s="48">
        <v>46191</v>
      </c>
      <c r="S1227" s="59" t="s">
        <v>27</v>
      </c>
      <c r="U1227" s="49" t="s">
        <v>32</v>
      </c>
    </row>
    <row r="1228" spans="2:21" s="49" customFormat="1" ht="18.75" hidden="1" customHeight="1">
      <c r="B1228" s="56"/>
      <c r="C1228" s="57"/>
      <c r="D1228" s="48">
        <v>46163</v>
      </c>
      <c r="E1228" s="50">
        <v>265</v>
      </c>
      <c r="F1228" s="48"/>
      <c r="G1228" s="48"/>
      <c r="H1228" s="49" t="s">
        <v>1251</v>
      </c>
      <c r="I1228" s="51">
        <v>6950</v>
      </c>
      <c r="J1228" s="51" t="s">
        <v>55</v>
      </c>
      <c r="K1228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28" s="52"/>
      <c r="M1228" s="58"/>
      <c r="N1228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6950</v>
      </c>
      <c r="O1228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28" s="49" t="s">
        <v>25</v>
      </c>
      <c r="S1228" s="59"/>
      <c r="U1228" s="49" t="s">
        <v>32</v>
      </c>
    </row>
    <row r="1229" spans="2:21" s="49" customFormat="1" ht="18.75" hidden="1" customHeight="1">
      <c r="B1229" s="56"/>
      <c r="C1229" s="57"/>
      <c r="D1229" s="48">
        <v>46164</v>
      </c>
      <c r="E1229" s="50">
        <v>267</v>
      </c>
      <c r="F1229" s="48"/>
      <c r="G1229" s="48"/>
      <c r="H1229" s="49" t="s">
        <v>1251</v>
      </c>
      <c r="I1229" s="51">
        <v>2950</v>
      </c>
      <c r="J1229" s="51" t="s">
        <v>55</v>
      </c>
      <c r="K1229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29" s="52"/>
      <c r="M1229" s="58"/>
      <c r="N1229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2950</v>
      </c>
      <c r="O1229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29" s="49" t="s">
        <v>25</v>
      </c>
      <c r="S1229" s="59"/>
      <c r="U1229" s="49" t="s">
        <v>32</v>
      </c>
    </row>
    <row r="1230" spans="2:21" s="49" customFormat="1" ht="18.75" hidden="1" customHeight="1">
      <c r="B1230" s="56"/>
      <c r="C1230" s="57"/>
      <c r="D1230" s="48">
        <v>46163</v>
      </c>
      <c r="E1230" s="50">
        <v>264</v>
      </c>
      <c r="F1230" s="48"/>
      <c r="G1230" s="48"/>
      <c r="H1230" s="49" t="s">
        <v>1251</v>
      </c>
      <c r="I1230" s="51">
        <v>11245</v>
      </c>
      <c r="J1230" s="51" t="s">
        <v>55</v>
      </c>
      <c r="K123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30" s="52"/>
      <c r="M1230" s="58"/>
      <c r="N1230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11245</v>
      </c>
      <c r="O1230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30" s="49" t="s">
        <v>25</v>
      </c>
      <c r="S1230" s="59"/>
      <c r="U1230" s="49" t="s">
        <v>32</v>
      </c>
    </row>
    <row r="1231" spans="2:21" s="49" customFormat="1" ht="18.75" hidden="1" customHeight="1">
      <c r="B1231" s="56"/>
      <c r="C1231" s="57"/>
      <c r="D1231" s="48">
        <v>46165</v>
      </c>
      <c r="E1231" s="50" t="s">
        <v>2044</v>
      </c>
      <c r="F1231" s="48"/>
      <c r="G1231" s="48"/>
      <c r="H1231" s="49" t="s">
        <v>1118</v>
      </c>
      <c r="I1231" s="51">
        <v>1283.3699999999999</v>
      </c>
      <c r="J1231" s="51" t="s">
        <v>43</v>
      </c>
      <c r="K1231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31" s="52"/>
      <c r="M1231" s="58"/>
      <c r="N1231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1283.3699999999999</v>
      </c>
      <c r="O1231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46165</v>
      </c>
      <c r="P1231" s="49" t="s">
        <v>25</v>
      </c>
      <c r="Q1231" s="49" t="s">
        <v>2045</v>
      </c>
      <c r="S1231" s="59"/>
    </row>
    <row r="1232" spans="2:21" s="63" customFormat="1" ht="18.75" hidden="1" customHeight="1">
      <c r="B1232" s="56"/>
      <c r="C1232" s="57"/>
      <c r="D1232" s="48">
        <v>46165</v>
      </c>
      <c r="E1232" s="50" t="s">
        <v>2046</v>
      </c>
      <c r="F1232" s="48"/>
      <c r="G1232" s="48"/>
      <c r="H1232" s="49" t="s">
        <v>1118</v>
      </c>
      <c r="I1232" s="51">
        <v>189.46</v>
      </c>
      <c r="J1232" s="51" t="s">
        <v>43</v>
      </c>
      <c r="K123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32" s="52"/>
      <c r="M1232" s="58"/>
      <c r="N1232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189.46</v>
      </c>
      <c r="O1232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46165</v>
      </c>
      <c r="P1232" s="49" t="s">
        <v>25</v>
      </c>
      <c r="Q1232" s="49" t="s">
        <v>2047</v>
      </c>
      <c r="R1232" s="49"/>
      <c r="S1232" s="59"/>
      <c r="T1232" s="49"/>
      <c r="U1232" s="49"/>
    </row>
    <row r="1233" spans="2:21" s="49" customFormat="1" ht="18.75" hidden="1" customHeight="1">
      <c r="B1233" s="56"/>
      <c r="C1233" s="57"/>
      <c r="D1233" s="48">
        <v>46167</v>
      </c>
      <c r="E1233" s="50">
        <v>210831</v>
      </c>
      <c r="F1233" s="48"/>
      <c r="G1233" s="48"/>
      <c r="H1233" s="49" t="s">
        <v>2048</v>
      </c>
      <c r="I1233" s="51">
        <v>30</v>
      </c>
      <c r="J1233" s="51" t="s">
        <v>55</v>
      </c>
      <c r="K1233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33" s="52"/>
      <c r="M1233" s="58"/>
      <c r="N1233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30</v>
      </c>
      <c r="O1233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33" s="49" t="s">
        <v>25</v>
      </c>
      <c r="Q1233" s="49" t="s">
        <v>2049</v>
      </c>
      <c r="S1233" s="59"/>
    </row>
    <row r="1234" spans="2:21" s="49" customFormat="1" ht="18.75" hidden="1" customHeight="1">
      <c r="B1234" s="158"/>
      <c r="C1234" s="159"/>
      <c r="D1234" s="150">
        <v>46071</v>
      </c>
      <c r="E1234" s="152"/>
      <c r="F1234" s="150"/>
      <c r="G1234" s="150"/>
      <c r="H1234" s="151" t="s">
        <v>1067</v>
      </c>
      <c r="I1234" s="153">
        <v>4.09</v>
      </c>
      <c r="J1234" s="153" t="s">
        <v>43</v>
      </c>
      <c r="K1234" s="153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34" s="154"/>
      <c r="M1234" s="160"/>
      <c r="N1234" s="153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4.09</v>
      </c>
      <c r="O1234" s="154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46071</v>
      </c>
      <c r="P1234" s="151" t="s">
        <v>25</v>
      </c>
      <c r="Q1234" s="151" t="s">
        <v>2050</v>
      </c>
      <c r="R1234" s="151"/>
      <c r="S1234" s="155"/>
      <c r="T1234" s="151"/>
      <c r="U1234" s="151"/>
    </row>
    <row r="1235" spans="2:21" s="49" customFormat="1" ht="18.75" hidden="1" customHeight="1">
      <c r="B1235" s="83"/>
      <c r="C1235" s="77"/>
      <c r="D1235" s="76">
        <v>46063</v>
      </c>
      <c r="E1235" s="78" t="s">
        <v>2051</v>
      </c>
      <c r="F1235" s="76"/>
      <c r="G1235" s="76"/>
      <c r="H1235" s="63" t="s">
        <v>1067</v>
      </c>
      <c r="I1235" s="79">
        <v>137.54</v>
      </c>
      <c r="J1235" s="79" t="s">
        <v>43</v>
      </c>
      <c r="K1235" s="79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35" s="80"/>
      <c r="M1235" s="81"/>
      <c r="N1235" s="79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137.54</v>
      </c>
      <c r="O1235" s="8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46063</v>
      </c>
      <c r="P1235" s="63" t="s">
        <v>25</v>
      </c>
      <c r="Q1235" s="63" t="s">
        <v>1605</v>
      </c>
      <c r="R1235" s="63"/>
      <c r="S1235" s="82"/>
      <c r="T1235" s="63"/>
      <c r="U1235" s="63"/>
    </row>
    <row r="1236" spans="2:21" s="49" customFormat="1" ht="18.75" hidden="1" customHeight="1">
      <c r="B1236" s="158">
        <v>46051</v>
      </c>
      <c r="C1236" s="159"/>
      <c r="D1236" s="150">
        <v>46051</v>
      </c>
      <c r="E1236" s="152"/>
      <c r="F1236" s="150"/>
      <c r="G1236" s="150"/>
      <c r="H1236" s="151" t="s">
        <v>1067</v>
      </c>
      <c r="I1236" s="153">
        <v>5.39</v>
      </c>
      <c r="J1236" s="153" t="s">
        <v>43</v>
      </c>
      <c r="K1236" s="153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36" s="154"/>
      <c r="M1236" s="160"/>
      <c r="N1236" s="153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5.39</v>
      </c>
      <c r="O1236" s="154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46051</v>
      </c>
      <c r="P1236" s="151" t="s">
        <v>25</v>
      </c>
      <c r="Q1236" s="151" t="s">
        <v>2052</v>
      </c>
      <c r="R1236" s="151"/>
      <c r="S1236" s="155"/>
      <c r="T1236" s="151"/>
      <c r="U1236" s="151"/>
    </row>
    <row r="1237" spans="2:21" s="49" customFormat="1" ht="18.75" hidden="1" customHeight="1">
      <c r="B1237" s="158">
        <v>46051</v>
      </c>
      <c r="C1237" s="159"/>
      <c r="D1237" s="150"/>
      <c r="E1237" s="152"/>
      <c r="F1237" s="150"/>
      <c r="G1237" s="150"/>
      <c r="H1237" s="151" t="s">
        <v>1067</v>
      </c>
      <c r="I1237" s="153">
        <v>106.38</v>
      </c>
      <c r="J1237" s="153" t="s">
        <v>43</v>
      </c>
      <c r="K1237" s="153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37" s="154"/>
      <c r="M1237" s="160"/>
      <c r="N1237" s="153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106.38</v>
      </c>
      <c r="O1237" s="154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37" s="151" t="s">
        <v>25</v>
      </c>
      <c r="Q1237" s="151" t="s">
        <v>2053</v>
      </c>
      <c r="R1237" s="151"/>
      <c r="S1237" s="155"/>
      <c r="T1237" s="151"/>
      <c r="U1237" s="151"/>
    </row>
    <row r="1238" spans="2:21" s="49" customFormat="1" ht="18.75" hidden="1" customHeight="1">
      <c r="B1238" s="83">
        <v>46045</v>
      </c>
      <c r="C1238" s="77"/>
      <c r="D1238" s="76">
        <v>46058</v>
      </c>
      <c r="E1238" s="78" t="s">
        <v>2054</v>
      </c>
      <c r="F1238" s="76"/>
      <c r="G1238" s="76"/>
      <c r="H1238" s="63" t="s">
        <v>1067</v>
      </c>
      <c r="I1238" s="79">
        <v>15.26</v>
      </c>
      <c r="J1238" s="79" t="s">
        <v>43</v>
      </c>
      <c r="K1238" s="79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38" s="80"/>
      <c r="M1238" s="81"/>
      <c r="N1238" s="79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15.26</v>
      </c>
      <c r="O1238" s="8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46058</v>
      </c>
      <c r="P1238" s="63" t="s">
        <v>25</v>
      </c>
      <c r="Q1238" s="63" t="s">
        <v>2055</v>
      </c>
      <c r="R1238" s="63"/>
      <c r="S1238" s="82"/>
      <c r="T1238" s="63"/>
      <c r="U1238" s="63"/>
    </row>
    <row r="1239" spans="2:21" s="49" customFormat="1" ht="18.75" hidden="1" customHeight="1">
      <c r="B1239" s="83">
        <v>46031</v>
      </c>
      <c r="C1239" s="77"/>
      <c r="D1239" s="76">
        <v>46033</v>
      </c>
      <c r="E1239" s="78" t="s">
        <v>1649</v>
      </c>
      <c r="F1239" s="76"/>
      <c r="G1239" s="76"/>
      <c r="H1239" s="63" t="s">
        <v>1067</v>
      </c>
      <c r="I1239" s="79">
        <v>156.06</v>
      </c>
      <c r="J1239" s="79" t="s">
        <v>43</v>
      </c>
      <c r="K1239" s="79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39" s="80"/>
      <c r="M1239" s="81"/>
      <c r="N1239" s="79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156.06</v>
      </c>
      <c r="O1239" s="8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46033</v>
      </c>
      <c r="P1239" s="63" t="s">
        <v>25</v>
      </c>
      <c r="Q1239" s="63" t="s">
        <v>1619</v>
      </c>
      <c r="R1239" s="63"/>
      <c r="S1239" s="82"/>
      <c r="T1239" s="63"/>
      <c r="U1239" s="63"/>
    </row>
    <row r="1240" spans="2:21" s="49" customFormat="1" ht="18.75" hidden="1" customHeight="1">
      <c r="B1240" s="83">
        <v>46031</v>
      </c>
      <c r="C1240" s="77"/>
      <c r="D1240" s="76">
        <v>46036</v>
      </c>
      <c r="E1240" s="78" t="s">
        <v>2056</v>
      </c>
      <c r="F1240" s="76"/>
      <c r="G1240" s="76"/>
      <c r="H1240" s="63" t="s">
        <v>1067</v>
      </c>
      <c r="I1240" s="79">
        <v>154.43</v>
      </c>
      <c r="J1240" s="79" t="s">
        <v>43</v>
      </c>
      <c r="K1240" s="79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40" s="80"/>
      <c r="M1240" s="81"/>
      <c r="N1240" s="79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154.43</v>
      </c>
      <c r="O1240" s="8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46036</v>
      </c>
      <c r="P1240" s="63" t="s">
        <v>25</v>
      </c>
      <c r="Q1240" s="63" t="s">
        <v>1619</v>
      </c>
      <c r="R1240" s="63"/>
      <c r="S1240" s="82"/>
      <c r="T1240" s="63"/>
      <c r="U1240" s="63"/>
    </row>
    <row r="1241" spans="2:21" s="49" customFormat="1" ht="18.75" hidden="1" customHeight="1">
      <c r="B1241" s="1"/>
      <c r="C1241" s="7"/>
      <c r="D1241" s="1">
        <v>46055</v>
      </c>
      <c r="E1241" s="29" t="s">
        <v>2057</v>
      </c>
      <c r="F1241" s="1"/>
      <c r="G1241" s="1"/>
      <c r="H1241" t="s">
        <v>1046</v>
      </c>
      <c r="I1241" s="2">
        <v>0</v>
      </c>
      <c r="J1241" s="2" t="s">
        <v>43</v>
      </c>
      <c r="K124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41" s="3"/>
      <c r="M1241" s="11"/>
      <c r="N124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0</v>
      </c>
      <c r="O124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46055</v>
      </c>
      <c r="P1241" t="s">
        <v>25</v>
      </c>
      <c r="Q1241" t="s">
        <v>2058</v>
      </c>
      <c r="R1241"/>
      <c r="S1241" t="s">
        <v>45</v>
      </c>
      <c r="T1241"/>
      <c r="U1241" t="s">
        <v>32</v>
      </c>
    </row>
    <row r="1242" spans="2:21" s="190" customFormat="1" ht="18.75" hidden="1" customHeight="1">
      <c r="B1242" s="56"/>
      <c r="C1242" s="57"/>
      <c r="D1242" s="48">
        <v>46169</v>
      </c>
      <c r="E1242" s="50" t="s">
        <v>2059</v>
      </c>
      <c r="F1242" s="48"/>
      <c r="G1242" s="48"/>
      <c r="H1242" s="49" t="s">
        <v>2060</v>
      </c>
      <c r="I1242" s="51">
        <v>883.71</v>
      </c>
      <c r="J1242" s="51" t="s">
        <v>43</v>
      </c>
      <c r="K124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42" s="52"/>
      <c r="M1242" s="58"/>
      <c r="N1242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883.71</v>
      </c>
      <c r="O1242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46169</v>
      </c>
      <c r="P1242" s="49" t="s">
        <v>25</v>
      </c>
      <c r="Q1242" s="49" t="s">
        <v>2061</v>
      </c>
      <c r="R1242" s="48">
        <v>46170</v>
      </c>
      <c r="S1242" s="59" t="s">
        <v>45</v>
      </c>
      <c r="T1242" s="49"/>
      <c r="U1242" s="49"/>
    </row>
    <row r="1243" spans="2:21" s="49" customFormat="1" ht="18.75" hidden="1" customHeight="1">
      <c r="B1243" s="1"/>
      <c r="C1243" s="7"/>
      <c r="D1243" s="1">
        <v>46055</v>
      </c>
      <c r="E1243" s="29" t="s">
        <v>2062</v>
      </c>
      <c r="F1243" s="1"/>
      <c r="G1243" s="1"/>
      <c r="H1243" t="s">
        <v>1046</v>
      </c>
      <c r="I1243" s="2">
        <v>0</v>
      </c>
      <c r="J1243" s="2" t="s">
        <v>43</v>
      </c>
      <c r="K124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43" s="3"/>
      <c r="M1243" s="11"/>
      <c r="N124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0</v>
      </c>
      <c r="O124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46055</v>
      </c>
      <c r="P1243" t="s">
        <v>25</v>
      </c>
      <c r="Q1243" t="s">
        <v>2063</v>
      </c>
      <c r="R1243"/>
      <c r="S1243" t="s">
        <v>45</v>
      </c>
      <c r="T1243"/>
      <c r="U1243" t="s">
        <v>32</v>
      </c>
    </row>
    <row r="1244" spans="2:21" s="49" customFormat="1" ht="18.75" hidden="1" customHeight="1">
      <c r="B1244" s="1"/>
      <c r="C1244" s="7"/>
      <c r="D1244" s="1">
        <v>46063</v>
      </c>
      <c r="E1244" s="29" t="s">
        <v>2064</v>
      </c>
      <c r="F1244" s="1"/>
      <c r="G1244" s="1"/>
      <c r="H1244" t="s">
        <v>1046</v>
      </c>
      <c r="I1244" s="2">
        <v>0</v>
      </c>
      <c r="J1244" s="2" t="s">
        <v>43</v>
      </c>
      <c r="K124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44" s="3"/>
      <c r="M1244"/>
      <c r="N124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0</v>
      </c>
      <c r="O124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46063</v>
      </c>
      <c r="P1244" t="s">
        <v>25</v>
      </c>
      <c r="Q1244" t="s">
        <v>1431</v>
      </c>
      <c r="R1244" s="1"/>
      <c r="S1244" s="24" t="s">
        <v>45</v>
      </c>
      <c r="T1244"/>
      <c r="U1244" t="s">
        <v>32</v>
      </c>
    </row>
    <row r="1245" spans="2:21" s="49" customFormat="1" ht="18.75" hidden="1" customHeight="1">
      <c r="B1245" s="44"/>
      <c r="C1245" s="7"/>
      <c r="D1245" s="1">
        <v>46073</v>
      </c>
      <c r="E1245" s="29" t="s">
        <v>2065</v>
      </c>
      <c r="F1245" s="1"/>
      <c r="G1245" s="1"/>
      <c r="H1245" t="s">
        <v>1046</v>
      </c>
      <c r="I1245" s="2">
        <v>0</v>
      </c>
      <c r="J1245" s="2" t="s">
        <v>43</v>
      </c>
      <c r="K124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45" s="3"/>
      <c r="M1245" s="11"/>
      <c r="N124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0</v>
      </c>
      <c r="O1245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46073</v>
      </c>
      <c r="P1245" t="s">
        <v>25</v>
      </c>
      <c r="Q1245"/>
      <c r="R1245"/>
      <c r="S1245" s="24" t="s">
        <v>45</v>
      </c>
      <c r="T1245"/>
      <c r="U1245" t="s">
        <v>32</v>
      </c>
    </row>
    <row r="1246" spans="2:21" s="49" customFormat="1" ht="18.75" hidden="1" customHeight="1">
      <c r="B1246" s="56"/>
      <c r="C1246" s="57"/>
      <c r="D1246" s="48">
        <v>46078</v>
      </c>
      <c r="E1246" s="50" t="s">
        <v>2066</v>
      </c>
      <c r="F1246" s="48"/>
      <c r="G1246" s="48"/>
      <c r="H1246" s="49" t="s">
        <v>69</v>
      </c>
      <c r="I1246" s="51">
        <v>0</v>
      </c>
      <c r="J1246" s="51" t="s">
        <v>55</v>
      </c>
      <c r="K124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46" s="52"/>
      <c r="M1246" s="58"/>
      <c r="N1246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0</v>
      </c>
      <c r="O1246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46" s="49" t="s">
        <v>25</v>
      </c>
      <c r="Q1246" s="49" t="s">
        <v>201</v>
      </c>
      <c r="S1246" s="59"/>
      <c r="U1246" s="49" t="s">
        <v>32</v>
      </c>
    </row>
    <row r="1247" spans="2:21" s="49" customFormat="1" ht="18.75" hidden="1" customHeight="1">
      <c r="B1247" s="56"/>
      <c r="C1247" s="57"/>
      <c r="D1247" s="48">
        <v>46097</v>
      </c>
      <c r="E1247" s="50" t="s">
        <v>2067</v>
      </c>
      <c r="F1247" s="48"/>
      <c r="G1247" s="48"/>
      <c r="H1247" s="49" t="s">
        <v>69</v>
      </c>
      <c r="I1247" s="51">
        <v>0</v>
      </c>
      <c r="J1247" s="51" t="s">
        <v>55</v>
      </c>
      <c r="K124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47" s="52"/>
      <c r="M1247" s="58"/>
      <c r="N1247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0</v>
      </c>
      <c r="O1247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47" s="49" t="s">
        <v>25</v>
      </c>
      <c r="Q1247" s="49" t="s">
        <v>31</v>
      </c>
      <c r="S1247" s="59"/>
      <c r="U1247" s="49" t="s">
        <v>32</v>
      </c>
    </row>
    <row r="1248" spans="2:21" s="49" customFormat="1" ht="18.75" hidden="1" customHeight="1">
      <c r="B1248" s="56"/>
      <c r="C1248" s="57"/>
      <c r="D1248" s="48">
        <v>46161</v>
      </c>
      <c r="E1248" s="50" t="s">
        <v>2068</v>
      </c>
      <c r="F1248" s="48"/>
      <c r="G1248" s="48"/>
      <c r="H1248" s="49" t="s">
        <v>42</v>
      </c>
      <c r="I1248" s="51">
        <v>150</v>
      </c>
      <c r="J1248" s="51" t="s">
        <v>43</v>
      </c>
      <c r="K1248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48" s="52"/>
      <c r="M1248" s="58"/>
      <c r="N1248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150</v>
      </c>
      <c r="O1248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46161</v>
      </c>
      <c r="P1248" s="49" t="s">
        <v>25</v>
      </c>
      <c r="Q1248" s="49" t="s">
        <v>2069</v>
      </c>
      <c r="R1248" s="48">
        <v>46170</v>
      </c>
      <c r="S1248" s="59" t="s">
        <v>45</v>
      </c>
    </row>
    <row r="1249" spans="2:21" s="49" customFormat="1" ht="18.75" hidden="1" customHeight="1">
      <c r="B1249" s="56">
        <v>46171</v>
      </c>
      <c r="C1249" s="57"/>
      <c r="D1249" s="48">
        <v>46173</v>
      </c>
      <c r="E1249" s="50" t="s">
        <v>2005</v>
      </c>
      <c r="F1249" s="48"/>
      <c r="G1249" s="48"/>
      <c r="H1249" s="49" t="s">
        <v>2006</v>
      </c>
      <c r="I1249" s="58">
        <v>51.71</v>
      </c>
      <c r="J1249" s="51" t="s">
        <v>55</v>
      </c>
      <c r="K1249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49" s="52"/>
      <c r="M1249" s="58"/>
      <c r="N1249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51.71</v>
      </c>
      <c r="O1249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49" s="49" t="s">
        <v>25</v>
      </c>
      <c r="Q1249" s="49" t="s">
        <v>2007</v>
      </c>
      <c r="R1249" s="48">
        <v>46171</v>
      </c>
      <c r="S1249" s="59" t="s">
        <v>183</v>
      </c>
      <c r="T1249" s="171" t="s">
        <v>2070</v>
      </c>
    </row>
    <row r="1250" spans="2:21" s="49" customFormat="1" ht="18.75" hidden="1" customHeight="1">
      <c r="B1250" s="56"/>
      <c r="C1250" s="57"/>
      <c r="D1250" s="48">
        <v>46156</v>
      </c>
      <c r="E1250" s="50" t="s">
        <v>2071</v>
      </c>
      <c r="F1250" s="48"/>
      <c r="G1250" s="48"/>
      <c r="H1250" s="49" t="s">
        <v>1067</v>
      </c>
      <c r="I1250" s="51">
        <v>29.44</v>
      </c>
      <c r="J1250" s="51" t="s">
        <v>43</v>
      </c>
      <c r="K125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50" s="52"/>
      <c r="M1250" s="58"/>
      <c r="N1250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29.44</v>
      </c>
      <c r="O1250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46156</v>
      </c>
      <c r="P1250" s="49" t="s">
        <v>25</v>
      </c>
      <c r="Q1250" s="49" t="s">
        <v>2072</v>
      </c>
      <c r="S1250" s="59"/>
    </row>
    <row r="1251" spans="2:21" s="49" customFormat="1" ht="18.75" hidden="1" customHeight="1">
      <c r="B1251" s="56"/>
      <c r="C1251" s="57"/>
      <c r="D1251" s="48">
        <v>46168</v>
      </c>
      <c r="E1251" s="50" t="s">
        <v>2073</v>
      </c>
      <c r="F1251" s="48"/>
      <c r="G1251" s="48"/>
      <c r="H1251" s="49" t="s">
        <v>86</v>
      </c>
      <c r="I1251" s="51">
        <v>71.12</v>
      </c>
      <c r="J1251" s="51" t="s">
        <v>55</v>
      </c>
      <c r="K1251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51" s="52"/>
      <c r="M1251" s="58"/>
      <c r="N1251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71.12</v>
      </c>
      <c r="O1251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51" s="49" t="s">
        <v>25</v>
      </c>
      <c r="Q1251" s="49" t="s">
        <v>87</v>
      </c>
      <c r="S1251" s="59"/>
    </row>
    <row r="1252" spans="2:21" s="49" customFormat="1" ht="18.75" hidden="1" customHeight="1">
      <c r="B1252" s="56"/>
      <c r="C1252" s="57"/>
      <c r="D1252" s="48">
        <v>46169</v>
      </c>
      <c r="E1252" s="50" t="s">
        <v>2074</v>
      </c>
      <c r="F1252" s="48"/>
      <c r="G1252" s="48"/>
      <c r="H1252" s="49" t="s">
        <v>1118</v>
      </c>
      <c r="I1252" s="51">
        <v>115</v>
      </c>
      <c r="J1252" s="51" t="s">
        <v>43</v>
      </c>
      <c r="K125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52" s="52"/>
      <c r="M1252" s="58"/>
      <c r="N1252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115</v>
      </c>
      <c r="O1252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46169</v>
      </c>
      <c r="P1252" s="49" t="s">
        <v>25</v>
      </c>
      <c r="Q1252" s="49" t="s">
        <v>2045</v>
      </c>
      <c r="S1252" s="59"/>
    </row>
    <row r="1253" spans="2:21" s="49" customFormat="1" ht="18.75" hidden="1" customHeight="1">
      <c r="B1253" s="1"/>
      <c r="C1253" s="7"/>
      <c r="D1253" s="1">
        <v>46071</v>
      </c>
      <c r="E1253" s="29">
        <v>1852205185</v>
      </c>
      <c r="F1253" s="1"/>
      <c r="G1253" s="1"/>
      <c r="H1253" t="s">
        <v>1519</v>
      </c>
      <c r="I1253" s="2">
        <v>48.45</v>
      </c>
      <c r="J1253" s="2" t="s">
        <v>43</v>
      </c>
      <c r="K125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53" s="3"/>
      <c r="M1253"/>
      <c r="N125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48.45</v>
      </c>
      <c r="O125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46071</v>
      </c>
      <c r="P1253" t="s">
        <v>25</v>
      </c>
      <c r="Q1253"/>
      <c r="R1253" s="1"/>
      <c r="S1253" s="24"/>
      <c r="T1253"/>
      <c r="U1253"/>
    </row>
    <row r="1254" spans="2:21" s="49" customFormat="1" ht="18.75" hidden="1" customHeight="1">
      <c r="B1254" s="1"/>
      <c r="C1254"/>
      <c r="D1254" s="1">
        <v>46036</v>
      </c>
      <c r="E1254" s="29" t="s">
        <v>2075</v>
      </c>
      <c r="F1254" s="1"/>
      <c r="G1254" s="1"/>
      <c r="H1254" s="49" t="s">
        <v>69</v>
      </c>
      <c r="I1254" s="2">
        <v>499.43</v>
      </c>
      <c r="J1254" s="2" t="s">
        <v>55</v>
      </c>
      <c r="K125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54" s="3"/>
      <c r="M1254" s="11"/>
      <c r="N125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499.43</v>
      </c>
      <c r="O1254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54" t="s">
        <v>25</v>
      </c>
      <c r="Q1254" t="s">
        <v>2076</v>
      </c>
      <c r="R1254" s="1"/>
      <c r="S1254"/>
      <c r="T1254" s="49" t="s">
        <v>2077</v>
      </c>
      <c r="U1254" t="s">
        <v>32</v>
      </c>
    </row>
    <row r="1255" spans="2:21" s="49" customFormat="1" ht="18.75" hidden="1" customHeight="1">
      <c r="B1255" s="1"/>
      <c r="C1255"/>
      <c r="D1255" s="1">
        <v>46036</v>
      </c>
      <c r="E1255" s="29" t="s">
        <v>2078</v>
      </c>
      <c r="F1255" s="1"/>
      <c r="G1255" s="1"/>
      <c r="H1255" s="49" t="s">
        <v>69</v>
      </c>
      <c r="I1255" s="2">
        <v>7106.1</v>
      </c>
      <c r="J1255" s="2" t="s">
        <v>55</v>
      </c>
      <c r="K1255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55" s="3"/>
      <c r="M1255" s="11"/>
      <c r="N1255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7106.1</v>
      </c>
      <c r="O1255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55" t="s">
        <v>25</v>
      </c>
      <c r="Q1255" t="s">
        <v>2076</v>
      </c>
      <c r="R1255" s="1"/>
      <c r="S1255"/>
      <c r="T1255" s="49" t="s">
        <v>2079</v>
      </c>
      <c r="U1255" t="s">
        <v>32</v>
      </c>
    </row>
    <row r="1256" spans="2:21" s="49" customFormat="1" ht="18.75" hidden="1" customHeight="1">
      <c r="B1256" s="56"/>
      <c r="C1256" s="57"/>
      <c r="D1256" s="48">
        <v>46107</v>
      </c>
      <c r="E1256" s="50" t="s">
        <v>2080</v>
      </c>
      <c r="F1256" s="48"/>
      <c r="G1256" s="48"/>
      <c r="H1256" s="49" t="s">
        <v>69</v>
      </c>
      <c r="I1256" s="58">
        <v>-17697.68</v>
      </c>
      <c r="J1256" s="58" t="s">
        <v>55</v>
      </c>
      <c r="K1256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56" s="90"/>
      <c r="M1256" s="58"/>
      <c r="N1256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-17697.68</v>
      </c>
      <c r="O1256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56" s="49" t="s">
        <v>25</v>
      </c>
      <c r="Q1256" s="49" t="s">
        <v>31</v>
      </c>
      <c r="S1256" s="59" t="s">
        <v>45</v>
      </c>
      <c r="T1256" s="49" t="s">
        <v>2081</v>
      </c>
    </row>
    <row r="1257" spans="2:21" s="49" customFormat="1" ht="18.75" hidden="1" customHeight="1">
      <c r="B1257" s="56"/>
      <c r="C1257" s="57"/>
      <c r="D1257" s="48">
        <v>46141</v>
      </c>
      <c r="E1257" s="50" t="s">
        <v>2082</v>
      </c>
      <c r="F1257" s="48"/>
      <c r="G1257" s="48"/>
      <c r="H1257" s="49" t="s">
        <v>69</v>
      </c>
      <c r="I1257" s="51">
        <v>0</v>
      </c>
      <c r="J1257" s="51" t="s">
        <v>55</v>
      </c>
      <c r="K1257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57" s="52"/>
      <c r="M1257" s="58"/>
      <c r="N1257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0</v>
      </c>
      <c r="O1257" s="9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57" s="49" t="s">
        <v>25</v>
      </c>
      <c r="Q1257" s="49" t="s">
        <v>556</v>
      </c>
      <c r="S1257" s="59" t="s">
        <v>45</v>
      </c>
      <c r="U1257" s="49" t="s">
        <v>32</v>
      </c>
    </row>
    <row r="1258" spans="2:21" s="49" customFormat="1" ht="18.75" hidden="1" customHeight="1">
      <c r="B1258" s="83"/>
      <c r="C1258" s="77"/>
      <c r="D1258" s="76">
        <v>46154</v>
      </c>
      <c r="E1258" s="78" t="s">
        <v>2083</v>
      </c>
      <c r="F1258" s="76"/>
      <c r="G1258" s="76"/>
      <c r="H1258" s="63" t="s">
        <v>1046</v>
      </c>
      <c r="I1258" s="79">
        <v>0</v>
      </c>
      <c r="J1258" s="79" t="s">
        <v>43</v>
      </c>
      <c r="K1258" s="172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58" s="80"/>
      <c r="M1258" s="81"/>
      <c r="N1258" s="17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0</v>
      </c>
      <c r="O1258" s="173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46154</v>
      </c>
      <c r="P1258" s="63" t="s">
        <v>25</v>
      </c>
      <c r="Q1258" s="63" t="s">
        <v>2084</v>
      </c>
      <c r="R1258" s="63"/>
      <c r="S1258" s="82" t="s">
        <v>45</v>
      </c>
      <c r="T1258" s="63"/>
      <c r="U1258" s="63"/>
    </row>
    <row r="1259" spans="2:21" s="49" customFormat="1" ht="18.75" hidden="1" customHeight="1">
      <c r="B1259" s="56"/>
      <c r="C1259" s="57"/>
      <c r="D1259" s="48">
        <v>46161</v>
      </c>
      <c r="E1259" s="50" t="s">
        <v>2085</v>
      </c>
      <c r="F1259" s="48"/>
      <c r="G1259" s="48"/>
      <c r="H1259" s="49" t="s">
        <v>1046</v>
      </c>
      <c r="I1259" s="51">
        <v>120</v>
      </c>
      <c r="J1259" s="51" t="s">
        <v>43</v>
      </c>
      <c r="K1259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59" s="52"/>
      <c r="M1259" s="58"/>
      <c r="N1259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1259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46161</v>
      </c>
      <c r="P1259" s="49" t="s">
        <v>25</v>
      </c>
      <c r="Q1259" s="49" t="s">
        <v>2086</v>
      </c>
      <c r="R1259" s="48">
        <v>46170</v>
      </c>
      <c r="S1259" s="59" t="s">
        <v>45</v>
      </c>
      <c r="U1259" s="49" t="s">
        <v>32</v>
      </c>
    </row>
    <row r="1260" spans="2:21" s="49" customFormat="1" ht="18.75" hidden="1" customHeight="1">
      <c r="B1260" s="56"/>
      <c r="C1260" s="57"/>
      <c r="D1260" s="48">
        <v>46171</v>
      </c>
      <c r="E1260" s="50" t="s">
        <v>2087</v>
      </c>
      <c r="F1260" s="48"/>
      <c r="G1260" s="48"/>
      <c r="H1260" s="49" t="s">
        <v>108</v>
      </c>
      <c r="I1260" s="51">
        <v>-126.11</v>
      </c>
      <c r="J1260" s="51" t="s">
        <v>30</v>
      </c>
      <c r="K126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60" s="52"/>
      <c r="M1260" s="58"/>
      <c r="N1260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-126.11</v>
      </c>
      <c r="O1260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46231</v>
      </c>
      <c r="P1260" s="49" t="s">
        <v>25</v>
      </c>
      <c r="Q1260" s="49" t="s">
        <v>241</v>
      </c>
      <c r="R1260" s="48">
        <v>46219</v>
      </c>
      <c r="S1260" s="59" t="s">
        <v>27</v>
      </c>
      <c r="U1260" s="49" t="s">
        <v>32</v>
      </c>
    </row>
    <row r="1261" spans="2:21" s="49" customFormat="1" ht="18.75" hidden="1" customHeight="1">
      <c r="B1261" s="56"/>
      <c r="C1261" s="57"/>
      <c r="D1261" s="48">
        <v>46171</v>
      </c>
      <c r="E1261" s="50" t="s">
        <v>2088</v>
      </c>
      <c r="F1261" s="48"/>
      <c r="G1261" s="48"/>
      <c r="H1261" s="49" t="s">
        <v>108</v>
      </c>
      <c r="I1261" s="51">
        <v>-846.08</v>
      </c>
      <c r="J1261" s="51" t="s">
        <v>30</v>
      </c>
      <c r="K1261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61" s="52"/>
      <c r="M1261" s="58"/>
      <c r="N1261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-846.08</v>
      </c>
      <c r="O1261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46231</v>
      </c>
      <c r="P1261" s="49" t="s">
        <v>25</v>
      </c>
      <c r="Q1261" s="49" t="s">
        <v>241</v>
      </c>
      <c r="R1261" s="48">
        <v>46219</v>
      </c>
      <c r="S1261" s="59" t="s">
        <v>27</v>
      </c>
      <c r="U1261" s="49" t="s">
        <v>32</v>
      </c>
    </row>
    <row r="1262" spans="2:21" s="49" customFormat="1" ht="18.75" hidden="1" customHeight="1">
      <c r="B1262" s="56"/>
      <c r="C1262" s="57"/>
      <c r="D1262" s="48">
        <v>46168</v>
      </c>
      <c r="E1262" s="50" t="s">
        <v>2089</v>
      </c>
      <c r="F1262" s="48"/>
      <c r="G1262" s="48"/>
      <c r="H1262" s="49" t="s">
        <v>1046</v>
      </c>
      <c r="I1262" s="51">
        <v>112.5</v>
      </c>
      <c r="J1262" s="51" t="s">
        <v>43</v>
      </c>
      <c r="K126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62" s="52"/>
      <c r="M1262" s="58"/>
      <c r="N1262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112.5</v>
      </c>
      <c r="O1262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46168</v>
      </c>
      <c r="P1262" s="49" t="s">
        <v>25</v>
      </c>
      <c r="Q1262" s="49" t="s">
        <v>2090</v>
      </c>
      <c r="R1262" s="48">
        <v>46170</v>
      </c>
      <c r="S1262" s="59" t="s">
        <v>45</v>
      </c>
      <c r="U1262" s="49" t="s">
        <v>32</v>
      </c>
    </row>
    <row r="1263" spans="2:21" s="49" customFormat="1" ht="18.75" hidden="1" customHeight="1">
      <c r="B1263" s="56"/>
      <c r="C1263" s="57"/>
      <c r="D1263" s="48">
        <v>46169</v>
      </c>
      <c r="E1263" s="50">
        <v>175290</v>
      </c>
      <c r="F1263" s="48"/>
      <c r="G1263" s="48"/>
      <c r="H1263" s="49" t="s">
        <v>2091</v>
      </c>
      <c r="I1263" s="51">
        <v>750</v>
      </c>
      <c r="J1263" s="51" t="s">
        <v>43</v>
      </c>
      <c r="K1263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63" s="52"/>
      <c r="M1263" s="58"/>
      <c r="N1263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750</v>
      </c>
      <c r="O1263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46169</v>
      </c>
      <c r="P1263" s="49" t="s">
        <v>25</v>
      </c>
      <c r="Q1263" s="49" t="s">
        <v>2092</v>
      </c>
      <c r="R1263" s="48">
        <v>46171</v>
      </c>
      <c r="S1263" s="59" t="s">
        <v>27</v>
      </c>
    </row>
    <row r="1264" spans="2:21" s="49" customFormat="1" ht="18.75" hidden="1" customHeight="1">
      <c r="B1264" s="56">
        <v>46171</v>
      </c>
      <c r="C1264" s="57"/>
      <c r="D1264" s="48">
        <v>46174</v>
      </c>
      <c r="E1264" s="50" t="s">
        <v>2093</v>
      </c>
      <c r="F1264" s="48"/>
      <c r="G1264" s="48"/>
      <c r="H1264" s="49" t="s">
        <v>54</v>
      </c>
      <c r="I1264" s="51">
        <v>222.77</v>
      </c>
      <c r="J1264" s="51" t="s">
        <v>55</v>
      </c>
      <c r="K1264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64" s="52"/>
      <c r="M1264" s="58"/>
      <c r="N1264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222.77</v>
      </c>
      <c r="O1264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64" s="49" t="s">
        <v>25</v>
      </c>
      <c r="Q1264" s="49" t="s">
        <v>2094</v>
      </c>
      <c r="R1264" s="48">
        <v>46171</v>
      </c>
      <c r="S1264" s="59" t="s">
        <v>27</v>
      </c>
      <c r="U1264" s="49" t="s">
        <v>32</v>
      </c>
    </row>
    <row r="1265" spans="2:21" s="49" customFormat="1" ht="18.75" hidden="1" customHeight="1">
      <c r="B1265" s="56"/>
      <c r="C1265" s="57"/>
      <c r="D1265" s="48">
        <v>46170</v>
      </c>
      <c r="E1265" s="50">
        <v>286</v>
      </c>
      <c r="F1265" s="48"/>
      <c r="G1265" s="48"/>
      <c r="H1265" s="49" t="s">
        <v>1251</v>
      </c>
      <c r="I1265" s="51">
        <v>10400</v>
      </c>
      <c r="J1265" s="51" t="s">
        <v>55</v>
      </c>
      <c r="K1265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65" s="52"/>
      <c r="M1265" s="58"/>
      <c r="N1265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10400</v>
      </c>
      <c r="O1265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65" s="49" t="s">
        <v>25</v>
      </c>
      <c r="S1265" s="59"/>
      <c r="U1265" s="49" t="s">
        <v>32</v>
      </c>
    </row>
    <row r="1266" spans="2:21" s="49" customFormat="1" ht="18.75" hidden="1" customHeight="1">
      <c r="B1266" s="56"/>
      <c r="C1266" s="57"/>
      <c r="D1266" s="48">
        <v>46174</v>
      </c>
      <c r="E1266" s="61">
        <v>46174</v>
      </c>
      <c r="F1266" s="48"/>
      <c r="G1266" s="48"/>
      <c r="H1266" s="49" t="s">
        <v>432</v>
      </c>
      <c r="I1266" s="51">
        <v>2000</v>
      </c>
      <c r="J1266" s="51" t="s">
        <v>43</v>
      </c>
      <c r="K1266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66" s="52"/>
      <c r="M1266" s="58"/>
      <c r="N1266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2000</v>
      </c>
      <c r="O1266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46174</v>
      </c>
      <c r="P1266" s="49" t="s">
        <v>25</v>
      </c>
      <c r="Q1266" s="49" t="s">
        <v>2095</v>
      </c>
      <c r="R1266" s="48">
        <v>46178</v>
      </c>
      <c r="S1266" s="59" t="s">
        <v>45</v>
      </c>
    </row>
    <row r="1267" spans="2:21" s="49" customFormat="1" ht="18.75" hidden="1" customHeight="1">
      <c r="B1267" s="56"/>
      <c r="C1267" s="57"/>
      <c r="D1267" s="48">
        <v>46168</v>
      </c>
      <c r="E1267" s="50" t="s">
        <v>2096</v>
      </c>
      <c r="F1267" s="48"/>
      <c r="G1267" s="48"/>
      <c r="H1267" s="49" t="s">
        <v>1046</v>
      </c>
      <c r="I1267" s="51">
        <v>1601.37</v>
      </c>
      <c r="J1267" s="51" t="s">
        <v>43</v>
      </c>
      <c r="K1267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67" s="52"/>
      <c r="M1267" s="58"/>
      <c r="N1267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1601.37</v>
      </c>
      <c r="O1267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46168</v>
      </c>
      <c r="P1267" s="49" t="s">
        <v>25</v>
      </c>
      <c r="Q1267" s="49" t="s">
        <v>2097</v>
      </c>
      <c r="R1267" s="48">
        <v>46170</v>
      </c>
      <c r="S1267" s="59" t="s">
        <v>45</v>
      </c>
      <c r="U1267" s="49" t="s">
        <v>32</v>
      </c>
    </row>
    <row r="1268" spans="2:21" s="49" customFormat="1" ht="18.75" hidden="1" customHeight="1">
      <c r="B1268" s="83"/>
      <c r="C1268" s="77"/>
      <c r="D1268" s="76">
        <v>46171</v>
      </c>
      <c r="E1268" s="78" t="s">
        <v>2098</v>
      </c>
      <c r="F1268" s="76"/>
      <c r="G1268" s="76"/>
      <c r="H1268" s="63" t="s">
        <v>86</v>
      </c>
      <c r="I1268" s="79">
        <v>460.03</v>
      </c>
      <c r="J1268" s="79" t="s">
        <v>55</v>
      </c>
      <c r="K1268" s="79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68" s="80"/>
      <c r="M1268" s="81"/>
      <c r="N1268" s="79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460.03</v>
      </c>
      <c r="O1268" s="8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68" s="63" t="s">
        <v>25</v>
      </c>
      <c r="Q1268" s="63" t="s">
        <v>2099</v>
      </c>
      <c r="R1268" s="63"/>
      <c r="S1268" s="82"/>
      <c r="T1268" s="63"/>
      <c r="U1268" s="63"/>
    </row>
    <row r="1269" spans="2:21" s="49" customFormat="1" ht="18.75" hidden="1" customHeight="1">
      <c r="B1269" s="83"/>
      <c r="C1269" s="77"/>
      <c r="D1269" s="76">
        <v>46171</v>
      </c>
      <c r="E1269" s="78" t="s">
        <v>2100</v>
      </c>
      <c r="F1269" s="76"/>
      <c r="G1269" s="76"/>
      <c r="H1269" s="63" t="s">
        <v>86</v>
      </c>
      <c r="I1269" s="79">
        <v>13</v>
      </c>
      <c r="J1269" s="79" t="s">
        <v>55</v>
      </c>
      <c r="K1269" s="79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69" s="80"/>
      <c r="M1269" s="81"/>
      <c r="N1269" s="79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</v>
      </c>
      <c r="O1269" s="80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69" s="63" t="s">
        <v>25</v>
      </c>
      <c r="Q1269" s="63" t="s">
        <v>2101</v>
      </c>
      <c r="R1269" s="63"/>
      <c r="S1269" s="82"/>
      <c r="T1269" s="63"/>
      <c r="U1269" s="63"/>
    </row>
    <row r="1270" spans="2:21" s="49" customFormat="1" ht="18.75" hidden="1" customHeight="1">
      <c r="B1270" s="56"/>
      <c r="C1270" s="57"/>
      <c r="D1270" s="48">
        <v>46142</v>
      </c>
      <c r="E1270" s="50" t="s">
        <v>2102</v>
      </c>
      <c r="F1270" s="48"/>
      <c r="G1270" s="48"/>
      <c r="H1270" s="49" t="s">
        <v>2103</v>
      </c>
      <c r="I1270" s="51">
        <v>6000</v>
      </c>
      <c r="J1270" s="51" t="s">
        <v>55</v>
      </c>
      <c r="K127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70" s="52"/>
      <c r="M1270" s="58"/>
      <c r="N1270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6000</v>
      </c>
      <c r="O1270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70" s="49" t="s">
        <v>25</v>
      </c>
      <c r="Q1270" s="49" t="s">
        <v>2104</v>
      </c>
      <c r="R1270" s="48">
        <v>46178</v>
      </c>
      <c r="S1270" s="59" t="s">
        <v>45</v>
      </c>
    </row>
    <row r="1271" spans="2:21" s="49" customFormat="1" ht="18.75" hidden="1" customHeight="1">
      <c r="B1271" s="56"/>
      <c r="C1271" s="57"/>
      <c r="D1271" s="48">
        <v>46169</v>
      </c>
      <c r="E1271" s="50" t="s">
        <v>2105</v>
      </c>
      <c r="F1271" s="48"/>
      <c r="G1271" s="48"/>
      <c r="H1271" s="49" t="s">
        <v>1046</v>
      </c>
      <c r="I1271" s="51">
        <v>660</v>
      </c>
      <c r="J1271" s="51" t="s">
        <v>43</v>
      </c>
      <c r="K1271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71" s="52"/>
      <c r="M1271" s="58"/>
      <c r="N1271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660</v>
      </c>
      <c r="O1271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46169</v>
      </c>
      <c r="P1271" s="49" t="s">
        <v>25</v>
      </c>
      <c r="Q1271" s="49" t="s">
        <v>2106</v>
      </c>
      <c r="R1271" s="48">
        <v>46170</v>
      </c>
      <c r="S1271" s="59" t="s">
        <v>45</v>
      </c>
      <c r="U1271" s="49" t="s">
        <v>32</v>
      </c>
    </row>
    <row r="1272" spans="2:21" s="49" customFormat="1" ht="18.75" hidden="1" customHeight="1">
      <c r="B1272" s="56"/>
      <c r="C1272" s="57"/>
      <c r="D1272" s="48">
        <v>46170</v>
      </c>
      <c r="E1272" s="50" t="s">
        <v>2107</v>
      </c>
      <c r="F1272" s="48"/>
      <c r="G1272" s="48"/>
      <c r="H1272" s="49" t="s">
        <v>1067</v>
      </c>
      <c r="I1272" s="51">
        <v>23.93</v>
      </c>
      <c r="J1272" s="51" t="s">
        <v>43</v>
      </c>
      <c r="K127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72" s="52"/>
      <c r="M1272" s="58"/>
      <c r="N1272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23.93</v>
      </c>
      <c r="O1272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46170</v>
      </c>
      <c r="P1272" s="49" t="s">
        <v>25</v>
      </c>
      <c r="Q1272" s="49" t="s">
        <v>2108</v>
      </c>
      <c r="S1272" s="59"/>
    </row>
    <row r="1273" spans="2:21" s="49" customFormat="1" ht="18.75" hidden="1" customHeight="1">
      <c r="B1273" s="56">
        <v>46176</v>
      </c>
      <c r="C1273" s="57"/>
      <c r="D1273" s="48">
        <v>46182</v>
      </c>
      <c r="E1273" s="50">
        <v>1290</v>
      </c>
      <c r="F1273" s="48"/>
      <c r="G1273" s="48"/>
      <c r="H1273" s="49" t="s">
        <v>2109</v>
      </c>
      <c r="I1273" s="51">
        <v>358.5</v>
      </c>
      <c r="J1273" s="51" t="s">
        <v>55</v>
      </c>
      <c r="K1273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73" s="52"/>
      <c r="M1273" s="58"/>
      <c r="N1273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358.5</v>
      </c>
      <c r="O1273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73" s="49" t="s">
        <v>25</v>
      </c>
      <c r="Q1273" s="49" t="s">
        <v>2110</v>
      </c>
      <c r="R1273" s="48">
        <v>46178</v>
      </c>
      <c r="S1273" s="59" t="s">
        <v>27</v>
      </c>
    </row>
    <row r="1274" spans="2:21" s="49" customFormat="1" ht="18.75" hidden="1" customHeight="1">
      <c r="B1274" s="56">
        <v>46176</v>
      </c>
      <c r="C1274" s="57"/>
      <c r="D1274" s="48">
        <v>46181</v>
      </c>
      <c r="E1274" s="50" t="s">
        <v>2111</v>
      </c>
      <c r="F1274" s="48"/>
      <c r="G1274" s="48"/>
      <c r="H1274" s="49" t="s">
        <v>54</v>
      </c>
      <c r="I1274" s="51">
        <v>93.74</v>
      </c>
      <c r="J1274" s="51" t="s">
        <v>55</v>
      </c>
      <c r="K1274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74" s="52"/>
      <c r="M1274" s="58"/>
      <c r="N1274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93.74</v>
      </c>
      <c r="O1274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74" s="49" t="s">
        <v>25</v>
      </c>
      <c r="Q1274" s="49" t="s">
        <v>2112</v>
      </c>
      <c r="R1274" s="48">
        <v>46178</v>
      </c>
      <c r="S1274" s="59" t="s">
        <v>27</v>
      </c>
      <c r="U1274" s="49" t="s">
        <v>32</v>
      </c>
    </row>
    <row r="1275" spans="2:21" s="49" customFormat="1" ht="18.75" hidden="1" customHeight="1">
      <c r="B1275" s="56"/>
      <c r="C1275" s="57"/>
      <c r="D1275" s="94">
        <v>46149</v>
      </c>
      <c r="E1275" s="50" t="s">
        <v>2113</v>
      </c>
      <c r="F1275" s="48"/>
      <c r="G1275" s="48"/>
      <c r="H1275" s="49" t="s">
        <v>265</v>
      </c>
      <c r="I1275" s="51">
        <v>900</v>
      </c>
      <c r="J1275" s="51" t="s">
        <v>55</v>
      </c>
      <c r="K1275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75" s="52"/>
      <c r="M1275" s="58"/>
      <c r="N1275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900</v>
      </c>
      <c r="O1275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75" s="49" t="s">
        <v>25</v>
      </c>
      <c r="Q1275" s="49" t="s">
        <v>2114</v>
      </c>
      <c r="S1275" s="59" t="s">
        <v>183</v>
      </c>
    </row>
    <row r="1276" spans="2:21" s="49" customFormat="1" ht="18.75" hidden="1" customHeight="1">
      <c r="B1276" s="56"/>
      <c r="C1276" s="57"/>
      <c r="D1276" s="205">
        <v>46149</v>
      </c>
      <c r="E1276" s="50" t="s">
        <v>2115</v>
      </c>
      <c r="F1276" s="48"/>
      <c r="G1276" s="48"/>
      <c r="H1276" s="49" t="s">
        <v>265</v>
      </c>
      <c r="I1276" s="51">
        <v>900</v>
      </c>
      <c r="J1276" s="51" t="s">
        <v>55</v>
      </c>
      <c r="K1276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76" s="52"/>
      <c r="M1276" s="58"/>
      <c r="N1276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900</v>
      </c>
      <c r="O1276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76" s="49" t="s">
        <v>25</v>
      </c>
      <c r="Q1276" s="49" t="s">
        <v>2116</v>
      </c>
      <c r="S1276" s="59" t="s">
        <v>183</v>
      </c>
    </row>
    <row r="1277" spans="2:21" s="49" customFormat="1" ht="18.75" hidden="1" customHeight="1">
      <c r="B1277" s="56"/>
      <c r="C1277" s="57"/>
      <c r="D1277" s="94">
        <v>46149</v>
      </c>
      <c r="E1277" s="50" t="s">
        <v>2117</v>
      </c>
      <c r="F1277" s="48"/>
      <c r="G1277" s="48"/>
      <c r="H1277" s="49" t="s">
        <v>265</v>
      </c>
      <c r="I1277" s="51">
        <v>900</v>
      </c>
      <c r="J1277" s="51" t="s">
        <v>55</v>
      </c>
      <c r="K1277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77" s="52"/>
      <c r="M1277" s="58"/>
      <c r="N1277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900</v>
      </c>
      <c r="O1277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77" s="49" t="s">
        <v>25</v>
      </c>
      <c r="Q1277" s="49" t="s">
        <v>2118</v>
      </c>
      <c r="S1277" s="59" t="s">
        <v>183</v>
      </c>
    </row>
    <row r="1278" spans="2:21" s="49" customFormat="1" ht="18.75" hidden="1" customHeight="1">
      <c r="B1278" s="56"/>
      <c r="C1278" s="57"/>
      <c r="D1278" s="48">
        <v>46169</v>
      </c>
      <c r="E1278" s="50" t="s">
        <v>2119</v>
      </c>
      <c r="F1278" s="48"/>
      <c r="G1278" s="48"/>
      <c r="H1278" s="49" t="s">
        <v>1046</v>
      </c>
      <c r="I1278" s="51">
        <v>660</v>
      </c>
      <c r="J1278" s="51" t="s">
        <v>43</v>
      </c>
      <c r="K1278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78" s="52"/>
      <c r="M1278" s="58"/>
      <c r="N1278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660</v>
      </c>
      <c r="O1278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46169</v>
      </c>
      <c r="P1278" s="49" t="s">
        <v>25</v>
      </c>
      <c r="Q1278" s="49" t="s">
        <v>198</v>
      </c>
      <c r="R1278" s="48">
        <v>46170</v>
      </c>
      <c r="S1278" s="59" t="s">
        <v>45</v>
      </c>
      <c r="U1278" s="49" t="s">
        <v>32</v>
      </c>
    </row>
    <row r="1279" spans="2:21" s="49" customFormat="1" ht="18.75" hidden="1" customHeight="1">
      <c r="B1279" s="56"/>
      <c r="C1279" s="57"/>
      <c r="D1279" s="48">
        <v>46171</v>
      </c>
      <c r="E1279" s="50" t="s">
        <v>2120</v>
      </c>
      <c r="F1279" s="48"/>
      <c r="G1279" s="48"/>
      <c r="H1279" s="49" t="s">
        <v>1067</v>
      </c>
      <c r="I1279" s="51">
        <v>52.99</v>
      </c>
      <c r="J1279" s="51" t="s">
        <v>43</v>
      </c>
      <c r="K1279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79" s="52"/>
      <c r="M1279" s="58"/>
      <c r="N1279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52.99</v>
      </c>
      <c r="O1279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46171</v>
      </c>
      <c r="P1279" s="49" t="s">
        <v>25</v>
      </c>
      <c r="Q1279" s="49" t="s">
        <v>2121</v>
      </c>
      <c r="S1279" s="59"/>
    </row>
    <row r="1280" spans="2:21" s="49" customFormat="1" ht="18.75" hidden="1" customHeight="1">
      <c r="B1280" s="56"/>
      <c r="C1280" s="57"/>
      <c r="D1280" s="48">
        <v>46163</v>
      </c>
      <c r="E1280" s="50" t="s">
        <v>2122</v>
      </c>
      <c r="F1280" s="48"/>
      <c r="G1280" s="48"/>
      <c r="H1280" s="49" t="s">
        <v>1067</v>
      </c>
      <c r="I1280" s="51">
        <v>37.99</v>
      </c>
      <c r="J1280" s="51" t="s">
        <v>43</v>
      </c>
      <c r="K128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80" s="52"/>
      <c r="M1280" s="58"/>
      <c r="N1280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37.99</v>
      </c>
      <c r="O1280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46163</v>
      </c>
      <c r="P1280" s="49" t="s">
        <v>25</v>
      </c>
      <c r="Q1280" s="49" t="s">
        <v>2123</v>
      </c>
      <c r="S1280" s="59"/>
    </row>
    <row r="1281" spans="2:21" s="49" customFormat="1" ht="18.75" hidden="1" customHeight="1">
      <c r="B1281" s="56"/>
      <c r="C1281" s="57"/>
      <c r="D1281" s="48">
        <v>46171</v>
      </c>
      <c r="E1281" s="50" t="s">
        <v>2124</v>
      </c>
      <c r="F1281" s="48"/>
      <c r="G1281" s="48"/>
      <c r="H1281" s="49" t="s">
        <v>1064</v>
      </c>
      <c r="I1281" s="51">
        <v>24.99</v>
      </c>
      <c r="J1281" s="51" t="s">
        <v>43</v>
      </c>
      <c r="K1281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81" s="52"/>
      <c r="M1281" s="58"/>
      <c r="N1281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24.99</v>
      </c>
      <c r="O1281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46171</v>
      </c>
      <c r="P1281" s="49" t="s">
        <v>25</v>
      </c>
      <c r="Q1281" s="49" t="s">
        <v>2125</v>
      </c>
      <c r="S1281" s="59"/>
    </row>
    <row r="1282" spans="2:21" s="49" customFormat="1" ht="18.75" hidden="1" customHeight="1">
      <c r="B1282" s="56"/>
      <c r="C1282" s="57"/>
      <c r="D1282" s="48">
        <v>46170</v>
      </c>
      <c r="E1282" s="50" t="s">
        <v>2126</v>
      </c>
      <c r="F1282" s="48"/>
      <c r="G1282" s="48"/>
      <c r="H1282" s="49" t="s">
        <v>1064</v>
      </c>
      <c r="I1282" s="51">
        <v>31.49</v>
      </c>
      <c r="J1282" s="51" t="s">
        <v>43</v>
      </c>
      <c r="K128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82" s="52"/>
      <c r="M1282" s="58"/>
      <c r="N1282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31.49</v>
      </c>
      <c r="O1282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46170</v>
      </c>
      <c r="P1282" s="49" t="s">
        <v>25</v>
      </c>
      <c r="Q1282" s="49" t="s">
        <v>2127</v>
      </c>
      <c r="S1282" s="59"/>
    </row>
    <row r="1283" spans="2:21" s="49" customFormat="1" ht="18.75" hidden="1" customHeight="1">
      <c r="B1283" s="56"/>
      <c r="C1283" s="57"/>
      <c r="D1283" s="48">
        <v>46169</v>
      </c>
      <c r="E1283" s="50" t="s">
        <v>2128</v>
      </c>
      <c r="F1283" s="48"/>
      <c r="G1283" s="48"/>
      <c r="H1283" s="49" t="s">
        <v>1046</v>
      </c>
      <c r="I1283" s="51">
        <v>120</v>
      </c>
      <c r="J1283" s="51" t="s">
        <v>43</v>
      </c>
      <c r="K1283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83" s="52"/>
      <c r="M1283" s="58"/>
      <c r="N1283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1283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46169</v>
      </c>
      <c r="P1283" s="49" t="s">
        <v>25</v>
      </c>
      <c r="Q1283" s="49" t="s">
        <v>2129</v>
      </c>
      <c r="R1283" s="48">
        <v>46170</v>
      </c>
      <c r="S1283" s="59" t="s">
        <v>45</v>
      </c>
      <c r="U1283" s="49" t="s">
        <v>32</v>
      </c>
    </row>
    <row r="1284" spans="2:21" s="49" customFormat="1" ht="18.75" hidden="1" customHeight="1">
      <c r="B1284" s="56"/>
      <c r="C1284" s="57"/>
      <c r="D1284" s="48">
        <v>46170</v>
      </c>
      <c r="E1284" s="50" t="s">
        <v>2130</v>
      </c>
      <c r="F1284" s="48"/>
      <c r="G1284" s="48"/>
      <c r="H1284" s="49" t="s">
        <v>1046</v>
      </c>
      <c r="I1284" s="51">
        <v>120</v>
      </c>
      <c r="J1284" s="51" t="s">
        <v>43</v>
      </c>
      <c r="K1284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84" s="52"/>
      <c r="M1284" s="58"/>
      <c r="N1284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1284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46170</v>
      </c>
      <c r="P1284" s="49" t="s">
        <v>25</v>
      </c>
      <c r="Q1284" s="49" t="s">
        <v>2131</v>
      </c>
      <c r="R1284" s="48">
        <v>46178</v>
      </c>
      <c r="S1284" s="59" t="s">
        <v>45</v>
      </c>
      <c r="U1284" s="49" t="s">
        <v>32</v>
      </c>
    </row>
    <row r="1285" spans="2:21" s="49" customFormat="1" ht="18.75" hidden="1" customHeight="1">
      <c r="B1285" s="83"/>
      <c r="C1285" s="77"/>
      <c r="D1285" s="76">
        <v>46170</v>
      </c>
      <c r="E1285" s="78" t="s">
        <v>2132</v>
      </c>
      <c r="F1285" s="76"/>
      <c r="G1285" s="76"/>
      <c r="H1285" s="63" t="s">
        <v>1046</v>
      </c>
      <c r="I1285" s="79">
        <v>0</v>
      </c>
      <c r="J1285" s="79" t="s">
        <v>43</v>
      </c>
      <c r="K1285" s="79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85" s="80"/>
      <c r="M1285" s="81"/>
      <c r="N1285" s="79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0</v>
      </c>
      <c r="O1285" s="8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46170</v>
      </c>
      <c r="P1285" s="63" t="s">
        <v>25</v>
      </c>
      <c r="Q1285" s="63" t="s">
        <v>2133</v>
      </c>
      <c r="R1285" s="63"/>
      <c r="S1285" s="82" t="s">
        <v>45</v>
      </c>
      <c r="T1285" s="63"/>
      <c r="U1285" s="63"/>
    </row>
    <row r="1286" spans="2:21" s="49" customFormat="1" ht="18.75" hidden="1" customHeight="1">
      <c r="B1286" s="56"/>
      <c r="C1286" s="57"/>
      <c r="D1286" s="48">
        <v>46170</v>
      </c>
      <c r="E1286" s="50" t="s">
        <v>2134</v>
      </c>
      <c r="F1286" s="48"/>
      <c r="G1286" s="48"/>
      <c r="H1286" s="49" t="s">
        <v>1046</v>
      </c>
      <c r="I1286" s="51">
        <v>120</v>
      </c>
      <c r="J1286" s="51" t="s">
        <v>43</v>
      </c>
      <c r="K1286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86" s="52"/>
      <c r="M1286" s="58"/>
      <c r="N1286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1286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46170</v>
      </c>
      <c r="P1286" s="49" t="s">
        <v>25</v>
      </c>
      <c r="Q1286" s="49" t="s">
        <v>2135</v>
      </c>
      <c r="R1286" s="48">
        <v>46178</v>
      </c>
      <c r="S1286" s="59" t="s">
        <v>45</v>
      </c>
      <c r="U1286" s="49" t="s">
        <v>32</v>
      </c>
    </row>
    <row r="1287" spans="2:21" s="235" customFormat="1" ht="18.75" hidden="1" customHeight="1">
      <c r="B1287" s="56"/>
      <c r="C1287" s="57"/>
      <c r="D1287" s="48">
        <v>46170</v>
      </c>
      <c r="E1287" s="50" t="s">
        <v>2136</v>
      </c>
      <c r="F1287" s="48"/>
      <c r="G1287" s="48"/>
      <c r="H1287" s="49" t="s">
        <v>1046</v>
      </c>
      <c r="I1287" s="51">
        <v>120</v>
      </c>
      <c r="J1287" s="51" t="s">
        <v>43</v>
      </c>
      <c r="K1287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87" s="52"/>
      <c r="M1287" s="58"/>
      <c r="N1287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1287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46170</v>
      </c>
      <c r="P1287" s="49" t="s">
        <v>25</v>
      </c>
      <c r="Q1287" s="49" t="s">
        <v>2137</v>
      </c>
      <c r="R1287" s="48">
        <v>46178</v>
      </c>
      <c r="S1287" s="59" t="s">
        <v>45</v>
      </c>
      <c r="T1287" s="49"/>
      <c r="U1287" s="49" t="s">
        <v>32</v>
      </c>
    </row>
    <row r="1288" spans="2:21" s="49" customFormat="1" ht="18.75" hidden="1" customHeight="1">
      <c r="B1288" s="56"/>
      <c r="C1288" s="57"/>
      <c r="D1288" s="48">
        <v>46181</v>
      </c>
      <c r="E1288" s="50">
        <v>649</v>
      </c>
      <c r="F1288" s="48"/>
      <c r="G1288" s="48"/>
      <c r="H1288" s="49" t="s">
        <v>301</v>
      </c>
      <c r="I1288" s="51">
        <v>50.51</v>
      </c>
      <c r="J1288" s="51" t="s">
        <v>55</v>
      </c>
      <c r="K1288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88" s="52"/>
      <c r="M1288" s="58"/>
      <c r="N1288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50.51</v>
      </c>
      <c r="O1288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88" s="49" t="s">
        <v>25</v>
      </c>
      <c r="Q1288" s="49" t="s">
        <v>229</v>
      </c>
      <c r="R1288" s="48">
        <v>46184</v>
      </c>
      <c r="S1288" s="59" t="s">
        <v>45</v>
      </c>
    </row>
    <row r="1289" spans="2:21" s="49" customFormat="1" ht="18.75" hidden="1" customHeight="1">
      <c r="B1289" s="56"/>
      <c r="C1289" s="57"/>
      <c r="D1289" s="48">
        <v>46177</v>
      </c>
      <c r="E1289" s="50" t="s">
        <v>2138</v>
      </c>
      <c r="F1289" s="48"/>
      <c r="G1289" s="48"/>
      <c r="H1289" s="49" t="s">
        <v>1672</v>
      </c>
      <c r="I1289" s="51">
        <v>454.82</v>
      </c>
      <c r="J1289" s="51" t="s">
        <v>43</v>
      </c>
      <c r="K1289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89" s="52"/>
      <c r="M1289" s="58"/>
      <c r="N1289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454.82</v>
      </c>
      <c r="O1289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46177</v>
      </c>
      <c r="P1289" s="49" t="s">
        <v>25</v>
      </c>
      <c r="Q1289" s="49" t="s">
        <v>2139</v>
      </c>
      <c r="S1289" s="59"/>
    </row>
    <row r="1290" spans="2:21" s="49" customFormat="1" ht="18.75" hidden="1" customHeight="1">
      <c r="B1290" s="56"/>
      <c r="C1290" s="57"/>
      <c r="D1290" s="48">
        <v>46177</v>
      </c>
      <c r="E1290" s="50" t="s">
        <v>2140</v>
      </c>
      <c r="F1290" s="48"/>
      <c r="G1290" s="48"/>
      <c r="H1290" s="49" t="s">
        <v>1672</v>
      </c>
      <c r="I1290" s="51">
        <v>454.82</v>
      </c>
      <c r="J1290" s="51" t="s">
        <v>43</v>
      </c>
      <c r="K129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90" s="52"/>
      <c r="M1290" s="58"/>
      <c r="N1290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454.82</v>
      </c>
      <c r="O1290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46177</v>
      </c>
      <c r="P1290" s="49" t="s">
        <v>25</v>
      </c>
      <c r="Q1290" s="49" t="s">
        <v>2141</v>
      </c>
      <c r="S1290" s="59"/>
    </row>
    <row r="1291" spans="2:21" s="49" customFormat="1" ht="18.75" hidden="1" customHeight="1">
      <c r="B1291" s="56"/>
      <c r="C1291" s="57"/>
      <c r="D1291" s="48">
        <v>46161</v>
      </c>
      <c r="E1291" s="50" t="s">
        <v>116</v>
      </c>
      <c r="F1291" s="48"/>
      <c r="G1291" s="48"/>
      <c r="H1291" s="49" t="s">
        <v>42</v>
      </c>
      <c r="I1291" s="51">
        <v>3200</v>
      </c>
      <c r="J1291" s="51" t="s">
        <v>43</v>
      </c>
      <c r="K1291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91" s="52"/>
      <c r="M1291" s="58"/>
      <c r="N1291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3200</v>
      </c>
      <c r="O1291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46161</v>
      </c>
      <c r="P1291" s="49" t="s">
        <v>25</v>
      </c>
      <c r="Q1291" s="49" t="s">
        <v>117</v>
      </c>
      <c r="R1291" s="48">
        <v>46178</v>
      </c>
      <c r="S1291" s="59" t="s">
        <v>45</v>
      </c>
    </row>
    <row r="1292" spans="2:21" s="49" customFormat="1" ht="18.75" hidden="1" customHeight="1">
      <c r="B1292" s="56"/>
      <c r="C1292" s="57"/>
      <c r="D1292" s="48">
        <v>46178</v>
      </c>
      <c r="E1292" s="50" t="s">
        <v>2142</v>
      </c>
      <c r="F1292" s="48"/>
      <c r="G1292" s="48"/>
      <c r="H1292" s="49" t="s">
        <v>1672</v>
      </c>
      <c r="I1292" s="51">
        <v>53</v>
      </c>
      <c r="J1292" s="51" t="s">
        <v>43</v>
      </c>
      <c r="K129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92" s="52"/>
      <c r="M1292" s="58"/>
      <c r="N1292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53</v>
      </c>
      <c r="O1292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46178</v>
      </c>
      <c r="P1292" s="49" t="s">
        <v>25</v>
      </c>
      <c r="Q1292" s="49" t="s">
        <v>2143</v>
      </c>
      <c r="S1292" s="59"/>
    </row>
    <row r="1293" spans="2:21" s="49" customFormat="1" ht="18.75" hidden="1" customHeight="1">
      <c r="B1293" s="56"/>
      <c r="C1293" s="57"/>
      <c r="D1293" s="48">
        <v>46178</v>
      </c>
      <c r="E1293" s="50" t="s">
        <v>2144</v>
      </c>
      <c r="F1293" s="48" t="s">
        <v>1832</v>
      </c>
      <c r="G1293" s="48"/>
      <c r="H1293" s="49" t="s">
        <v>1672</v>
      </c>
      <c r="I1293" s="51">
        <v>53</v>
      </c>
      <c r="J1293" s="51" t="s">
        <v>43</v>
      </c>
      <c r="K1293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93" s="52"/>
      <c r="M1293" s="58"/>
      <c r="N1293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53</v>
      </c>
      <c r="O1293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46178</v>
      </c>
      <c r="P1293" s="49" t="s">
        <v>25</v>
      </c>
      <c r="Q1293" s="49" t="s">
        <v>2145</v>
      </c>
      <c r="S1293" s="59"/>
    </row>
    <row r="1294" spans="2:21" s="49" customFormat="1" ht="18.75" hidden="1" customHeight="1">
      <c r="B1294" s="56"/>
      <c r="C1294" s="57"/>
      <c r="D1294" s="48">
        <v>46181</v>
      </c>
      <c r="E1294" s="50" t="s">
        <v>2146</v>
      </c>
      <c r="F1294" s="48"/>
      <c r="G1294" s="48"/>
      <c r="H1294" s="49" t="s">
        <v>752</v>
      </c>
      <c r="I1294" s="51">
        <v>7300</v>
      </c>
      <c r="J1294" s="51" t="s">
        <v>55</v>
      </c>
      <c r="K1294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94" s="52"/>
      <c r="M1294" s="58"/>
      <c r="N1294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7300</v>
      </c>
      <c r="O1294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294" s="49" t="s">
        <v>25</v>
      </c>
      <c r="Q1294" s="49" t="s">
        <v>2147</v>
      </c>
      <c r="R1294" s="48">
        <v>46184</v>
      </c>
      <c r="S1294" s="59" t="s">
        <v>45</v>
      </c>
    </row>
    <row r="1295" spans="2:21" s="49" customFormat="1" ht="18.75" hidden="1" customHeight="1">
      <c r="B1295" s="56"/>
      <c r="C1295" s="57"/>
      <c r="D1295" s="48">
        <v>46179</v>
      </c>
      <c r="E1295" s="50" t="s">
        <v>2148</v>
      </c>
      <c r="F1295" s="48"/>
      <c r="G1295" s="48"/>
      <c r="H1295" s="49" t="s">
        <v>1118</v>
      </c>
      <c r="I1295" s="51">
        <v>154.85</v>
      </c>
      <c r="J1295" s="51" t="s">
        <v>43</v>
      </c>
      <c r="K1295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95" s="52"/>
      <c r="M1295" s="58"/>
      <c r="N1295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154.85</v>
      </c>
      <c r="O1295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46179</v>
      </c>
      <c r="P1295" s="49" t="s">
        <v>25</v>
      </c>
      <c r="Q1295" s="49" t="s">
        <v>2149</v>
      </c>
      <c r="S1295" s="59"/>
    </row>
    <row r="1296" spans="2:21" s="49" customFormat="1" ht="18.75" hidden="1" customHeight="1">
      <c r="B1296" s="56"/>
      <c r="C1296" s="57"/>
      <c r="D1296" s="48">
        <v>46179</v>
      </c>
      <c r="E1296" s="50" t="s">
        <v>2150</v>
      </c>
      <c r="F1296" s="48"/>
      <c r="G1296" s="48"/>
      <c r="H1296" s="49" t="s">
        <v>1118</v>
      </c>
      <c r="I1296" s="51">
        <v>258.72000000000003</v>
      </c>
      <c r="J1296" s="51" t="s">
        <v>43</v>
      </c>
      <c r="K1296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96" s="52"/>
      <c r="M1296" s="58"/>
      <c r="N1296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258.72000000000003</v>
      </c>
      <c r="O1296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46179</v>
      </c>
      <c r="P1296" s="49" t="s">
        <v>25</v>
      </c>
      <c r="Q1296" s="49" t="s">
        <v>2151</v>
      </c>
      <c r="S1296" s="59"/>
    </row>
    <row r="1297" spans="2:21" s="49" customFormat="1" ht="18.75" hidden="1" customHeight="1">
      <c r="B1297" s="56"/>
      <c r="C1297" s="57"/>
      <c r="D1297" s="48">
        <v>46170</v>
      </c>
      <c r="E1297" s="50" t="s">
        <v>2152</v>
      </c>
      <c r="F1297" s="48"/>
      <c r="G1297" s="48"/>
      <c r="H1297" s="49" t="s">
        <v>1046</v>
      </c>
      <c r="I1297" s="51">
        <v>3570</v>
      </c>
      <c r="J1297" s="51" t="s">
        <v>43</v>
      </c>
      <c r="K1297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97" s="52"/>
      <c r="M1297" s="58"/>
      <c r="N1297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3570</v>
      </c>
      <c r="O1297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46170</v>
      </c>
      <c r="P1297" s="49" t="s">
        <v>25</v>
      </c>
      <c r="Q1297" s="49" t="s">
        <v>488</v>
      </c>
      <c r="R1297" s="48">
        <v>46178</v>
      </c>
      <c r="S1297" s="59" t="s">
        <v>45</v>
      </c>
      <c r="U1297" s="49" t="s">
        <v>32</v>
      </c>
    </row>
    <row r="1298" spans="2:21" s="49" customFormat="1" ht="18.75" hidden="1" customHeight="1">
      <c r="B1298" s="1">
        <v>46387</v>
      </c>
      <c r="C1298" s="7" t="s">
        <v>2153</v>
      </c>
      <c r="D1298" s="1">
        <v>46068</v>
      </c>
      <c r="E1298" s="29" t="s">
        <v>2154</v>
      </c>
      <c r="F1298" s="1"/>
      <c r="G1298" s="1"/>
      <c r="H1298" t="s">
        <v>23</v>
      </c>
      <c r="I1298" s="2">
        <v>6010.13</v>
      </c>
      <c r="J1298" s="2" t="s">
        <v>24</v>
      </c>
      <c r="K129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1803.039</v>
      </c>
      <c r="L1298" s="3">
        <v>46072</v>
      </c>
      <c r="M1298" t="s">
        <v>25</v>
      </c>
      <c r="N129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4207.0909999999994</v>
      </c>
      <c r="O1298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46128</v>
      </c>
      <c r="P1298" s="49" t="s">
        <v>25</v>
      </c>
      <c r="Q1298" t="s">
        <v>994</v>
      </c>
      <c r="R1298" s="1">
        <v>46121</v>
      </c>
      <c r="S1298" s="24" t="s">
        <v>27</v>
      </c>
      <c r="T1298"/>
      <c r="U1298" t="s">
        <v>32</v>
      </c>
    </row>
    <row r="1299" spans="2:21" s="49" customFormat="1" ht="18.75" hidden="1" customHeight="1">
      <c r="B1299" s="56"/>
      <c r="C1299" s="57"/>
      <c r="D1299" s="48">
        <v>46179</v>
      </c>
      <c r="E1299" s="50">
        <v>1852354628</v>
      </c>
      <c r="F1299" s="48"/>
      <c r="G1299" s="48"/>
      <c r="H1299" s="49" t="s">
        <v>1519</v>
      </c>
      <c r="I1299" s="51">
        <v>53.2</v>
      </c>
      <c r="J1299" s="51" t="s">
        <v>43</v>
      </c>
      <c r="K1299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299" s="52"/>
      <c r="M1299" s="58"/>
      <c r="N1299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53.2</v>
      </c>
      <c r="O1299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46179</v>
      </c>
      <c r="P1299" s="49" t="s">
        <v>25</v>
      </c>
      <c r="Q1299" s="49" t="s">
        <v>2155</v>
      </c>
      <c r="S1299" s="59"/>
    </row>
    <row r="1300" spans="2:21" s="49" customFormat="1" ht="18.75" hidden="1" customHeight="1">
      <c r="B1300" s="56"/>
      <c r="C1300" s="57"/>
      <c r="D1300" s="48">
        <v>46176</v>
      </c>
      <c r="E1300" s="50" t="s">
        <v>2156</v>
      </c>
      <c r="F1300" s="48"/>
      <c r="G1300" s="48"/>
      <c r="H1300" s="49" t="s">
        <v>1746</v>
      </c>
      <c r="I1300" s="51">
        <v>45.29</v>
      </c>
      <c r="J1300" s="51" t="s">
        <v>98</v>
      </c>
      <c r="K1300" s="51" t="str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/>
      </c>
      <c r="L1300" s="52"/>
      <c r="M1300" s="58"/>
      <c r="N1300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45.29</v>
      </c>
      <c r="O1300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300" s="49" t="s">
        <v>25</v>
      </c>
      <c r="Q1300" s="49" t="s">
        <v>2157</v>
      </c>
      <c r="S1300" s="59"/>
    </row>
    <row r="1301" spans="2:21" s="235" customFormat="1" ht="18.75" hidden="1" customHeight="1">
      <c r="B1301" s="44"/>
      <c r="C1301" s="7"/>
      <c r="D1301" s="1">
        <v>46045</v>
      </c>
      <c r="E1301" s="29" t="s">
        <v>2158</v>
      </c>
      <c r="F1301" s="1">
        <v>46051</v>
      </c>
      <c r="G1301" s="1"/>
      <c r="H1301" t="s">
        <v>23</v>
      </c>
      <c r="I1301" s="2">
        <v>84</v>
      </c>
      <c r="J1301" s="2" t="s">
        <v>55</v>
      </c>
      <c r="K1301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01" s="3"/>
      <c r="M1301" s="11"/>
      <c r="N1301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84</v>
      </c>
      <c r="O1301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46051</v>
      </c>
      <c r="P1301" t="s">
        <v>25</v>
      </c>
      <c r="Q1301" t="s">
        <v>2159</v>
      </c>
      <c r="R1301" s="1">
        <v>46051</v>
      </c>
      <c r="S1301" t="s">
        <v>45</v>
      </c>
      <c r="T1301"/>
      <c r="U1301" t="s">
        <v>32</v>
      </c>
    </row>
    <row r="1302" spans="2:21" s="63" customFormat="1" ht="18.75" hidden="1" customHeight="1">
      <c r="B1302" s="56"/>
      <c r="C1302" s="57"/>
      <c r="D1302" s="48">
        <v>46177</v>
      </c>
      <c r="E1302" s="50" t="s">
        <v>2160</v>
      </c>
      <c r="F1302" s="48"/>
      <c r="G1302" s="48"/>
      <c r="H1302" s="49" t="s">
        <v>1118</v>
      </c>
      <c r="I1302" s="51">
        <v>258.60000000000002</v>
      </c>
      <c r="J1302" s="51" t="s">
        <v>43</v>
      </c>
      <c r="K130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02" s="52"/>
      <c r="M1302" s="58"/>
      <c r="N1302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258.60000000000002</v>
      </c>
      <c r="O1302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46177</v>
      </c>
      <c r="P1302" s="49" t="s">
        <v>25</v>
      </c>
      <c r="Q1302" s="49" t="s">
        <v>2161</v>
      </c>
      <c r="R1302" s="49"/>
      <c r="S1302" s="59"/>
      <c r="T1302" s="49"/>
      <c r="U1302" s="49"/>
    </row>
    <row r="1303" spans="2:21" s="49" customFormat="1" ht="18.75" hidden="1" customHeight="1">
      <c r="B1303" s="44"/>
      <c r="C1303" s="7"/>
      <c r="D1303" s="1">
        <v>46142</v>
      </c>
      <c r="E1303" s="29" t="s">
        <v>2162</v>
      </c>
      <c r="F1303" s="1"/>
      <c r="G1303" s="1"/>
      <c r="H1303" t="s">
        <v>23</v>
      </c>
      <c r="I1303" s="2">
        <v>35.659999999999997</v>
      </c>
      <c r="J1303" s="2" t="s">
        <v>55</v>
      </c>
      <c r="K130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03" s="3"/>
      <c r="M1303" s="2"/>
      <c r="N130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35.659999999999997</v>
      </c>
      <c r="O1303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303" s="49" t="s">
        <v>25</v>
      </c>
      <c r="Q1303" t="s">
        <v>2163</v>
      </c>
      <c r="R1303" s="1">
        <v>46149</v>
      </c>
      <c r="S1303" s="24" t="s">
        <v>45</v>
      </c>
      <c r="T1303"/>
    </row>
    <row r="1304" spans="2:21" s="49" customFormat="1" ht="18.75" hidden="1" customHeight="1">
      <c r="B1304" s="56"/>
      <c r="C1304" s="57"/>
      <c r="D1304" s="48">
        <v>46178</v>
      </c>
      <c r="E1304" s="50" t="s">
        <v>2164</v>
      </c>
      <c r="F1304" s="48"/>
      <c r="G1304" s="48"/>
      <c r="H1304" s="49" t="s">
        <v>808</v>
      </c>
      <c r="I1304" s="51">
        <v>2829</v>
      </c>
      <c r="J1304" s="51" t="s">
        <v>43</v>
      </c>
      <c r="K1304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04" s="52"/>
      <c r="M1304" s="58"/>
      <c r="N1304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2829</v>
      </c>
      <c r="O1304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46178</v>
      </c>
      <c r="P1304" s="49" t="s">
        <v>25</v>
      </c>
      <c r="Q1304" s="49" t="s">
        <v>2165</v>
      </c>
      <c r="R1304" s="48">
        <v>46181</v>
      </c>
      <c r="S1304" s="59" t="s">
        <v>2166</v>
      </c>
    </row>
    <row r="1305" spans="2:21" s="49" customFormat="1" ht="18.75" hidden="1" customHeight="1">
      <c r="B1305" s="56"/>
      <c r="C1305" s="57"/>
      <c r="D1305" s="48">
        <v>46155</v>
      </c>
      <c r="E1305" s="50" t="s">
        <v>2167</v>
      </c>
      <c r="F1305" s="48"/>
      <c r="G1305" s="48"/>
      <c r="H1305" s="49" t="s">
        <v>329</v>
      </c>
      <c r="I1305" s="51">
        <v>868.93</v>
      </c>
      <c r="J1305" s="51" t="s">
        <v>330</v>
      </c>
      <c r="K1305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05" s="52"/>
      <c r="M1305" s="58"/>
      <c r="N1305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868.93</v>
      </c>
      <c r="O1305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46185</v>
      </c>
      <c r="P1305" s="49" t="s">
        <v>25</v>
      </c>
      <c r="Q1305" s="49" t="s">
        <v>1728</v>
      </c>
      <c r="R1305" s="48">
        <v>46184</v>
      </c>
      <c r="S1305" s="59" t="s">
        <v>27</v>
      </c>
      <c r="U1305" s="49" t="s">
        <v>32</v>
      </c>
    </row>
    <row r="1306" spans="2:21" s="49" customFormat="1" ht="18.75" hidden="1" customHeight="1">
      <c r="B1306" s="56"/>
      <c r="C1306" s="57"/>
      <c r="D1306" s="48">
        <v>46170</v>
      </c>
      <c r="E1306" s="50" t="s">
        <v>2168</v>
      </c>
      <c r="F1306" s="48"/>
      <c r="G1306" s="48"/>
      <c r="H1306" s="49" t="s">
        <v>1046</v>
      </c>
      <c r="I1306" s="51">
        <v>120</v>
      </c>
      <c r="J1306" s="51" t="s">
        <v>43</v>
      </c>
      <c r="K1306" s="51">
        <v>0</v>
      </c>
      <c r="L1306" s="52"/>
      <c r="M1306" s="58"/>
      <c r="N1306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1306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46170</v>
      </c>
      <c r="P1306" s="49" t="s">
        <v>25</v>
      </c>
      <c r="Q1306" s="49" t="s">
        <v>2169</v>
      </c>
      <c r="R1306" s="48">
        <v>46178</v>
      </c>
      <c r="S1306" s="59" t="s">
        <v>45</v>
      </c>
      <c r="U1306" s="49" t="s">
        <v>32</v>
      </c>
    </row>
    <row r="1307" spans="2:21" s="49" customFormat="1" ht="18.75" hidden="1" customHeight="1">
      <c r="B1307" s="56"/>
      <c r="C1307" s="57"/>
      <c r="D1307" s="48">
        <v>46181</v>
      </c>
      <c r="E1307" s="50" t="s">
        <v>2170</v>
      </c>
      <c r="F1307" s="48"/>
      <c r="G1307" s="48"/>
      <c r="H1307" s="49" t="s">
        <v>1046</v>
      </c>
      <c r="I1307" s="51">
        <v>204</v>
      </c>
      <c r="J1307" s="51" t="s">
        <v>43</v>
      </c>
      <c r="K1307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07" s="52"/>
      <c r="M1307" s="58"/>
      <c r="N1307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204</v>
      </c>
      <c r="O1307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46181</v>
      </c>
      <c r="P1307" s="49" t="s">
        <v>25</v>
      </c>
      <c r="Q1307" s="49" t="s">
        <v>2171</v>
      </c>
      <c r="R1307" s="48">
        <v>46184</v>
      </c>
      <c r="S1307" s="59" t="s">
        <v>45</v>
      </c>
      <c r="U1307" s="49" t="s">
        <v>32</v>
      </c>
    </row>
    <row r="1308" spans="2:21" s="49" customFormat="1" ht="18.75" hidden="1" customHeight="1">
      <c r="B1308" s="56"/>
      <c r="C1308" s="57"/>
      <c r="D1308" s="48">
        <v>46178</v>
      </c>
      <c r="E1308" s="50" t="s">
        <v>2172</v>
      </c>
      <c r="F1308" s="48"/>
      <c r="G1308" s="48"/>
      <c r="H1308" s="49" t="s">
        <v>1672</v>
      </c>
      <c r="I1308" s="51">
        <v>450.82</v>
      </c>
      <c r="J1308" s="51" t="s">
        <v>43</v>
      </c>
      <c r="K1308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08" s="52"/>
      <c r="M1308" s="58"/>
      <c r="N1308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450.82</v>
      </c>
      <c r="O1308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46178</v>
      </c>
      <c r="P1308" s="49" t="s">
        <v>25</v>
      </c>
      <c r="Q1308" s="49" t="s">
        <v>2173</v>
      </c>
      <c r="S1308" s="59"/>
    </row>
    <row r="1309" spans="2:21" s="49" customFormat="1" ht="18.75" hidden="1" customHeight="1">
      <c r="B1309" s="56"/>
      <c r="C1309" s="57"/>
      <c r="D1309" s="48">
        <v>46182</v>
      </c>
      <c r="E1309" s="50" t="s">
        <v>2174</v>
      </c>
      <c r="F1309" s="48"/>
      <c r="G1309" s="48"/>
      <c r="H1309" s="49" t="s">
        <v>1672</v>
      </c>
      <c r="I1309" s="51">
        <v>584.82000000000005</v>
      </c>
      <c r="J1309" s="51" t="s">
        <v>43</v>
      </c>
      <c r="K1309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09" s="52"/>
      <c r="M1309" s="58"/>
      <c r="N1309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584.82000000000005</v>
      </c>
      <c r="O1309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46182</v>
      </c>
      <c r="P1309" s="49" t="s">
        <v>25</v>
      </c>
      <c r="Q1309" s="49" t="s">
        <v>2175</v>
      </c>
      <c r="S1309" s="59"/>
    </row>
    <row r="1310" spans="2:21" s="49" customFormat="1" ht="18.75" hidden="1" customHeight="1">
      <c r="B1310" s="56"/>
      <c r="C1310" s="57"/>
      <c r="D1310" s="48">
        <v>46182</v>
      </c>
      <c r="E1310" s="50" t="s">
        <v>2176</v>
      </c>
      <c r="F1310" s="48" t="s">
        <v>1832</v>
      </c>
      <c r="G1310" s="48"/>
      <c r="H1310" s="49" t="s">
        <v>1672</v>
      </c>
      <c r="I1310" s="51">
        <v>584.82000000000005</v>
      </c>
      <c r="J1310" s="51" t="s">
        <v>43</v>
      </c>
      <c r="K131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10" s="52"/>
      <c r="M1310" s="58"/>
      <c r="N1310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584.82000000000005</v>
      </c>
      <c r="O1310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46182</v>
      </c>
      <c r="P1310" s="49" t="s">
        <v>25</v>
      </c>
      <c r="Q1310" s="49" t="s">
        <v>2177</v>
      </c>
      <c r="S1310" s="59"/>
    </row>
    <row r="1311" spans="2:21" s="49" customFormat="1" ht="18.75" hidden="1" customHeight="1">
      <c r="B1311" s="56"/>
      <c r="C1311" s="57"/>
      <c r="D1311" s="48">
        <v>46182</v>
      </c>
      <c r="E1311" s="50" t="s">
        <v>2178</v>
      </c>
      <c r="F1311" s="48"/>
      <c r="G1311" s="48"/>
      <c r="H1311" s="49" t="s">
        <v>1672</v>
      </c>
      <c r="I1311" s="51">
        <v>592.82000000000005</v>
      </c>
      <c r="J1311" s="51" t="s">
        <v>43</v>
      </c>
      <c r="K1311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11" s="52"/>
      <c r="M1311" s="58"/>
      <c r="N1311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592.82000000000005</v>
      </c>
      <c r="O1311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46182</v>
      </c>
      <c r="P1311" s="49" t="s">
        <v>25</v>
      </c>
      <c r="Q1311" s="49" t="s">
        <v>2179</v>
      </c>
      <c r="S1311" s="59"/>
    </row>
    <row r="1312" spans="2:21" s="49" customFormat="1" ht="18.75" hidden="1" customHeight="1">
      <c r="B1312" s="56"/>
      <c r="C1312" s="57"/>
      <c r="D1312" s="48">
        <v>46182</v>
      </c>
      <c r="E1312" s="50" t="s">
        <v>2180</v>
      </c>
      <c r="F1312" s="48"/>
      <c r="G1312" s="48"/>
      <c r="H1312" s="49" t="s">
        <v>1672</v>
      </c>
      <c r="I1312" s="51">
        <v>592.82000000000005</v>
      </c>
      <c r="J1312" s="51" t="s">
        <v>43</v>
      </c>
      <c r="K131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12" s="52"/>
      <c r="M1312" s="58"/>
      <c r="N1312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592.82000000000005</v>
      </c>
      <c r="O1312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46182</v>
      </c>
      <c r="P1312" s="49" t="s">
        <v>25</v>
      </c>
      <c r="Q1312" s="49" t="s">
        <v>2181</v>
      </c>
      <c r="S1312" s="59"/>
    </row>
    <row r="1313" spans="2:21" s="49" customFormat="1" ht="18.75" hidden="1" customHeight="1">
      <c r="B1313" s="56"/>
      <c r="C1313" s="57"/>
      <c r="D1313" s="48">
        <v>46182</v>
      </c>
      <c r="E1313" s="50" t="s">
        <v>2182</v>
      </c>
      <c r="F1313" s="48"/>
      <c r="G1313" s="48"/>
      <c r="H1313" s="49" t="s">
        <v>1672</v>
      </c>
      <c r="I1313" s="51">
        <v>604.82000000000005</v>
      </c>
      <c r="J1313" s="51" t="s">
        <v>43</v>
      </c>
      <c r="K1313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13" s="52"/>
      <c r="M1313" s="58"/>
      <c r="N1313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604.82000000000005</v>
      </c>
      <c r="O1313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46182</v>
      </c>
      <c r="P1313" s="49" t="s">
        <v>25</v>
      </c>
      <c r="Q1313" s="49" t="s">
        <v>2183</v>
      </c>
      <c r="S1313" s="59"/>
    </row>
    <row r="1314" spans="2:21" s="49" customFormat="1" ht="18.75" hidden="1" customHeight="1">
      <c r="B1314" s="56"/>
      <c r="C1314" s="57"/>
      <c r="D1314" s="48">
        <v>46182</v>
      </c>
      <c r="E1314" s="50" t="s">
        <v>2184</v>
      </c>
      <c r="F1314" s="48"/>
      <c r="G1314" s="48"/>
      <c r="H1314" s="49" t="s">
        <v>1672</v>
      </c>
      <c r="I1314" s="51">
        <v>493.83</v>
      </c>
      <c r="J1314" s="51" t="s">
        <v>43</v>
      </c>
      <c r="K1314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14" s="52"/>
      <c r="M1314" s="58"/>
      <c r="N1314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493.83</v>
      </c>
      <c r="O1314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46182</v>
      </c>
      <c r="P1314" s="49" t="s">
        <v>25</v>
      </c>
      <c r="Q1314" s="49" t="s">
        <v>2185</v>
      </c>
      <c r="S1314" s="59"/>
    </row>
    <row r="1315" spans="2:21" s="49" customFormat="1" ht="18.75" hidden="1" customHeight="1">
      <c r="B1315" s="56"/>
      <c r="C1315" s="57"/>
      <c r="D1315" s="48">
        <v>46182</v>
      </c>
      <c r="E1315" s="50" t="s">
        <v>2186</v>
      </c>
      <c r="F1315" s="48"/>
      <c r="G1315" s="48"/>
      <c r="H1315" s="49" t="s">
        <v>1672</v>
      </c>
      <c r="I1315" s="51">
        <v>496.83</v>
      </c>
      <c r="J1315" s="51" t="s">
        <v>43</v>
      </c>
      <c r="K1315" s="51"/>
      <c r="L1315" s="52"/>
      <c r="M1315" s="58"/>
      <c r="N1315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496.83</v>
      </c>
      <c r="O1315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46182</v>
      </c>
      <c r="P1315" s="49" t="s">
        <v>25</v>
      </c>
      <c r="Q1315" s="49" t="s">
        <v>2187</v>
      </c>
      <c r="S1315" s="59"/>
    </row>
    <row r="1316" spans="2:21" s="49" customFormat="1" ht="18.75" hidden="1" customHeight="1">
      <c r="B1316" s="56"/>
      <c r="C1316" s="57"/>
      <c r="D1316" s="48">
        <v>46182</v>
      </c>
      <c r="E1316" s="50" t="s">
        <v>2188</v>
      </c>
      <c r="F1316" s="48"/>
      <c r="G1316" s="48"/>
      <c r="H1316" s="49" t="s">
        <v>1672</v>
      </c>
      <c r="I1316" s="51">
        <v>486.82</v>
      </c>
      <c r="J1316" s="51" t="s">
        <v>43</v>
      </c>
      <c r="K1316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16" s="52"/>
      <c r="M1316" s="58"/>
      <c r="N1316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486.82</v>
      </c>
      <c r="O1316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46182</v>
      </c>
      <c r="P1316" s="49" t="s">
        <v>25</v>
      </c>
      <c r="Q1316" s="49" t="s">
        <v>2189</v>
      </c>
      <c r="S1316" s="59"/>
    </row>
    <row r="1317" spans="2:21" s="49" customFormat="1" ht="18.75" hidden="1" customHeight="1">
      <c r="B1317" s="56"/>
      <c r="C1317" s="57"/>
      <c r="D1317" s="48">
        <v>46176</v>
      </c>
      <c r="E1317" s="50">
        <v>2266111394</v>
      </c>
      <c r="F1317" s="48"/>
      <c r="G1317" s="48"/>
      <c r="H1317" s="49" t="s">
        <v>1791</v>
      </c>
      <c r="I1317" s="51">
        <v>274.05</v>
      </c>
      <c r="J1317" s="51" t="s">
        <v>43</v>
      </c>
      <c r="K1317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17" s="52"/>
      <c r="M1317" s="58"/>
      <c r="N1317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274.05</v>
      </c>
      <c r="O1317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46176</v>
      </c>
      <c r="P1317" s="49" t="s">
        <v>25</v>
      </c>
      <c r="Q1317" s="49" t="s">
        <v>2190</v>
      </c>
      <c r="S1317" s="59"/>
    </row>
    <row r="1318" spans="2:21" s="49" customFormat="1" ht="18.75" hidden="1" customHeight="1">
      <c r="B1318" s="56"/>
      <c r="C1318" s="57"/>
      <c r="D1318" s="48">
        <v>46176</v>
      </c>
      <c r="E1318" s="50">
        <v>2266111290</v>
      </c>
      <c r="F1318" s="48"/>
      <c r="G1318" s="48"/>
      <c r="H1318" s="49" t="s">
        <v>1791</v>
      </c>
      <c r="I1318" s="51">
        <v>274.05</v>
      </c>
      <c r="J1318" s="51" t="s">
        <v>43</v>
      </c>
      <c r="K1318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18" s="52"/>
      <c r="M1318" s="58"/>
      <c r="N1318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274.05</v>
      </c>
      <c r="O1318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46176</v>
      </c>
      <c r="P1318" s="49" t="s">
        <v>25</v>
      </c>
      <c r="Q1318" s="49" t="s">
        <v>2191</v>
      </c>
      <c r="S1318" s="59"/>
    </row>
    <row r="1319" spans="2:21" s="49" customFormat="1" ht="18.75" hidden="1" customHeight="1">
      <c r="B1319" s="56"/>
      <c r="C1319" s="57"/>
      <c r="D1319" s="48">
        <v>46155</v>
      </c>
      <c r="E1319" s="50" t="s">
        <v>2192</v>
      </c>
      <c r="F1319" s="48"/>
      <c r="G1319" s="48"/>
      <c r="H1319" s="49" t="s">
        <v>329</v>
      </c>
      <c r="I1319" s="51">
        <v>868.96</v>
      </c>
      <c r="J1319" s="51" t="s">
        <v>330</v>
      </c>
      <c r="K1319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19" s="52"/>
      <c r="M1319" s="58"/>
      <c r="N1319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868.96</v>
      </c>
      <c r="O1319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46185</v>
      </c>
      <c r="P1319" s="49" t="s">
        <v>25</v>
      </c>
      <c r="Q1319" s="49" t="s">
        <v>1277</v>
      </c>
      <c r="R1319" s="48">
        <v>46184</v>
      </c>
      <c r="S1319" s="59" t="s">
        <v>27</v>
      </c>
      <c r="U1319" s="49" t="s">
        <v>32</v>
      </c>
    </row>
    <row r="1320" spans="2:21" s="49" customFormat="1" ht="18.75" hidden="1" customHeight="1">
      <c r="B1320" s="56"/>
      <c r="C1320" s="57"/>
      <c r="D1320" s="48">
        <v>46181</v>
      </c>
      <c r="E1320" s="50" t="s">
        <v>2193</v>
      </c>
      <c r="F1320" s="48"/>
      <c r="G1320" s="48"/>
      <c r="H1320" s="49" t="s">
        <v>1046</v>
      </c>
      <c r="I1320" s="51">
        <v>3470</v>
      </c>
      <c r="J1320" s="51" t="s">
        <v>43</v>
      </c>
      <c r="K132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20" s="52"/>
      <c r="M1320" s="58"/>
      <c r="N1320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3470</v>
      </c>
      <c r="O1320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46181</v>
      </c>
      <c r="P1320" s="49" t="s">
        <v>25</v>
      </c>
      <c r="Q1320" s="49" t="s">
        <v>2171</v>
      </c>
      <c r="R1320" s="48">
        <v>46184</v>
      </c>
      <c r="S1320" s="59" t="s">
        <v>45</v>
      </c>
      <c r="U1320" s="49" t="s">
        <v>32</v>
      </c>
    </row>
    <row r="1321" spans="2:21" s="49" customFormat="1" ht="18.75" hidden="1" customHeight="1">
      <c r="B1321" s="231"/>
      <c r="C1321" s="232"/>
      <c r="D1321" s="189">
        <v>46183</v>
      </c>
      <c r="E1321" s="191" t="s">
        <v>2194</v>
      </c>
      <c r="F1321" s="189"/>
      <c r="G1321" s="189"/>
      <c r="H1321" s="190" t="s">
        <v>2195</v>
      </c>
      <c r="I1321" s="192">
        <v>394.8</v>
      </c>
      <c r="J1321" s="192" t="s">
        <v>43</v>
      </c>
      <c r="K1321" s="192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21" s="193"/>
      <c r="M1321" s="233"/>
      <c r="N1321" s="234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394.8</v>
      </c>
      <c r="O1321" s="193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46183</v>
      </c>
      <c r="P1321" s="190" t="s">
        <v>25</v>
      </c>
      <c r="Q1321" s="190" t="s">
        <v>2196</v>
      </c>
      <c r="R1321" s="189">
        <v>46184</v>
      </c>
      <c r="S1321" s="194" t="s">
        <v>2197</v>
      </c>
      <c r="T1321" s="190" t="s">
        <v>2198</v>
      </c>
      <c r="U1321" s="190"/>
    </row>
    <row r="1322" spans="2:21" s="49" customFormat="1" ht="18.75" hidden="1" customHeight="1">
      <c r="B1322" s="56">
        <v>46182</v>
      </c>
      <c r="C1322" s="57"/>
      <c r="D1322" s="48"/>
      <c r="E1322" s="50" t="s">
        <v>2199</v>
      </c>
      <c r="F1322" s="48"/>
      <c r="G1322" s="48"/>
      <c r="H1322" s="49" t="s">
        <v>145</v>
      </c>
      <c r="I1322" s="51">
        <v>369.81</v>
      </c>
      <c r="J1322" s="51" t="s">
        <v>55</v>
      </c>
      <c r="K132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22" s="52"/>
      <c r="M1322" s="58"/>
      <c r="N1322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369.81</v>
      </c>
      <c r="O1322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322" s="49" t="s">
        <v>25</v>
      </c>
      <c r="Q1322" s="59" t="s">
        <v>2200</v>
      </c>
      <c r="R1322" s="48">
        <v>46184</v>
      </c>
      <c r="S1322" s="59" t="s">
        <v>27</v>
      </c>
      <c r="T1322" s="49" t="s">
        <v>2201</v>
      </c>
    </row>
    <row r="1323" spans="2:21" s="49" customFormat="1" ht="18.75" hidden="1" customHeight="1">
      <c r="B1323" s="56">
        <v>46183</v>
      </c>
      <c r="C1323" s="57" t="s">
        <v>2202</v>
      </c>
      <c r="D1323" s="48">
        <v>46213</v>
      </c>
      <c r="E1323" s="50">
        <v>242848</v>
      </c>
      <c r="F1323" s="48"/>
      <c r="G1323" s="48"/>
      <c r="H1323" s="49" t="s">
        <v>2203</v>
      </c>
      <c r="I1323" s="51">
        <v>7772</v>
      </c>
      <c r="J1323" s="51" t="s">
        <v>43</v>
      </c>
      <c r="K1323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23" s="52"/>
      <c r="M1323" s="58"/>
      <c r="N1323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7772</v>
      </c>
      <c r="O1323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46213</v>
      </c>
      <c r="P1323" s="49" t="s">
        <v>25</v>
      </c>
      <c r="Q1323" s="49" t="s">
        <v>2204</v>
      </c>
      <c r="R1323" s="48">
        <v>46184</v>
      </c>
      <c r="S1323" s="59" t="s">
        <v>2197</v>
      </c>
    </row>
    <row r="1324" spans="2:21" s="49" customFormat="1" ht="18.75" hidden="1" customHeight="1">
      <c r="B1324" s="56"/>
      <c r="C1324" s="57"/>
      <c r="D1324" s="48">
        <v>46181</v>
      </c>
      <c r="E1324" s="50" t="s">
        <v>2205</v>
      </c>
      <c r="F1324" s="48"/>
      <c r="G1324" s="48"/>
      <c r="H1324" s="49" t="s">
        <v>1046</v>
      </c>
      <c r="I1324" s="51">
        <v>139.19999999999999</v>
      </c>
      <c r="J1324" s="51" t="s">
        <v>43</v>
      </c>
      <c r="K1324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24" s="52"/>
      <c r="M1324" s="58"/>
      <c r="N1324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139.19999999999999</v>
      </c>
      <c r="O1324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46181</v>
      </c>
      <c r="P1324" s="49" t="s">
        <v>25</v>
      </c>
      <c r="Q1324" s="49" t="s">
        <v>1047</v>
      </c>
      <c r="R1324" s="48">
        <v>46184</v>
      </c>
      <c r="S1324" s="59" t="s">
        <v>45</v>
      </c>
      <c r="U1324" s="49" t="s">
        <v>32</v>
      </c>
    </row>
    <row r="1325" spans="2:21" s="49" customFormat="1" ht="18.75" hidden="1" customHeight="1">
      <c r="B1325" s="56">
        <v>46185</v>
      </c>
      <c r="C1325" s="57"/>
      <c r="D1325" s="48"/>
      <c r="E1325" s="50"/>
      <c r="F1325" s="48"/>
      <c r="G1325" s="48"/>
      <c r="H1325" s="49" t="s">
        <v>2091</v>
      </c>
      <c r="I1325" s="51">
        <v>500</v>
      </c>
      <c r="J1325" s="51" t="s">
        <v>43</v>
      </c>
      <c r="K1325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25" s="52"/>
      <c r="M1325" s="58"/>
      <c r="N1325" s="216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500</v>
      </c>
      <c r="O1325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325" s="49" t="s">
        <v>25</v>
      </c>
      <c r="Q1325" s="49" t="s">
        <v>2206</v>
      </c>
      <c r="R1325" s="48">
        <v>46185</v>
      </c>
      <c r="S1325" s="59" t="s">
        <v>27</v>
      </c>
      <c r="T1325" s="49" t="s">
        <v>2207</v>
      </c>
    </row>
    <row r="1326" spans="2:21" s="49" customFormat="1" ht="18.75" hidden="1" customHeight="1">
      <c r="B1326" s="56">
        <v>46185</v>
      </c>
      <c r="C1326" s="57"/>
      <c r="D1326" s="48">
        <v>46188</v>
      </c>
      <c r="E1326" s="50" t="s">
        <v>2208</v>
      </c>
      <c r="F1326" s="48"/>
      <c r="G1326" s="48"/>
      <c r="H1326" s="49" t="s">
        <v>54</v>
      </c>
      <c r="I1326" s="51">
        <v>202.42</v>
      </c>
      <c r="J1326" s="51" t="s">
        <v>55</v>
      </c>
      <c r="K1326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26" s="52"/>
      <c r="M1326" s="58"/>
      <c r="N1326" s="216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202.42</v>
      </c>
      <c r="O1326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326" s="49" t="s">
        <v>25</v>
      </c>
      <c r="Q1326" s="49" t="s">
        <v>2209</v>
      </c>
      <c r="R1326" s="48">
        <v>46185</v>
      </c>
      <c r="S1326" s="59" t="s">
        <v>27</v>
      </c>
      <c r="U1326" s="49" t="s">
        <v>32</v>
      </c>
    </row>
    <row r="1327" spans="2:21" s="49" customFormat="1" ht="18.75" hidden="1" customHeight="1">
      <c r="B1327" s="56">
        <v>46185</v>
      </c>
      <c r="C1327" s="57"/>
      <c r="D1327" s="48">
        <v>46192</v>
      </c>
      <c r="E1327" s="50">
        <v>933</v>
      </c>
      <c r="F1327" s="48"/>
      <c r="G1327" s="48"/>
      <c r="H1327" s="49" t="s">
        <v>2210</v>
      </c>
      <c r="I1327" s="51">
        <v>234</v>
      </c>
      <c r="J1327" s="51" t="s">
        <v>43</v>
      </c>
      <c r="K1327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27" s="52"/>
      <c r="M1327" s="58"/>
      <c r="N1327" s="216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234</v>
      </c>
      <c r="O1327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46192</v>
      </c>
      <c r="P1327" s="49" t="s">
        <v>25</v>
      </c>
      <c r="Q1327" s="49" t="s">
        <v>2211</v>
      </c>
      <c r="R1327" s="48">
        <v>46185</v>
      </c>
      <c r="S1327" s="59" t="s">
        <v>27</v>
      </c>
      <c r="T1327" s="49" t="s">
        <v>2207</v>
      </c>
    </row>
    <row r="1328" spans="2:21" s="49" customFormat="1" ht="18.75" hidden="1" customHeight="1">
      <c r="B1328" s="44"/>
      <c r="C1328" s="7"/>
      <c r="D1328" s="1">
        <v>46142</v>
      </c>
      <c r="E1328" s="29" t="s">
        <v>2212</v>
      </c>
      <c r="F1328" s="1"/>
      <c r="G1328" s="1"/>
      <c r="H1328" t="s">
        <v>23</v>
      </c>
      <c r="I1328" s="2">
        <v>209.34</v>
      </c>
      <c r="J1328" s="2" t="s">
        <v>55</v>
      </c>
      <c r="K1328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28" s="3"/>
      <c r="M1328" s="2"/>
      <c r="N1328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209.34</v>
      </c>
      <c r="O1328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328" s="49" t="s">
        <v>25</v>
      </c>
      <c r="Q1328" t="s">
        <v>2213</v>
      </c>
      <c r="R1328" s="1">
        <v>46149</v>
      </c>
      <c r="S1328" s="24" t="s">
        <v>45</v>
      </c>
      <c r="T1328"/>
    </row>
    <row r="1329" spans="2:21" s="49" customFormat="1" ht="18.75" hidden="1" customHeight="1">
      <c r="B1329" s="56"/>
      <c r="C1329" s="57"/>
      <c r="D1329" s="48">
        <v>46184</v>
      </c>
      <c r="E1329" s="50" t="s">
        <v>2214</v>
      </c>
      <c r="F1329" s="48"/>
      <c r="G1329" s="48"/>
      <c r="H1329" s="49" t="s">
        <v>86</v>
      </c>
      <c r="I1329" s="51">
        <v>281.38</v>
      </c>
      <c r="J1329" s="51" t="s">
        <v>55</v>
      </c>
      <c r="K1329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29" s="52"/>
      <c r="M1329" s="58"/>
      <c r="N1329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281.38</v>
      </c>
      <c r="O1329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329" s="49" t="s">
        <v>25</v>
      </c>
      <c r="Q1329" s="49" t="s">
        <v>87</v>
      </c>
      <c r="S1329" s="59"/>
    </row>
    <row r="1330" spans="2:21" s="49" customFormat="1" ht="18.75" hidden="1" customHeight="1">
      <c r="B1330" s="56"/>
      <c r="C1330" s="57"/>
      <c r="D1330" s="48">
        <v>46188</v>
      </c>
      <c r="E1330" s="50" t="s">
        <v>2215</v>
      </c>
      <c r="F1330" s="48"/>
      <c r="G1330" s="48"/>
      <c r="H1330" s="49" t="s">
        <v>1672</v>
      </c>
      <c r="I1330" s="51">
        <v>433.82</v>
      </c>
      <c r="J1330" s="51" t="s">
        <v>43</v>
      </c>
      <c r="K133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30" s="52"/>
      <c r="M1330" s="58"/>
      <c r="N1330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433.82</v>
      </c>
      <c r="O1330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46188</v>
      </c>
      <c r="P1330" s="49" t="s">
        <v>25</v>
      </c>
      <c r="Q1330" s="49" t="s">
        <v>2216</v>
      </c>
      <c r="S1330" s="59"/>
    </row>
    <row r="1331" spans="2:21" s="49" customFormat="1" ht="18.75" hidden="1" customHeight="1">
      <c r="B1331" s="56"/>
      <c r="C1331" s="57"/>
      <c r="D1331" s="48">
        <v>46188</v>
      </c>
      <c r="E1331" s="50" t="s">
        <v>2217</v>
      </c>
      <c r="F1331" s="48"/>
      <c r="G1331" s="48"/>
      <c r="H1331" s="49" t="s">
        <v>1672</v>
      </c>
      <c r="I1331" s="51">
        <v>433.82</v>
      </c>
      <c r="J1331" s="51" t="s">
        <v>43</v>
      </c>
      <c r="K1331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31" s="52"/>
      <c r="M1331" s="58"/>
      <c r="N1331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433.82</v>
      </c>
      <c r="O1331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46188</v>
      </c>
      <c r="P1331" s="49" t="s">
        <v>25</v>
      </c>
      <c r="Q1331" s="49" t="s">
        <v>2218</v>
      </c>
      <c r="S1331" s="59"/>
    </row>
    <row r="1332" spans="2:21" s="49" customFormat="1" ht="18.75" hidden="1" customHeight="1">
      <c r="B1332" s="56"/>
      <c r="C1332" s="57"/>
      <c r="D1332" s="48">
        <v>46188</v>
      </c>
      <c r="E1332" s="50" t="s">
        <v>2219</v>
      </c>
      <c r="F1332" s="48"/>
      <c r="G1332" s="48"/>
      <c r="H1332" s="49" t="s">
        <v>1672</v>
      </c>
      <c r="I1332" s="51">
        <v>604.82000000000005</v>
      </c>
      <c r="J1332" s="51" t="s">
        <v>43</v>
      </c>
      <c r="K133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32" s="52"/>
      <c r="M1332" s="58"/>
      <c r="N1332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604.82000000000005</v>
      </c>
      <c r="O1332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46188</v>
      </c>
      <c r="P1332" s="49" t="s">
        <v>25</v>
      </c>
      <c r="Q1332" s="49" t="s">
        <v>2220</v>
      </c>
      <c r="S1332" s="59"/>
    </row>
    <row r="1333" spans="2:21" s="49" customFormat="1" ht="18.75" hidden="1" customHeight="1">
      <c r="B1333" s="56"/>
      <c r="C1333" s="57"/>
      <c r="D1333" s="48">
        <v>46188</v>
      </c>
      <c r="E1333" s="50" t="s">
        <v>2221</v>
      </c>
      <c r="F1333" s="48"/>
      <c r="G1333" s="48"/>
      <c r="H1333" s="49" t="s">
        <v>1672</v>
      </c>
      <c r="I1333" s="51">
        <v>604.82000000000005</v>
      </c>
      <c r="J1333" s="51" t="s">
        <v>43</v>
      </c>
      <c r="K1333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33" s="52"/>
      <c r="M1333" s="58"/>
      <c r="N1333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604.82000000000005</v>
      </c>
      <c r="O1333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46188</v>
      </c>
      <c r="P1333" s="49" t="s">
        <v>25</v>
      </c>
      <c r="Q1333" s="49" t="s">
        <v>2222</v>
      </c>
      <c r="S1333" s="59"/>
    </row>
    <row r="1334" spans="2:21" s="49" customFormat="1" ht="18.75" hidden="1" customHeight="1">
      <c r="B1334" s="56"/>
      <c r="C1334" s="57"/>
      <c r="D1334" s="48">
        <v>46080</v>
      </c>
      <c r="E1334" s="50">
        <v>1852217580</v>
      </c>
      <c r="F1334" s="48"/>
      <c r="G1334" s="48"/>
      <c r="H1334" s="49" t="s">
        <v>1519</v>
      </c>
      <c r="I1334" s="51">
        <v>73.150000000000006</v>
      </c>
      <c r="J1334" s="51" t="s">
        <v>43</v>
      </c>
      <c r="K1334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34" s="52"/>
      <c r="M1334" s="58"/>
      <c r="N1334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73.150000000000006</v>
      </c>
      <c r="O1334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46080</v>
      </c>
      <c r="P1334" s="49" t="s">
        <v>25</v>
      </c>
      <c r="S1334" s="59"/>
    </row>
    <row r="1335" spans="2:21" s="49" customFormat="1" ht="18.75" hidden="1" customHeight="1">
      <c r="B1335" s="56"/>
      <c r="C1335" s="57"/>
      <c r="D1335" s="48">
        <v>46182</v>
      </c>
      <c r="E1335" s="50" t="s">
        <v>2223</v>
      </c>
      <c r="F1335" s="48"/>
      <c r="G1335" s="48"/>
      <c r="H1335" s="49" t="s">
        <v>1046</v>
      </c>
      <c r="I1335" s="51">
        <v>660</v>
      </c>
      <c r="J1335" s="51" t="s">
        <v>43</v>
      </c>
      <c r="K1335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35" s="52"/>
      <c r="M1335" s="58"/>
      <c r="N1335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660</v>
      </c>
      <c r="O1335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46182</v>
      </c>
      <c r="P1335" s="49" t="s">
        <v>25</v>
      </c>
      <c r="Q1335" s="49" t="s">
        <v>2224</v>
      </c>
      <c r="R1335" s="48">
        <v>46184</v>
      </c>
      <c r="S1335" s="59" t="s">
        <v>45</v>
      </c>
      <c r="U1335" s="49" t="s">
        <v>32</v>
      </c>
    </row>
    <row r="1336" spans="2:21" s="49" customFormat="1" ht="18.75" hidden="1" customHeight="1">
      <c r="B1336" s="56"/>
      <c r="C1336" s="57"/>
      <c r="D1336" s="48">
        <v>46195</v>
      </c>
      <c r="E1336" s="50" t="s">
        <v>2225</v>
      </c>
      <c r="F1336" s="48"/>
      <c r="G1336" s="48"/>
      <c r="H1336" s="49" t="s">
        <v>1046</v>
      </c>
      <c r="I1336" s="51">
        <v>112.5</v>
      </c>
      <c r="J1336" s="51" t="s">
        <v>43</v>
      </c>
      <c r="K1336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36" s="52"/>
      <c r="M1336" s="58"/>
      <c r="N1336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112.5</v>
      </c>
      <c r="O1336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46195</v>
      </c>
      <c r="P1336" s="49" t="s">
        <v>25</v>
      </c>
      <c r="Q1336" s="49" t="s">
        <v>2090</v>
      </c>
      <c r="R1336" s="48">
        <v>46198</v>
      </c>
      <c r="S1336" s="59" t="s">
        <v>45</v>
      </c>
    </row>
    <row r="1337" spans="2:21" s="49" customFormat="1" ht="18.75" hidden="1" customHeight="1">
      <c r="B1337" s="56"/>
      <c r="C1337" s="57"/>
      <c r="D1337" s="48">
        <v>46195</v>
      </c>
      <c r="E1337" s="50" t="s">
        <v>2226</v>
      </c>
      <c r="F1337" s="48"/>
      <c r="G1337" s="48"/>
      <c r="H1337" s="49" t="s">
        <v>1046</v>
      </c>
      <c r="I1337" s="51">
        <v>120</v>
      </c>
      <c r="J1337" s="51" t="s">
        <v>43</v>
      </c>
      <c r="K1337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37" s="52"/>
      <c r="M1337" s="58"/>
      <c r="N1337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1337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46195</v>
      </c>
      <c r="P1337" s="49" t="s">
        <v>25</v>
      </c>
      <c r="Q1337" s="49" t="s">
        <v>1238</v>
      </c>
      <c r="R1337" s="48">
        <v>46198</v>
      </c>
      <c r="S1337" s="59" t="s">
        <v>45</v>
      </c>
    </row>
    <row r="1338" spans="2:21" s="49" customFormat="1" ht="18.75" hidden="1" customHeight="1">
      <c r="B1338" s="56"/>
      <c r="C1338" s="57"/>
      <c r="D1338" s="48">
        <v>46185</v>
      </c>
      <c r="E1338" s="50" t="s">
        <v>2227</v>
      </c>
      <c r="F1338" s="48"/>
      <c r="G1338" s="48"/>
      <c r="H1338" s="49" t="s">
        <v>1118</v>
      </c>
      <c r="I1338" s="51">
        <v>357.24</v>
      </c>
      <c r="J1338" s="51" t="s">
        <v>43</v>
      </c>
      <c r="K1338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38" s="52"/>
      <c r="M1338" s="58"/>
      <c r="N1338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357.24</v>
      </c>
      <c r="O1338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46185</v>
      </c>
      <c r="P1338" s="49" t="s">
        <v>25</v>
      </c>
      <c r="Q1338" s="49" t="s">
        <v>2228</v>
      </c>
      <c r="S1338" s="59"/>
    </row>
    <row r="1339" spans="2:21" s="49" customFormat="1" ht="18.75" hidden="1" customHeight="1">
      <c r="B1339" s="56"/>
      <c r="C1339" s="57"/>
      <c r="D1339" s="48">
        <v>46176</v>
      </c>
      <c r="E1339" s="50">
        <v>2266113842</v>
      </c>
      <c r="F1339" s="48"/>
      <c r="G1339" s="48"/>
      <c r="H1339" s="49" t="s">
        <v>1791</v>
      </c>
      <c r="I1339" s="51">
        <v>332.6</v>
      </c>
      <c r="J1339" s="51" t="s">
        <v>43</v>
      </c>
      <c r="K1339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39" s="52"/>
      <c r="M1339" s="58"/>
      <c r="N1339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332.6</v>
      </c>
      <c r="O1339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46176</v>
      </c>
      <c r="P1339" s="49" t="s">
        <v>25</v>
      </c>
      <c r="Q1339" s="49" t="s">
        <v>2229</v>
      </c>
      <c r="S1339" s="59"/>
    </row>
    <row r="1340" spans="2:21" s="49" customFormat="1" ht="18.75" hidden="1" customHeight="1">
      <c r="B1340" s="56"/>
      <c r="C1340" s="57"/>
      <c r="D1340" s="48">
        <v>46195</v>
      </c>
      <c r="E1340" s="50" t="s">
        <v>2230</v>
      </c>
      <c r="F1340" s="48"/>
      <c r="G1340" s="48"/>
      <c r="H1340" s="49" t="s">
        <v>1046</v>
      </c>
      <c r="I1340" s="51">
        <v>120</v>
      </c>
      <c r="J1340" s="51" t="s">
        <v>43</v>
      </c>
      <c r="K134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40" s="52"/>
      <c r="M1340" s="58"/>
      <c r="N1340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1340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46195</v>
      </c>
      <c r="P1340" s="49" t="s">
        <v>25</v>
      </c>
      <c r="Q1340" s="49" t="s">
        <v>2231</v>
      </c>
      <c r="R1340" s="48">
        <v>46198</v>
      </c>
      <c r="S1340" s="59" t="s">
        <v>45</v>
      </c>
    </row>
    <row r="1341" spans="2:21" s="49" customFormat="1" ht="18.75" hidden="1" customHeight="1">
      <c r="B1341" s="83"/>
      <c r="C1341" s="77"/>
      <c r="D1341" s="76">
        <v>46188</v>
      </c>
      <c r="E1341" s="78" t="s">
        <v>2232</v>
      </c>
      <c r="F1341" s="76"/>
      <c r="G1341" s="76"/>
      <c r="H1341" s="63" t="s">
        <v>1046</v>
      </c>
      <c r="I1341" s="79">
        <v>0</v>
      </c>
      <c r="J1341" s="79" t="s">
        <v>43</v>
      </c>
      <c r="K1341" s="79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41" s="80"/>
      <c r="M1341" s="81"/>
      <c r="N1341" s="79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0</v>
      </c>
      <c r="O1341" s="8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46188</v>
      </c>
      <c r="P1341" s="63" t="s">
        <v>25</v>
      </c>
      <c r="Q1341" s="63" t="s">
        <v>2233</v>
      </c>
      <c r="R1341" s="63"/>
      <c r="S1341" s="82" t="s">
        <v>45</v>
      </c>
      <c r="T1341" s="63"/>
      <c r="U1341" s="63"/>
    </row>
    <row r="1342" spans="2:21" s="49" customFormat="1" ht="18.75" hidden="1" customHeight="1">
      <c r="B1342" s="56"/>
      <c r="C1342" s="57"/>
      <c r="D1342" s="48">
        <v>46188</v>
      </c>
      <c r="E1342" s="50" t="s">
        <v>2234</v>
      </c>
      <c r="F1342" s="48"/>
      <c r="G1342" s="48"/>
      <c r="H1342" s="49" t="s">
        <v>1046</v>
      </c>
      <c r="I1342" s="51">
        <v>120</v>
      </c>
      <c r="J1342" s="51" t="s">
        <v>43</v>
      </c>
      <c r="K134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42" s="52"/>
      <c r="M1342" s="58"/>
      <c r="N1342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1342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46188</v>
      </c>
      <c r="P1342" s="49" t="s">
        <v>25</v>
      </c>
      <c r="Q1342" s="49" t="s">
        <v>2224</v>
      </c>
      <c r="R1342" s="48">
        <v>46191</v>
      </c>
      <c r="S1342" s="59" t="s">
        <v>45</v>
      </c>
      <c r="U1342" s="49" t="s">
        <v>32</v>
      </c>
    </row>
    <row r="1343" spans="2:21" s="49" customFormat="1" ht="18.75" hidden="1" customHeight="1">
      <c r="B1343" s="56"/>
      <c r="C1343" s="57"/>
      <c r="D1343" s="48">
        <v>46188</v>
      </c>
      <c r="E1343" s="50" t="s">
        <v>2235</v>
      </c>
      <c r="F1343" s="48"/>
      <c r="G1343" s="48"/>
      <c r="H1343" s="49" t="s">
        <v>1046</v>
      </c>
      <c r="I1343" s="51">
        <v>123.6</v>
      </c>
      <c r="J1343" s="51" t="s">
        <v>43</v>
      </c>
      <c r="K1343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43" s="52"/>
      <c r="M1343" s="58"/>
      <c r="N1343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123.6</v>
      </c>
      <c r="O1343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46188</v>
      </c>
      <c r="P1343" s="49" t="s">
        <v>25</v>
      </c>
      <c r="Q1343" s="49" t="s">
        <v>2090</v>
      </c>
      <c r="R1343" s="48">
        <v>46191</v>
      </c>
      <c r="S1343" s="59" t="s">
        <v>45</v>
      </c>
      <c r="U1343" s="49" t="s">
        <v>32</v>
      </c>
    </row>
    <row r="1344" spans="2:21" s="49" customFormat="1" ht="18.75" hidden="1" customHeight="1">
      <c r="B1344" s="56"/>
      <c r="C1344" s="57"/>
      <c r="D1344" s="48">
        <v>46084</v>
      </c>
      <c r="E1344" s="50" t="s">
        <v>2236</v>
      </c>
      <c r="F1344" s="48"/>
      <c r="G1344" s="48"/>
      <c r="H1344" s="49" t="s">
        <v>69</v>
      </c>
      <c r="I1344" s="51">
        <v>0</v>
      </c>
      <c r="J1344" s="51" t="s">
        <v>55</v>
      </c>
      <c r="K1344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44" s="52"/>
      <c r="M1344" s="58"/>
      <c r="N1344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0</v>
      </c>
      <c r="O1344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344" s="49" t="s">
        <v>25</v>
      </c>
      <c r="S1344" s="59" t="s">
        <v>45</v>
      </c>
    </row>
    <row r="1345" spans="2:21" s="49" customFormat="1" ht="18.75" hidden="1" customHeight="1">
      <c r="B1345" s="56"/>
      <c r="C1345" s="57"/>
      <c r="D1345" s="48">
        <v>46062</v>
      </c>
      <c r="E1345" s="50" t="s">
        <v>2237</v>
      </c>
      <c r="F1345" s="48"/>
      <c r="G1345" s="48"/>
      <c r="H1345" s="49" t="s">
        <v>69</v>
      </c>
      <c r="I1345" s="51">
        <v>0</v>
      </c>
      <c r="J1345" s="51" t="s">
        <v>55</v>
      </c>
      <c r="K1345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45" s="52"/>
      <c r="M1345" s="58"/>
      <c r="N1345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0</v>
      </c>
      <c r="O1345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345" s="49" t="s">
        <v>25</v>
      </c>
      <c r="S1345" s="59" t="s">
        <v>45</v>
      </c>
      <c r="U1345" s="49" t="s">
        <v>32</v>
      </c>
    </row>
    <row r="1346" spans="2:21" s="49" customFormat="1" ht="18.75" hidden="1" customHeight="1">
      <c r="B1346" s="56"/>
      <c r="C1346" s="57"/>
      <c r="D1346" s="48">
        <v>46036</v>
      </c>
      <c r="E1346" s="50" t="s">
        <v>2238</v>
      </c>
      <c r="F1346" s="48"/>
      <c r="G1346" s="48"/>
      <c r="H1346" s="49" t="s">
        <v>69</v>
      </c>
      <c r="I1346" s="51">
        <v>-499.43</v>
      </c>
      <c r="J1346" s="51" t="s">
        <v>55</v>
      </c>
      <c r="K1346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46" s="52"/>
      <c r="M1346" s="58"/>
      <c r="N1346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-499.43</v>
      </c>
      <c r="O1346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346" s="49" t="s">
        <v>25</v>
      </c>
      <c r="Q1346" s="49" t="s">
        <v>2239</v>
      </c>
      <c r="S1346" s="59" t="s">
        <v>45</v>
      </c>
    </row>
    <row r="1347" spans="2:21" s="49" customFormat="1" ht="18.75" hidden="1" customHeight="1">
      <c r="B1347" s="56"/>
      <c r="C1347" s="57"/>
      <c r="D1347" s="48">
        <v>46036</v>
      </c>
      <c r="E1347" s="50" t="s">
        <v>2240</v>
      </c>
      <c r="F1347" s="48"/>
      <c r="G1347" s="48"/>
      <c r="H1347" s="49" t="s">
        <v>69</v>
      </c>
      <c r="I1347" s="51">
        <v>-7106.1</v>
      </c>
      <c r="J1347" s="51" t="s">
        <v>55</v>
      </c>
      <c r="K1347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47" s="52"/>
      <c r="M1347" s="58"/>
      <c r="N1347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-7106.1</v>
      </c>
      <c r="O1347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347" s="49" t="s">
        <v>25</v>
      </c>
      <c r="Q1347" s="49" t="s">
        <v>2241</v>
      </c>
      <c r="S1347" s="59" t="s">
        <v>45</v>
      </c>
    </row>
    <row r="1348" spans="2:21" s="49" customFormat="1" ht="18.75" hidden="1" customHeight="1">
      <c r="B1348" s="56">
        <v>46192</v>
      </c>
      <c r="C1348" s="57" t="s">
        <v>2242</v>
      </c>
      <c r="D1348" s="48"/>
      <c r="E1348" s="50"/>
      <c r="F1348" s="48"/>
      <c r="G1348" s="48"/>
      <c r="H1348" s="49" t="s">
        <v>23</v>
      </c>
      <c r="I1348" s="51">
        <v>3197.09</v>
      </c>
      <c r="J1348" s="51" t="s">
        <v>24</v>
      </c>
      <c r="K1348" s="62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959.12699999999995</v>
      </c>
      <c r="L1348" s="52">
        <v>46212</v>
      </c>
      <c r="M1348" s="49" t="s">
        <v>25</v>
      </c>
      <c r="N1348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2237.9629999999997</v>
      </c>
      <c r="O1348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Q1348" s="49" t="s">
        <v>370</v>
      </c>
      <c r="R1348" s="48">
        <v>46212</v>
      </c>
      <c r="S1348" s="59" t="s">
        <v>45</v>
      </c>
    </row>
    <row r="1349" spans="2:21" s="49" customFormat="1" ht="18.75" hidden="1" customHeight="1">
      <c r="B1349" s="56"/>
      <c r="C1349" s="57"/>
      <c r="D1349" s="48">
        <v>46189</v>
      </c>
      <c r="E1349" s="50" t="s">
        <v>2243</v>
      </c>
      <c r="F1349" s="48"/>
      <c r="G1349" s="48"/>
      <c r="H1349" s="49" t="s">
        <v>569</v>
      </c>
      <c r="I1349" s="51">
        <v>984.46</v>
      </c>
      <c r="J1349" s="51" t="s">
        <v>43</v>
      </c>
      <c r="K1349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49" s="52"/>
      <c r="M1349" s="58"/>
      <c r="N1349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984.46</v>
      </c>
      <c r="O1349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46189</v>
      </c>
      <c r="P1349" s="49" t="s">
        <v>25</v>
      </c>
      <c r="Q1349" s="49" t="s">
        <v>2244</v>
      </c>
      <c r="R1349" s="48">
        <v>46191</v>
      </c>
      <c r="S1349" s="59" t="s">
        <v>45</v>
      </c>
    </row>
    <row r="1350" spans="2:21" s="49" customFormat="1" ht="18.75" hidden="1" customHeight="1">
      <c r="B1350" s="56"/>
      <c r="C1350" s="57"/>
      <c r="D1350" s="48">
        <v>46189</v>
      </c>
      <c r="E1350" s="50" t="s">
        <v>2245</v>
      </c>
      <c r="F1350" s="48"/>
      <c r="G1350" s="48"/>
      <c r="H1350" s="49" t="s">
        <v>569</v>
      </c>
      <c r="I1350" s="51">
        <v>558</v>
      </c>
      <c r="J1350" s="51" t="s">
        <v>43</v>
      </c>
      <c r="K135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50" s="52"/>
      <c r="M1350" s="58"/>
      <c r="N1350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558</v>
      </c>
      <c r="O1350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46189</v>
      </c>
      <c r="P1350" s="49" t="s">
        <v>25</v>
      </c>
      <c r="Q1350" s="49" t="s">
        <v>2246</v>
      </c>
      <c r="R1350" s="48">
        <v>46191</v>
      </c>
      <c r="S1350" s="59" t="s">
        <v>27</v>
      </c>
    </row>
    <row r="1351" spans="2:21" s="49" customFormat="1" ht="18.75" hidden="1" customHeight="1">
      <c r="B1351" s="56"/>
      <c r="C1351" s="57"/>
      <c r="D1351" s="48">
        <v>46189</v>
      </c>
      <c r="E1351" s="50" t="s">
        <v>2247</v>
      </c>
      <c r="F1351" s="48"/>
      <c r="G1351" s="48"/>
      <c r="H1351" s="49" t="s">
        <v>569</v>
      </c>
      <c r="I1351" s="51">
        <v>1562.49</v>
      </c>
      <c r="J1351" s="51" t="s">
        <v>43</v>
      </c>
      <c r="K1351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51" s="52"/>
      <c r="M1351" s="58"/>
      <c r="N1351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1562.49</v>
      </c>
      <c r="O1351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46189</v>
      </c>
      <c r="P1351" s="49" t="s">
        <v>25</v>
      </c>
      <c r="Q1351" s="49" t="s">
        <v>2248</v>
      </c>
      <c r="R1351" s="48">
        <v>46191</v>
      </c>
      <c r="S1351" s="59" t="s">
        <v>27</v>
      </c>
    </row>
    <row r="1352" spans="2:21" s="49" customFormat="1" ht="18.75" hidden="1" customHeight="1">
      <c r="B1352" s="56"/>
      <c r="C1352" s="57"/>
      <c r="D1352" s="48">
        <v>46035</v>
      </c>
      <c r="E1352" s="50" t="s">
        <v>2249</v>
      </c>
      <c r="F1352" s="48"/>
      <c r="G1352" s="48"/>
      <c r="H1352" s="49" t="s">
        <v>1046</v>
      </c>
      <c r="I1352" s="51">
        <v>3538.25</v>
      </c>
      <c r="J1352" s="51" t="s">
        <v>43</v>
      </c>
      <c r="K135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52" s="52"/>
      <c r="M1352" s="58"/>
      <c r="N1352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3538.25</v>
      </c>
      <c r="O1352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46035</v>
      </c>
      <c r="P1352" s="49" t="s">
        <v>25</v>
      </c>
      <c r="Q1352" s="49" t="s">
        <v>2084</v>
      </c>
      <c r="S1352" s="59" t="s">
        <v>45</v>
      </c>
      <c r="T1352" s="49" t="s">
        <v>2250</v>
      </c>
    </row>
    <row r="1353" spans="2:21" s="49" customFormat="1" ht="18.75" customHeight="1">
      <c r="B1353" s="19">
        <v>45952</v>
      </c>
      <c r="C1353" s="198" t="s">
        <v>2251</v>
      </c>
      <c r="D1353" s="19"/>
      <c r="E1353" s="35"/>
      <c r="F1353" s="19"/>
      <c r="G1353" s="19"/>
      <c r="H1353" t="s">
        <v>196</v>
      </c>
      <c r="I1353" s="21">
        <v>18126</v>
      </c>
      <c r="J1353" s="21" t="s">
        <v>78</v>
      </c>
      <c r="K135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9063</v>
      </c>
      <c r="L1353" s="22"/>
      <c r="M1353" s="21"/>
      <c r="N135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9063</v>
      </c>
      <c r="O1353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353" s="38"/>
      <c r="Q1353" s="38" t="s">
        <v>381</v>
      </c>
      <c r="R1353" s="38"/>
      <c r="S1353" s="38"/>
      <c r="T1353" s="38"/>
      <c r="U1353"/>
    </row>
    <row r="1354" spans="2:21" s="49" customFormat="1" ht="18.75" hidden="1" customHeight="1">
      <c r="B1354" s="56"/>
      <c r="C1354" s="57"/>
      <c r="D1354" s="48">
        <v>46176</v>
      </c>
      <c r="E1354" s="50">
        <v>39</v>
      </c>
      <c r="F1354" s="48"/>
      <c r="G1354" s="48"/>
      <c r="H1354" s="49" t="s">
        <v>2252</v>
      </c>
      <c r="I1354" s="51">
        <v>790</v>
      </c>
      <c r="J1354" s="51" t="s">
        <v>43</v>
      </c>
      <c r="K1354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54" s="52"/>
      <c r="M1354" s="58"/>
      <c r="N1354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790</v>
      </c>
      <c r="O1354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46176</v>
      </c>
      <c r="P1354" s="49" t="s">
        <v>25</v>
      </c>
      <c r="Q1354" s="49" t="s">
        <v>2253</v>
      </c>
      <c r="R1354" s="48">
        <v>46191</v>
      </c>
      <c r="S1354" s="59" t="s">
        <v>45</v>
      </c>
    </row>
    <row r="1355" spans="2:21" s="49" customFormat="1" ht="18.75" hidden="1" customHeight="1">
      <c r="B1355" s="56"/>
      <c r="C1355" s="57"/>
      <c r="D1355" s="48">
        <v>46188</v>
      </c>
      <c r="E1355" s="50" t="s">
        <v>2254</v>
      </c>
      <c r="F1355" s="48"/>
      <c r="G1355" s="48"/>
      <c r="H1355" s="49" t="s">
        <v>579</v>
      </c>
      <c r="I1355" s="51">
        <v>8146.68</v>
      </c>
      <c r="J1355" s="51" t="s">
        <v>55</v>
      </c>
      <c r="K1355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55" s="52"/>
      <c r="M1355" s="58"/>
      <c r="N1355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8146.68</v>
      </c>
      <c r="O1355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355" s="49" t="s">
        <v>25</v>
      </c>
      <c r="Q1355" s="49" t="s">
        <v>2255</v>
      </c>
      <c r="R1355" s="48">
        <v>46195</v>
      </c>
      <c r="S1355" s="59" t="s">
        <v>45</v>
      </c>
    </row>
    <row r="1356" spans="2:21" s="49" customFormat="1" ht="18.75" hidden="1" customHeight="1">
      <c r="B1356" s="56"/>
      <c r="C1356" s="57"/>
      <c r="D1356" s="48">
        <v>46189</v>
      </c>
      <c r="E1356" s="50" t="s">
        <v>2256</v>
      </c>
      <c r="F1356" s="48"/>
      <c r="G1356" s="48"/>
      <c r="H1356" s="49" t="s">
        <v>329</v>
      </c>
      <c r="I1356" s="51">
        <v>-1215.27</v>
      </c>
      <c r="J1356" s="51" t="s">
        <v>330</v>
      </c>
      <c r="K1356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56" s="52"/>
      <c r="M1356" s="58"/>
      <c r="N1356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-1215.27</v>
      </c>
      <c r="O1356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46219</v>
      </c>
      <c r="P1356" s="49" t="s">
        <v>25</v>
      </c>
      <c r="Q1356" s="49" t="s">
        <v>672</v>
      </c>
      <c r="R1356" s="48">
        <v>46189</v>
      </c>
      <c r="S1356" s="59" t="s">
        <v>27</v>
      </c>
      <c r="T1356" s="49" t="s">
        <v>2257</v>
      </c>
    </row>
    <row r="1357" spans="2:21" s="49" customFormat="1" ht="18.75" hidden="1" customHeight="1">
      <c r="B1357" s="56"/>
      <c r="C1357" s="57"/>
      <c r="D1357" s="48"/>
      <c r="E1357" s="50">
        <v>7117183323</v>
      </c>
      <c r="F1357" s="48"/>
      <c r="G1357" s="48"/>
      <c r="H1357" s="49" t="s">
        <v>1460</v>
      </c>
      <c r="I1357" s="51">
        <v>-85.9</v>
      </c>
      <c r="J1357" s="51" t="s">
        <v>43</v>
      </c>
      <c r="K1357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57" s="52"/>
      <c r="M1357" s="58"/>
      <c r="N1357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-85.9</v>
      </c>
      <c r="O1357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357" s="49" t="s">
        <v>25</v>
      </c>
      <c r="Q1357" s="49" t="s">
        <v>2258</v>
      </c>
      <c r="S1357" s="59"/>
    </row>
    <row r="1358" spans="2:21" s="49" customFormat="1" ht="18.75" hidden="1" customHeight="1">
      <c r="B1358" s="56"/>
      <c r="C1358" s="57"/>
      <c r="D1358" s="48">
        <v>46189</v>
      </c>
      <c r="E1358" s="50">
        <v>7117184408</v>
      </c>
      <c r="F1358" s="48"/>
      <c r="G1358" s="48"/>
      <c r="H1358" s="49" t="s">
        <v>1460</v>
      </c>
      <c r="I1358" s="51">
        <v>85.9</v>
      </c>
      <c r="J1358" s="51" t="s">
        <v>43</v>
      </c>
      <c r="K1358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58" s="52"/>
      <c r="M1358" s="58"/>
      <c r="N1358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85.9</v>
      </c>
      <c r="O1358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46189</v>
      </c>
      <c r="P1358" s="49" t="s">
        <v>25</v>
      </c>
      <c r="Q1358" s="49" t="s">
        <v>2259</v>
      </c>
      <c r="R1358" s="48">
        <v>46191</v>
      </c>
      <c r="S1358" s="59" t="s">
        <v>27</v>
      </c>
    </row>
    <row r="1359" spans="2:21" s="49" customFormat="1" ht="18.75" hidden="1" customHeight="1">
      <c r="B1359" s="56"/>
      <c r="C1359" s="57"/>
      <c r="D1359" s="48">
        <v>46035</v>
      </c>
      <c r="E1359" s="50" t="s">
        <v>2260</v>
      </c>
      <c r="F1359" s="48"/>
      <c r="G1359" s="48"/>
      <c r="H1359" s="49" t="s">
        <v>1046</v>
      </c>
      <c r="I1359" s="51">
        <v>3538.25</v>
      </c>
      <c r="J1359" s="51" t="s">
        <v>43</v>
      </c>
      <c r="K1359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59" s="52"/>
      <c r="M1359" s="58"/>
      <c r="N1359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3538.25</v>
      </c>
      <c r="O1359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46035</v>
      </c>
      <c r="P1359" s="49" t="s">
        <v>25</v>
      </c>
      <c r="Q1359" s="49" t="s">
        <v>2058</v>
      </c>
      <c r="S1359" s="59" t="s">
        <v>45</v>
      </c>
      <c r="T1359" s="49" t="s">
        <v>2261</v>
      </c>
    </row>
    <row r="1360" spans="2:21" s="49" customFormat="1" ht="18.75" hidden="1" customHeight="1">
      <c r="B1360" s="56"/>
      <c r="C1360" s="57"/>
      <c r="D1360" s="48">
        <v>46035</v>
      </c>
      <c r="E1360" s="50" t="s">
        <v>2262</v>
      </c>
      <c r="F1360" s="48"/>
      <c r="G1360" s="48"/>
      <c r="H1360" s="49" t="s">
        <v>1046</v>
      </c>
      <c r="I1360" s="51">
        <v>3538.25</v>
      </c>
      <c r="J1360" s="51" t="s">
        <v>43</v>
      </c>
      <c r="K136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60" s="52"/>
      <c r="M1360" s="58"/>
      <c r="N1360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3538.25</v>
      </c>
      <c r="O1360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46035</v>
      </c>
      <c r="P1360" s="49" t="s">
        <v>25</v>
      </c>
      <c r="Q1360" s="49" t="s">
        <v>2058</v>
      </c>
      <c r="S1360" s="59" t="s">
        <v>45</v>
      </c>
      <c r="T1360" s="49" t="s">
        <v>2263</v>
      </c>
    </row>
    <row r="1361" spans="2:21" s="49" customFormat="1" ht="18.75" hidden="1" customHeight="1">
      <c r="B1361" s="56"/>
      <c r="C1361" s="57"/>
      <c r="D1361" s="48">
        <v>46035</v>
      </c>
      <c r="E1361" s="50" t="s">
        <v>2264</v>
      </c>
      <c r="F1361" s="48"/>
      <c r="G1361" s="48"/>
      <c r="H1361" s="49" t="s">
        <v>1046</v>
      </c>
      <c r="I1361" s="51">
        <v>3538.25</v>
      </c>
      <c r="J1361" s="51" t="s">
        <v>43</v>
      </c>
      <c r="K1361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61" s="52"/>
      <c r="M1361" s="58"/>
      <c r="N1361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3538.25</v>
      </c>
      <c r="O1361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46035</v>
      </c>
      <c r="P1361" s="49" t="s">
        <v>25</v>
      </c>
      <c r="Q1361" s="49" t="s">
        <v>2084</v>
      </c>
      <c r="S1361" s="59" t="s">
        <v>45</v>
      </c>
      <c r="T1361" s="49" t="s">
        <v>2265</v>
      </c>
    </row>
    <row r="1362" spans="2:21" s="49" customFormat="1" ht="18.75" hidden="1" customHeight="1">
      <c r="B1362" s="56">
        <v>46190</v>
      </c>
      <c r="C1362" s="57"/>
      <c r="D1362" s="48">
        <v>46195</v>
      </c>
      <c r="E1362" s="50" t="s">
        <v>2266</v>
      </c>
      <c r="F1362" s="48"/>
      <c r="G1362" s="48"/>
      <c r="H1362" s="49" t="s">
        <v>54</v>
      </c>
      <c r="I1362" s="51">
        <v>180</v>
      </c>
      <c r="J1362" s="51" t="s">
        <v>55</v>
      </c>
      <c r="K136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62" s="52"/>
      <c r="M1362" s="58"/>
      <c r="N1362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180</v>
      </c>
      <c r="O1362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362" s="49" t="s">
        <v>25</v>
      </c>
      <c r="Q1362" s="49" t="s">
        <v>2267</v>
      </c>
      <c r="R1362" s="48">
        <v>46191</v>
      </c>
      <c r="S1362" s="59" t="s">
        <v>27</v>
      </c>
      <c r="U1362" s="49" t="s">
        <v>32</v>
      </c>
    </row>
    <row r="1363" spans="2:21" s="49" customFormat="1" ht="18.75" hidden="1" customHeight="1">
      <c r="B1363" s="56"/>
      <c r="C1363" s="57"/>
      <c r="D1363" s="48">
        <v>46189</v>
      </c>
      <c r="E1363" s="50" t="s">
        <v>2268</v>
      </c>
      <c r="F1363" s="48"/>
      <c r="G1363" s="48"/>
      <c r="H1363" s="49" t="s">
        <v>1046</v>
      </c>
      <c r="I1363" s="51">
        <v>1601.37</v>
      </c>
      <c r="J1363" s="51" t="s">
        <v>43</v>
      </c>
      <c r="K1363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63" s="52"/>
      <c r="M1363" s="58"/>
      <c r="N1363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1601.37</v>
      </c>
      <c r="O1363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46189</v>
      </c>
      <c r="P1363" s="49" t="s">
        <v>25</v>
      </c>
      <c r="Q1363" s="49" t="s">
        <v>2097</v>
      </c>
      <c r="R1363" s="48">
        <v>46191</v>
      </c>
      <c r="S1363" s="59" t="s">
        <v>45</v>
      </c>
    </row>
    <row r="1364" spans="2:21" s="49" customFormat="1" ht="18.75" hidden="1" customHeight="1">
      <c r="B1364" s="56"/>
      <c r="C1364" s="57"/>
      <c r="D1364" s="48">
        <v>46195</v>
      </c>
      <c r="E1364" s="50">
        <v>702</v>
      </c>
      <c r="F1364" s="48"/>
      <c r="G1364" s="48"/>
      <c r="H1364" s="49" t="s">
        <v>301</v>
      </c>
      <c r="I1364" s="51">
        <v>22.75</v>
      </c>
      <c r="J1364" s="51" t="s">
        <v>55</v>
      </c>
      <c r="K1364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64" s="52"/>
      <c r="M1364" s="58"/>
      <c r="N1364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22.75</v>
      </c>
      <c r="O1364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364" s="49" t="s">
        <v>25</v>
      </c>
      <c r="Q1364" s="49" t="s">
        <v>232</v>
      </c>
      <c r="R1364" s="48">
        <v>46198</v>
      </c>
      <c r="S1364" s="59" t="s">
        <v>45</v>
      </c>
    </row>
    <row r="1365" spans="2:21" s="49" customFormat="1" hidden="1">
      <c r="B1365" s="56"/>
      <c r="C1365" s="57"/>
      <c r="D1365" s="48">
        <v>46189</v>
      </c>
      <c r="E1365" s="50" t="s">
        <v>2269</v>
      </c>
      <c r="F1365" s="48"/>
      <c r="G1365" s="48"/>
      <c r="H1365" s="49" t="s">
        <v>2270</v>
      </c>
      <c r="I1365" s="51">
        <v>575.98</v>
      </c>
      <c r="J1365" s="51" t="s">
        <v>43</v>
      </c>
      <c r="K1365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65" s="52"/>
      <c r="M1365" s="58"/>
      <c r="N1365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575.98</v>
      </c>
      <c r="O1365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46189</v>
      </c>
      <c r="P1365" s="49" t="s">
        <v>25</v>
      </c>
      <c r="Q1365" s="49" t="s">
        <v>2271</v>
      </c>
      <c r="S1365" s="59"/>
    </row>
    <row r="1366" spans="2:21" s="49" customFormat="1" hidden="1">
      <c r="B1366" s="56"/>
      <c r="C1366" s="57"/>
      <c r="D1366" s="48">
        <v>46190</v>
      </c>
      <c r="E1366" s="50" t="s">
        <v>2272</v>
      </c>
      <c r="F1366" s="48"/>
      <c r="G1366" s="48"/>
      <c r="H1366" s="49" t="s">
        <v>1672</v>
      </c>
      <c r="I1366" s="51">
        <v>604.82000000000005</v>
      </c>
      <c r="J1366" s="51" t="s">
        <v>43</v>
      </c>
      <c r="K1366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66" s="52"/>
      <c r="M1366" s="58"/>
      <c r="N1366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604.82000000000005</v>
      </c>
      <c r="O1366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46190</v>
      </c>
      <c r="P1366" s="49" t="s">
        <v>25</v>
      </c>
      <c r="Q1366" s="49" t="s">
        <v>2273</v>
      </c>
      <c r="S1366" s="59"/>
    </row>
    <row r="1367" spans="2:21" s="49" customFormat="1" hidden="1">
      <c r="B1367" s="56"/>
      <c r="C1367" s="57"/>
      <c r="D1367" s="48">
        <v>46190</v>
      </c>
      <c r="E1367" s="50" t="s">
        <v>2274</v>
      </c>
      <c r="F1367" s="48"/>
      <c r="G1367" s="48"/>
      <c r="H1367" s="49" t="s">
        <v>1672</v>
      </c>
      <c r="I1367" s="51">
        <v>507.82</v>
      </c>
      <c r="J1367" s="51" t="s">
        <v>43</v>
      </c>
      <c r="K1367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67" s="52"/>
      <c r="M1367" s="58"/>
      <c r="N1367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507.82</v>
      </c>
      <c r="O1367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46190</v>
      </c>
      <c r="P1367" s="49" t="s">
        <v>25</v>
      </c>
      <c r="Q1367" s="49" t="s">
        <v>2275</v>
      </c>
      <c r="S1367" s="59"/>
    </row>
    <row r="1368" spans="2:21" s="49" customFormat="1" hidden="1">
      <c r="B1368" s="56"/>
      <c r="C1368" s="57"/>
      <c r="D1368" s="48">
        <v>46190</v>
      </c>
      <c r="E1368" s="50" t="s">
        <v>2276</v>
      </c>
      <c r="F1368" s="48"/>
      <c r="G1368" s="48"/>
      <c r="H1368" s="49" t="s">
        <v>1672</v>
      </c>
      <c r="I1368" s="51">
        <v>507.82</v>
      </c>
      <c r="J1368" s="51" t="s">
        <v>43</v>
      </c>
      <c r="K1368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68" s="52"/>
      <c r="M1368" s="58"/>
      <c r="N1368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507.82</v>
      </c>
      <c r="O1368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46190</v>
      </c>
      <c r="P1368" s="49" t="s">
        <v>25</v>
      </c>
      <c r="Q1368" s="49" t="s">
        <v>2277</v>
      </c>
      <c r="S1368" s="59"/>
    </row>
    <row r="1369" spans="2:21" s="49" customFormat="1" hidden="1">
      <c r="B1369" s="56"/>
      <c r="C1369" s="57"/>
      <c r="D1369" s="48">
        <v>46157</v>
      </c>
      <c r="E1369" s="50" t="s">
        <v>2278</v>
      </c>
      <c r="F1369" s="48"/>
      <c r="G1369" s="48"/>
      <c r="H1369" s="49" t="s">
        <v>23</v>
      </c>
      <c r="I1369" s="51">
        <v>2.62</v>
      </c>
      <c r="J1369" s="51" t="s">
        <v>55</v>
      </c>
      <c r="K1369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69" s="52"/>
      <c r="M1369" s="58"/>
      <c r="N1369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2.62</v>
      </c>
      <c r="O1369" s="6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369" s="49" t="s">
        <v>25</v>
      </c>
      <c r="Q1369" s="49" t="s">
        <v>2213</v>
      </c>
      <c r="R1369" s="48">
        <v>46163</v>
      </c>
      <c r="S1369" s="59" t="s">
        <v>45</v>
      </c>
      <c r="U1369" s="49" t="s">
        <v>32</v>
      </c>
    </row>
    <row r="1370" spans="2:21" s="49" customFormat="1" hidden="1">
      <c r="B1370" s="56">
        <v>46191</v>
      </c>
      <c r="C1370" s="57" t="s">
        <v>2279</v>
      </c>
      <c r="D1370" s="48">
        <v>46193</v>
      </c>
      <c r="E1370" s="50" t="s">
        <v>2280</v>
      </c>
      <c r="F1370" s="48"/>
      <c r="G1370" s="48"/>
      <c r="H1370" s="49" t="s">
        <v>23</v>
      </c>
      <c r="I1370" s="51">
        <v>116.37</v>
      </c>
      <c r="J1370" s="51" t="s">
        <v>55</v>
      </c>
      <c r="K137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70" s="52"/>
      <c r="M1370" s="58"/>
      <c r="N1370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116.37</v>
      </c>
      <c r="O1370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370" s="49" t="s">
        <v>25</v>
      </c>
      <c r="Q1370" s="49" t="s">
        <v>232</v>
      </c>
      <c r="R1370" s="48">
        <v>46198</v>
      </c>
      <c r="S1370" s="59" t="s">
        <v>45</v>
      </c>
    </row>
    <row r="1371" spans="2:21" s="49" customFormat="1" hidden="1">
      <c r="B1371" s="56">
        <v>46191</v>
      </c>
      <c r="C1371" s="57" t="s">
        <v>2281</v>
      </c>
      <c r="D1371" s="48">
        <v>46193</v>
      </c>
      <c r="E1371" s="50" t="s">
        <v>2282</v>
      </c>
      <c r="F1371" s="48"/>
      <c r="G1371" s="48"/>
      <c r="H1371" s="49" t="s">
        <v>23</v>
      </c>
      <c r="I1371" s="51">
        <v>27.96</v>
      </c>
      <c r="J1371" s="51" t="s">
        <v>55</v>
      </c>
      <c r="K1371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71" s="52"/>
      <c r="M1371" s="58"/>
      <c r="N1371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27.96</v>
      </c>
      <c r="O1371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371" s="49" t="s">
        <v>25</v>
      </c>
      <c r="Q1371" s="49" t="s">
        <v>232</v>
      </c>
      <c r="R1371" s="48">
        <v>46198</v>
      </c>
      <c r="S1371" s="59" t="s">
        <v>45</v>
      </c>
    </row>
    <row r="1372" spans="2:21" s="49" customFormat="1" hidden="1">
      <c r="B1372" s="56"/>
      <c r="C1372" s="142"/>
      <c r="D1372" s="76">
        <v>46192</v>
      </c>
      <c r="E1372" s="78">
        <v>324</v>
      </c>
      <c r="F1372" s="76"/>
      <c r="G1372" s="76"/>
      <c r="H1372" s="49" t="s">
        <v>1251</v>
      </c>
      <c r="I1372" s="79">
        <v>9000</v>
      </c>
      <c r="J1372" s="51" t="s">
        <v>55</v>
      </c>
      <c r="K137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72" s="52"/>
      <c r="M1372" s="58"/>
      <c r="N1372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9000</v>
      </c>
      <c r="O1372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372" s="63" t="s">
        <v>25</v>
      </c>
      <c r="Q1372" s="171"/>
      <c r="R1372" s="76"/>
      <c r="S1372" s="82"/>
      <c r="T1372" s="63"/>
      <c r="U1372" s="49" t="s">
        <v>32</v>
      </c>
    </row>
    <row r="1373" spans="2:21" s="49" customFormat="1" hidden="1">
      <c r="B1373" s="56"/>
      <c r="C1373" s="57"/>
      <c r="D1373" s="48">
        <v>46122</v>
      </c>
      <c r="E1373" s="50">
        <v>1852274683</v>
      </c>
      <c r="F1373" s="48"/>
      <c r="G1373" s="48"/>
      <c r="H1373" s="49" t="s">
        <v>1519</v>
      </c>
      <c r="I1373" s="51">
        <v>79.8</v>
      </c>
      <c r="J1373" s="51" t="s">
        <v>43</v>
      </c>
      <c r="K137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73" s="52"/>
      <c r="M1373" s="58"/>
      <c r="N137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79.8</v>
      </c>
      <c r="O137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46122</v>
      </c>
      <c r="P1373" s="49" t="s">
        <v>25</v>
      </c>
      <c r="Q1373" s="49" t="s">
        <v>2283</v>
      </c>
      <c r="S1373" s="59"/>
    </row>
    <row r="1374" spans="2:21" s="49" customFormat="1" ht="30.75">
      <c r="B1374" s="56">
        <v>46058</v>
      </c>
      <c r="C1374" s="57" t="s">
        <v>2284</v>
      </c>
      <c r="D1374" s="48">
        <v>46146</v>
      </c>
      <c r="E1374" s="50" t="s">
        <v>2285</v>
      </c>
      <c r="F1374" s="48"/>
      <c r="G1374" s="48"/>
      <c r="H1374" s="49" t="s">
        <v>196</v>
      </c>
      <c r="I1374" s="51">
        <v>61046</v>
      </c>
      <c r="J1374" s="51" t="s">
        <v>78</v>
      </c>
      <c r="K1374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30523</v>
      </c>
      <c r="L1374" s="52"/>
      <c r="M1374" s="49" t="s">
        <v>25</v>
      </c>
      <c r="N1374" s="135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30523</v>
      </c>
      <c r="O1374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46206</v>
      </c>
      <c r="P1374" s="49" t="s">
        <v>25</v>
      </c>
      <c r="Q1374" s="49" t="s">
        <v>477</v>
      </c>
      <c r="R1374" s="48">
        <v>46198</v>
      </c>
      <c r="S1374" s="59" t="s">
        <v>27</v>
      </c>
      <c r="U1374" s="49" t="s">
        <v>32</v>
      </c>
    </row>
    <row r="1375" spans="2:21" s="49" customFormat="1" hidden="1">
      <c r="B1375" s="56"/>
      <c r="C1375" s="142"/>
      <c r="D1375" s="76">
        <v>46189</v>
      </c>
      <c r="E1375" s="50" t="s">
        <v>2286</v>
      </c>
      <c r="F1375" s="76"/>
      <c r="G1375" s="76"/>
      <c r="H1375" s="49" t="s">
        <v>2287</v>
      </c>
      <c r="I1375" s="79">
        <v>850.08</v>
      </c>
      <c r="J1375" s="51" t="s">
        <v>43</v>
      </c>
      <c r="K1375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75" s="52"/>
      <c r="M1375" s="58"/>
      <c r="N1375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850.08</v>
      </c>
      <c r="O1375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46189</v>
      </c>
      <c r="P1375" s="63" t="s">
        <v>25</v>
      </c>
      <c r="Q1375" s="49" t="s">
        <v>2288</v>
      </c>
      <c r="R1375" s="76"/>
      <c r="S1375" s="82"/>
      <c r="T1375" s="63"/>
    </row>
    <row r="1376" spans="2:21" s="49" customFormat="1">
      <c r="B1376" s="44">
        <v>46092</v>
      </c>
      <c r="C1376" s="7" t="s">
        <v>2289</v>
      </c>
      <c r="D1376" s="1">
        <v>46146</v>
      </c>
      <c r="E1376" s="29" t="s">
        <v>2290</v>
      </c>
      <c r="F1376" s="1"/>
      <c r="G1376" s="1"/>
      <c r="H1376" t="s">
        <v>196</v>
      </c>
      <c r="I1376" s="2">
        <v>15990</v>
      </c>
      <c r="J1376" s="2" t="s">
        <v>78</v>
      </c>
      <c r="K1376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7995</v>
      </c>
      <c r="L1376" s="3"/>
      <c r="M1376" t="s">
        <v>25</v>
      </c>
      <c r="N1376" s="127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7995</v>
      </c>
      <c r="O1376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46206</v>
      </c>
      <c r="P1376" s="49" t="s">
        <v>25</v>
      </c>
      <c r="Q1376" t="s">
        <v>561</v>
      </c>
      <c r="R1376" s="1">
        <v>46198</v>
      </c>
      <c r="S1376" s="24" t="s">
        <v>27</v>
      </c>
      <c r="T1376"/>
      <c r="U1376" t="s">
        <v>32</v>
      </c>
    </row>
    <row r="1377" spans="2:21" s="49" customFormat="1">
      <c r="B1377" s="44">
        <v>46092</v>
      </c>
      <c r="C1377" s="7" t="s">
        <v>2291</v>
      </c>
      <c r="D1377" s="1">
        <v>46146</v>
      </c>
      <c r="E1377" s="199" t="s">
        <v>2292</v>
      </c>
      <c r="F1377" s="1"/>
      <c r="G1377" s="1"/>
      <c r="H1377" t="s">
        <v>196</v>
      </c>
      <c r="I1377" s="2">
        <v>17432</v>
      </c>
      <c r="J1377" s="2" t="s">
        <v>78</v>
      </c>
      <c r="K1377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8716</v>
      </c>
      <c r="L1377" s="3"/>
      <c r="M1377" t="s">
        <v>25</v>
      </c>
      <c r="N1377" s="127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8716</v>
      </c>
      <c r="O1377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46206</v>
      </c>
      <c r="P1377" s="49" t="s">
        <v>25</v>
      </c>
      <c r="Q1377" t="s">
        <v>1186</v>
      </c>
      <c r="R1377" s="1">
        <v>46198</v>
      </c>
      <c r="S1377" s="24" t="s">
        <v>27</v>
      </c>
      <c r="T1377"/>
      <c r="U1377" t="s">
        <v>32</v>
      </c>
    </row>
    <row r="1378" spans="2:21" s="49" customFormat="1">
      <c r="B1378" s="56">
        <v>46168</v>
      </c>
      <c r="C1378" s="57" t="s">
        <v>2293</v>
      </c>
      <c r="D1378" s="48">
        <v>46195</v>
      </c>
      <c r="E1378" s="50" t="s">
        <v>2294</v>
      </c>
      <c r="F1378" s="48"/>
      <c r="G1378" s="48"/>
      <c r="H1378" s="49" t="s">
        <v>196</v>
      </c>
      <c r="I1378" s="51">
        <v>7615</v>
      </c>
      <c r="J1378" s="51" t="s">
        <v>78</v>
      </c>
      <c r="K1378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3807.5</v>
      </c>
      <c r="L1378" s="52"/>
      <c r="M1378" s="58"/>
      <c r="N1378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3807.5</v>
      </c>
      <c r="O1378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46255</v>
      </c>
      <c r="P1378" s="49" t="s">
        <v>25</v>
      </c>
      <c r="Q1378" s="49" t="s">
        <v>229</v>
      </c>
      <c r="R1378" s="48">
        <v>46198</v>
      </c>
      <c r="S1378" s="59" t="s">
        <v>45</v>
      </c>
      <c r="U1378" s="49" t="s">
        <v>32</v>
      </c>
    </row>
    <row r="1379" spans="2:21" s="49" customFormat="1" ht="30.75">
      <c r="B1379" s="56"/>
      <c r="C1379" s="57"/>
      <c r="D1379" s="48">
        <v>46139</v>
      </c>
      <c r="E1379" s="50" t="s">
        <v>2295</v>
      </c>
      <c r="F1379" s="48"/>
      <c r="G1379" s="48"/>
      <c r="H1379" s="49" t="s">
        <v>196</v>
      </c>
      <c r="I1379" s="51">
        <v>11235</v>
      </c>
      <c r="J1379" s="51" t="s">
        <v>78</v>
      </c>
      <c r="K1379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5617.5</v>
      </c>
      <c r="L1379" s="48">
        <v>46142</v>
      </c>
      <c r="M1379" s="49" t="s">
        <v>25</v>
      </c>
      <c r="N1379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5617.5</v>
      </c>
      <c r="O1379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46199</v>
      </c>
      <c r="P1379" s="49" t="s">
        <v>25</v>
      </c>
      <c r="Q1379" s="49" t="s">
        <v>705</v>
      </c>
      <c r="R1379" s="48">
        <v>46198</v>
      </c>
      <c r="S1379" s="59" t="s">
        <v>27</v>
      </c>
      <c r="U1379" s="49" t="s">
        <v>32</v>
      </c>
    </row>
    <row r="1380" spans="2:21" s="49" customFormat="1" ht="30.75">
      <c r="B1380" s="56"/>
      <c r="C1380" s="57"/>
      <c r="D1380" s="48">
        <v>46139</v>
      </c>
      <c r="E1380" s="50" t="s">
        <v>2296</v>
      </c>
      <c r="F1380" s="48"/>
      <c r="G1380" s="48"/>
      <c r="H1380" s="49" t="s">
        <v>196</v>
      </c>
      <c r="I1380" s="51">
        <v>33416</v>
      </c>
      <c r="J1380" s="51" t="s">
        <v>78</v>
      </c>
      <c r="K1380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16708</v>
      </c>
      <c r="L1380" s="48">
        <v>46142</v>
      </c>
      <c r="M1380" s="49" t="s">
        <v>25</v>
      </c>
      <c r="N1380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16708</v>
      </c>
      <c r="O1380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46199</v>
      </c>
      <c r="P1380" s="49" t="s">
        <v>25</v>
      </c>
      <c r="Q1380" s="49" t="s">
        <v>2297</v>
      </c>
      <c r="R1380" s="48">
        <v>46198</v>
      </c>
      <c r="S1380" s="59" t="s">
        <v>27</v>
      </c>
      <c r="U1380" s="49" t="s">
        <v>32</v>
      </c>
    </row>
    <row r="1381" spans="2:21" s="49" customFormat="1" hidden="1">
      <c r="B1381" s="56"/>
      <c r="C1381" s="57"/>
      <c r="D1381" s="48">
        <v>46189</v>
      </c>
      <c r="E1381" s="50" t="s">
        <v>2298</v>
      </c>
      <c r="F1381" s="48"/>
      <c r="G1381" s="48"/>
      <c r="H1381" s="49" t="s">
        <v>2287</v>
      </c>
      <c r="I1381" s="51">
        <v>850.08</v>
      </c>
      <c r="J1381" s="51" t="s">
        <v>43</v>
      </c>
      <c r="K1381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81" s="52"/>
      <c r="M1381" s="58"/>
      <c r="N1381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850.08</v>
      </c>
      <c r="O1381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46189</v>
      </c>
      <c r="P1381" s="49" t="s">
        <v>25</v>
      </c>
      <c r="Q1381" s="49" t="s">
        <v>2299</v>
      </c>
      <c r="S1381" s="59"/>
    </row>
    <row r="1382" spans="2:21" s="49" customFormat="1" ht="17.25" customHeight="1">
      <c r="B1382" s="56">
        <v>46058</v>
      </c>
      <c r="C1382" s="57" t="s">
        <v>2300</v>
      </c>
      <c r="D1382" s="48">
        <v>46142</v>
      </c>
      <c r="E1382" s="50" t="s">
        <v>2301</v>
      </c>
      <c r="F1382" s="48"/>
      <c r="G1382" s="48"/>
      <c r="H1382" s="49" t="s">
        <v>196</v>
      </c>
      <c r="I1382" s="51">
        <v>13628</v>
      </c>
      <c r="J1382" s="51" t="s">
        <v>78</v>
      </c>
      <c r="K1382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6814</v>
      </c>
      <c r="L1382" s="48">
        <v>46142</v>
      </c>
      <c r="M1382" s="49" t="s">
        <v>25</v>
      </c>
      <c r="N1382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6814</v>
      </c>
      <c r="O1382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46202</v>
      </c>
      <c r="P1382" s="49" t="s">
        <v>25</v>
      </c>
      <c r="Q1382" s="49" t="s">
        <v>711</v>
      </c>
      <c r="R1382" s="48">
        <v>46198</v>
      </c>
      <c r="S1382" s="59" t="s">
        <v>27</v>
      </c>
      <c r="U1382" s="49" t="s">
        <v>32</v>
      </c>
    </row>
    <row r="1383" spans="2:21" s="49" customFormat="1" ht="17.25" hidden="1" customHeight="1">
      <c r="B1383" s="56"/>
      <c r="C1383" s="57"/>
      <c r="D1383" s="48">
        <v>46182</v>
      </c>
      <c r="E1383" s="50">
        <v>40231</v>
      </c>
      <c r="F1383" s="48"/>
      <c r="G1383" s="48"/>
      <c r="H1383" s="49" t="s">
        <v>2302</v>
      </c>
      <c r="I1383" s="51">
        <v>2650</v>
      </c>
      <c r="J1383" s="51" t="s">
        <v>330</v>
      </c>
      <c r="K1383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83" s="52"/>
      <c r="M1383" s="58"/>
      <c r="N1383" s="135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2650</v>
      </c>
      <c r="O1383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46212</v>
      </c>
      <c r="P1383" s="49" t="s">
        <v>25</v>
      </c>
      <c r="Q1383" s="49" t="s">
        <v>36</v>
      </c>
      <c r="R1383" s="48">
        <v>46198</v>
      </c>
      <c r="S1383" s="59" t="s">
        <v>45</v>
      </c>
    </row>
    <row r="1384" spans="2:21" s="49" customFormat="1" ht="17.25" hidden="1" customHeight="1">
      <c r="B1384" s="56"/>
      <c r="C1384" s="57"/>
      <c r="D1384" s="48">
        <v>46182</v>
      </c>
      <c r="E1384" s="50" t="s">
        <v>2303</v>
      </c>
      <c r="F1384" s="48"/>
      <c r="G1384" s="48"/>
      <c r="H1384" s="49" t="s">
        <v>329</v>
      </c>
      <c r="I1384" s="51">
        <v>290.62</v>
      </c>
      <c r="J1384" s="51" t="s">
        <v>330</v>
      </c>
      <c r="K1384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84" s="52"/>
      <c r="M1384" s="58"/>
      <c r="N1384" s="236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290.62</v>
      </c>
      <c r="O1384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46212</v>
      </c>
      <c r="P1384" s="49" t="s">
        <v>25</v>
      </c>
      <c r="Q1384" s="49" t="s">
        <v>334</v>
      </c>
      <c r="R1384" s="48">
        <v>46198</v>
      </c>
      <c r="S1384" s="59" t="s">
        <v>27</v>
      </c>
    </row>
    <row r="1385" spans="2:21" s="49" customFormat="1" ht="17.25" hidden="1" customHeight="1">
      <c r="B1385" s="56"/>
      <c r="C1385" s="57"/>
      <c r="D1385" s="48">
        <v>46195</v>
      </c>
      <c r="E1385" s="50" t="s">
        <v>2304</v>
      </c>
      <c r="F1385" s="48"/>
      <c r="G1385" s="48"/>
      <c r="H1385" s="49" t="s">
        <v>1046</v>
      </c>
      <c r="I1385" s="51">
        <v>660</v>
      </c>
      <c r="J1385" s="51" t="s">
        <v>43</v>
      </c>
      <c r="K1385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85" s="52"/>
      <c r="M1385" s="58"/>
      <c r="N1385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660</v>
      </c>
      <c r="O1385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46195</v>
      </c>
      <c r="P1385" s="49" t="s">
        <v>25</v>
      </c>
      <c r="Q1385" s="49" t="s">
        <v>381</v>
      </c>
      <c r="R1385" s="48">
        <v>46198</v>
      </c>
      <c r="S1385" s="59" t="s">
        <v>45</v>
      </c>
    </row>
    <row r="1386" spans="2:21" s="49" customFormat="1" ht="17.25" hidden="1" customHeight="1">
      <c r="B1386" s="56"/>
      <c r="C1386" s="57"/>
      <c r="D1386" s="48">
        <v>46197</v>
      </c>
      <c r="E1386" s="50" t="s">
        <v>2305</v>
      </c>
      <c r="F1386" s="48"/>
      <c r="G1386" s="48"/>
      <c r="H1386" s="49" t="s">
        <v>569</v>
      </c>
      <c r="I1386" s="51">
        <v>8.5</v>
      </c>
      <c r="J1386" s="51" t="s">
        <v>43</v>
      </c>
      <c r="K1386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86" s="52"/>
      <c r="M1386" s="58"/>
      <c r="N1386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8.5</v>
      </c>
      <c r="O1386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46197</v>
      </c>
      <c r="P1386" s="49" t="s">
        <v>25</v>
      </c>
      <c r="Q1386" s="49" t="s">
        <v>2306</v>
      </c>
      <c r="R1386" s="48">
        <v>46198</v>
      </c>
      <c r="S1386" s="59" t="s">
        <v>27</v>
      </c>
    </row>
    <row r="1387" spans="2:21" s="49" customFormat="1" ht="17.25" hidden="1" customHeight="1">
      <c r="B1387" s="56"/>
      <c r="C1387" s="57"/>
      <c r="D1387" s="48">
        <v>46204</v>
      </c>
      <c r="E1387" s="50">
        <v>1852384300</v>
      </c>
      <c r="F1387" s="48"/>
      <c r="G1387" s="48"/>
      <c r="H1387" s="49" t="s">
        <v>1519</v>
      </c>
      <c r="I1387" s="51">
        <v>87.4</v>
      </c>
      <c r="J1387" s="51" t="s">
        <v>43</v>
      </c>
      <c r="K1387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87" s="52"/>
      <c r="M1387" s="58"/>
      <c r="N1387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87.4</v>
      </c>
      <c r="O1387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46204</v>
      </c>
      <c r="P1387" s="49" t="s">
        <v>25</v>
      </c>
      <c r="Q1387" s="49" t="s">
        <v>2307</v>
      </c>
      <c r="S1387" s="59"/>
      <c r="T1387" s="49" t="s">
        <v>1521</v>
      </c>
    </row>
    <row r="1388" spans="2:21" s="49" customFormat="1" ht="17.25" hidden="1" customHeight="1">
      <c r="B1388" s="56"/>
      <c r="C1388" s="57"/>
      <c r="D1388" s="48">
        <v>46198</v>
      </c>
      <c r="E1388" s="50" t="s">
        <v>2308</v>
      </c>
      <c r="F1388" s="48"/>
      <c r="G1388" s="48"/>
      <c r="H1388" s="49" t="s">
        <v>329</v>
      </c>
      <c r="I1388" s="51">
        <v>-590</v>
      </c>
      <c r="J1388" s="51" t="s">
        <v>330</v>
      </c>
      <c r="K1388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88" s="52"/>
      <c r="M1388" s="58"/>
      <c r="N1388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-590</v>
      </c>
      <c r="O1388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46228</v>
      </c>
      <c r="P1388" s="49" t="s">
        <v>25</v>
      </c>
      <c r="Q1388" s="49" t="s">
        <v>232</v>
      </c>
      <c r="S1388" s="59" t="s">
        <v>27</v>
      </c>
      <c r="T1388" s="49" t="s">
        <v>2257</v>
      </c>
    </row>
    <row r="1389" spans="2:21" s="49" customFormat="1" ht="17.25" hidden="1" customHeight="1">
      <c r="B1389" s="56"/>
      <c r="C1389" s="57"/>
      <c r="D1389" s="48">
        <v>46198</v>
      </c>
      <c r="E1389" s="50" t="s">
        <v>2309</v>
      </c>
      <c r="F1389" s="48"/>
      <c r="G1389" s="48"/>
      <c r="H1389" s="49" t="s">
        <v>86</v>
      </c>
      <c r="I1389" s="51">
        <v>221.85</v>
      </c>
      <c r="J1389" s="51" t="s">
        <v>55</v>
      </c>
      <c r="K1389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89" s="52"/>
      <c r="M1389" s="58"/>
      <c r="N1389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221.85</v>
      </c>
      <c r="O1389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389" s="49" t="s">
        <v>25</v>
      </c>
      <c r="Q1389" s="49" t="s">
        <v>1882</v>
      </c>
      <c r="S1389" s="59"/>
    </row>
    <row r="1390" spans="2:21" s="49" customFormat="1" ht="17.25" hidden="1" customHeight="1">
      <c r="B1390" s="56"/>
      <c r="C1390" s="57"/>
      <c r="D1390" s="48">
        <v>46198</v>
      </c>
      <c r="E1390" s="50" t="s">
        <v>2310</v>
      </c>
      <c r="F1390" s="48"/>
      <c r="G1390" s="48"/>
      <c r="H1390" s="49" t="s">
        <v>86</v>
      </c>
      <c r="I1390" s="51">
        <v>876.88</v>
      </c>
      <c r="J1390" s="51" t="s">
        <v>55</v>
      </c>
      <c r="K139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90" s="52"/>
      <c r="M1390" s="58"/>
      <c r="N1390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876.88</v>
      </c>
      <c r="O1390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390" s="49" t="s">
        <v>25</v>
      </c>
      <c r="Q1390" s="49" t="s">
        <v>87</v>
      </c>
      <c r="S1390" s="59"/>
    </row>
    <row r="1391" spans="2:21" s="49" customFormat="1" hidden="1">
      <c r="B1391" s="56"/>
      <c r="C1391" s="57"/>
      <c r="D1391" s="48">
        <v>46199</v>
      </c>
      <c r="E1391" s="50" t="s">
        <v>2311</v>
      </c>
      <c r="F1391" s="48"/>
      <c r="G1391" s="48"/>
      <c r="H1391" s="49" t="s">
        <v>1118</v>
      </c>
      <c r="I1391" s="51">
        <v>615.29999999999995</v>
      </c>
      <c r="J1391" s="51" t="s">
        <v>43</v>
      </c>
      <c r="K1391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91" s="52"/>
      <c r="M1391" s="58"/>
      <c r="N1391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615.29999999999995</v>
      </c>
      <c r="O1391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46199</v>
      </c>
      <c r="P1391" s="49" t="s">
        <v>25</v>
      </c>
      <c r="Q1391" s="49" t="s">
        <v>2312</v>
      </c>
      <c r="S1391" s="59"/>
    </row>
    <row r="1392" spans="2:21" s="49" customFormat="1" hidden="1">
      <c r="B1392" s="56"/>
      <c r="C1392" s="57"/>
      <c r="D1392" s="48">
        <v>46204</v>
      </c>
      <c r="E1392" s="50">
        <v>1852384302</v>
      </c>
      <c r="F1392" s="48"/>
      <c r="G1392" s="48"/>
      <c r="H1392" s="49" t="s">
        <v>1519</v>
      </c>
      <c r="I1392" s="51">
        <v>87.4</v>
      </c>
      <c r="J1392" s="51" t="s">
        <v>43</v>
      </c>
      <c r="K139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92" s="52"/>
      <c r="M1392" s="58"/>
      <c r="N1392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87.4</v>
      </c>
      <c r="O1392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46204</v>
      </c>
      <c r="P1392" s="49" t="s">
        <v>25</v>
      </c>
      <c r="Q1392" s="49" t="s">
        <v>2313</v>
      </c>
      <c r="S1392" s="59"/>
      <c r="T1392" s="49" t="s">
        <v>1521</v>
      </c>
    </row>
    <row r="1393" spans="2:20" s="49" customFormat="1" hidden="1">
      <c r="B1393" s="56"/>
      <c r="C1393" s="57"/>
      <c r="D1393" s="48">
        <v>46122</v>
      </c>
      <c r="E1393" s="50">
        <v>1852274488</v>
      </c>
      <c r="F1393" s="48"/>
      <c r="G1393" s="48"/>
      <c r="H1393" s="49" t="s">
        <v>1519</v>
      </c>
      <c r="I1393" s="51">
        <v>91.2</v>
      </c>
      <c r="J1393" s="51" t="s">
        <v>43</v>
      </c>
      <c r="K1393" s="1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93" s="52"/>
      <c r="M1393" s="58"/>
      <c r="N1393" s="1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91.2</v>
      </c>
      <c r="O1393" s="6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46122</v>
      </c>
      <c r="P1393" s="49" t="s">
        <v>25</v>
      </c>
      <c r="Q1393" s="49" t="s">
        <v>2314</v>
      </c>
      <c r="S1393" s="59"/>
    </row>
    <row r="1394" spans="2:20" s="49" customFormat="1" hidden="1">
      <c r="B1394" s="56"/>
      <c r="C1394" s="57"/>
      <c r="D1394" s="48">
        <v>46204</v>
      </c>
      <c r="E1394" s="50">
        <v>1852384301</v>
      </c>
      <c r="F1394" s="48"/>
      <c r="G1394" s="48"/>
      <c r="H1394" s="49" t="s">
        <v>1519</v>
      </c>
      <c r="I1394" s="51">
        <v>95.95</v>
      </c>
      <c r="J1394" s="51" t="s">
        <v>43</v>
      </c>
      <c r="K1394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94" s="52"/>
      <c r="M1394" s="58"/>
      <c r="N1394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95.95</v>
      </c>
      <c r="O1394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46204</v>
      </c>
      <c r="P1394" s="49" t="s">
        <v>25</v>
      </c>
      <c r="Q1394" s="49" t="s">
        <v>2315</v>
      </c>
      <c r="S1394" s="59"/>
      <c r="T1394" s="49" t="s">
        <v>1521</v>
      </c>
    </row>
    <row r="1395" spans="2:20" s="49" customFormat="1" hidden="1">
      <c r="B1395" s="56"/>
      <c r="C1395" s="57"/>
      <c r="D1395" s="48">
        <v>46195</v>
      </c>
      <c r="E1395" s="50" t="s">
        <v>2316</v>
      </c>
      <c r="F1395" s="48"/>
      <c r="G1395" s="48"/>
      <c r="H1395" s="49" t="s">
        <v>1046</v>
      </c>
      <c r="I1395" s="51">
        <v>120</v>
      </c>
      <c r="J1395" s="51" t="s">
        <v>43</v>
      </c>
      <c r="K1395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95" s="52"/>
      <c r="M1395" s="58"/>
      <c r="N1395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1395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46195</v>
      </c>
      <c r="P1395" s="49" t="s">
        <v>25</v>
      </c>
      <c r="Q1395" s="49" t="s">
        <v>381</v>
      </c>
      <c r="R1395" s="48">
        <v>46198</v>
      </c>
      <c r="S1395" s="59" t="s">
        <v>45</v>
      </c>
    </row>
    <row r="1396" spans="2:20" s="49" customFormat="1" hidden="1">
      <c r="B1396" s="56"/>
      <c r="C1396" s="57"/>
      <c r="D1396" s="48">
        <v>46203</v>
      </c>
      <c r="E1396" s="50" t="s">
        <v>2317</v>
      </c>
      <c r="F1396" s="48"/>
      <c r="G1396" s="48"/>
      <c r="H1396" s="49" t="s">
        <v>1046</v>
      </c>
      <c r="I1396" s="51">
        <v>120</v>
      </c>
      <c r="J1396" s="51" t="s">
        <v>43</v>
      </c>
      <c r="K1396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96" s="52"/>
      <c r="M1396" s="58"/>
      <c r="N1396" s="135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1396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46203</v>
      </c>
      <c r="P1396" s="49" t="s">
        <v>25</v>
      </c>
      <c r="Q1396" s="49" t="s">
        <v>2318</v>
      </c>
      <c r="R1396" s="48">
        <v>46205</v>
      </c>
      <c r="S1396" s="59" t="s">
        <v>45</v>
      </c>
    </row>
    <row r="1397" spans="2:20" s="49" customFormat="1" hidden="1">
      <c r="B1397" s="56"/>
      <c r="C1397" s="57"/>
      <c r="D1397" s="48">
        <v>46203</v>
      </c>
      <c r="E1397" s="50" t="s">
        <v>2319</v>
      </c>
      <c r="F1397" s="48"/>
      <c r="G1397" s="48"/>
      <c r="H1397" s="49" t="s">
        <v>1046</v>
      </c>
      <c r="I1397" s="51">
        <v>139.19999999999999</v>
      </c>
      <c r="J1397" s="51" t="s">
        <v>43</v>
      </c>
      <c r="K1397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97" s="52"/>
      <c r="M1397" s="58"/>
      <c r="N1397" s="135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139.19999999999999</v>
      </c>
      <c r="O1397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46203</v>
      </c>
      <c r="P1397" s="49" t="s">
        <v>25</v>
      </c>
      <c r="Q1397" s="49" t="s">
        <v>1047</v>
      </c>
      <c r="R1397" s="48">
        <v>46205</v>
      </c>
      <c r="S1397" s="59" t="s">
        <v>45</v>
      </c>
    </row>
    <row r="1398" spans="2:20" s="49" customFormat="1" ht="24" hidden="1" customHeight="1">
      <c r="B1398" s="56">
        <v>46197</v>
      </c>
      <c r="C1398" s="57"/>
      <c r="D1398" s="48"/>
      <c r="E1398" s="255"/>
      <c r="F1398" s="48"/>
      <c r="G1398" s="48"/>
      <c r="H1398" s="49" t="s">
        <v>2320</v>
      </c>
      <c r="I1398" s="51">
        <v>18.309999999999999</v>
      </c>
      <c r="J1398" s="51" t="s">
        <v>43</v>
      </c>
      <c r="K1398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98" s="52"/>
      <c r="M1398" s="58"/>
      <c r="N1398" s="135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18.309999999999999</v>
      </c>
      <c r="O1398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398" s="49" t="s">
        <v>25</v>
      </c>
      <c r="Q1398" s="59" t="s">
        <v>2321</v>
      </c>
      <c r="R1398" s="48">
        <v>46205</v>
      </c>
      <c r="S1398" s="59" t="s">
        <v>27</v>
      </c>
    </row>
    <row r="1399" spans="2:20" s="49" customFormat="1" ht="30.75" hidden="1">
      <c r="B1399" s="56"/>
      <c r="C1399" s="57"/>
      <c r="D1399" s="48">
        <v>46213</v>
      </c>
      <c r="E1399" s="50">
        <v>242848</v>
      </c>
      <c r="F1399" s="48"/>
      <c r="G1399" s="48"/>
      <c r="H1399" s="49" t="s">
        <v>2203</v>
      </c>
      <c r="I1399" s="51">
        <v>180.8</v>
      </c>
      <c r="J1399" s="51" t="s">
        <v>43</v>
      </c>
      <c r="K1399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399" s="52"/>
      <c r="M1399" s="58"/>
      <c r="N1399" s="135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180.8</v>
      </c>
      <c r="O1399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46213</v>
      </c>
      <c r="P1399" s="49" t="s">
        <v>25</v>
      </c>
      <c r="Q1399" s="49" t="s">
        <v>2322</v>
      </c>
      <c r="R1399" s="48">
        <v>46205</v>
      </c>
      <c r="S1399" s="59" t="s">
        <v>2197</v>
      </c>
    </row>
    <row r="1400" spans="2:20" s="49" customFormat="1" ht="21" hidden="1" customHeight="1">
      <c r="B1400" s="56">
        <v>46205</v>
      </c>
      <c r="C1400" s="57"/>
      <c r="D1400" s="48">
        <v>46216</v>
      </c>
      <c r="E1400" s="50" t="s">
        <v>2323</v>
      </c>
      <c r="F1400" s="48"/>
      <c r="G1400" s="48"/>
      <c r="H1400" s="49" t="s">
        <v>54</v>
      </c>
      <c r="I1400" s="51">
        <v>128.63</v>
      </c>
      <c r="J1400" s="51" t="s">
        <v>55</v>
      </c>
      <c r="K140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00" s="52"/>
      <c r="M1400" s="51"/>
      <c r="N1400" s="135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128.63</v>
      </c>
      <c r="O1400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400" s="49" t="s">
        <v>25</v>
      </c>
      <c r="Q1400" s="49" t="s">
        <v>2324</v>
      </c>
      <c r="R1400" s="48">
        <v>46205</v>
      </c>
      <c r="S1400" s="59" t="s">
        <v>27</v>
      </c>
    </row>
    <row r="1401" spans="2:20" s="49" customFormat="1" ht="17.25" hidden="1" customHeight="1">
      <c r="B1401" s="56"/>
      <c r="C1401" s="57"/>
      <c r="D1401" s="48">
        <v>46206</v>
      </c>
      <c r="E1401" s="50" t="s">
        <v>2325</v>
      </c>
      <c r="F1401" s="48"/>
      <c r="G1401" s="48"/>
      <c r="H1401" s="49" t="s">
        <v>329</v>
      </c>
      <c r="I1401" s="51">
        <v>1125.27</v>
      </c>
      <c r="J1401" s="51" t="s">
        <v>330</v>
      </c>
      <c r="K1401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01" s="52"/>
      <c r="M1401" s="58"/>
      <c r="N1401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1125.27</v>
      </c>
      <c r="O1401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46236</v>
      </c>
      <c r="Q1401" s="49" t="s">
        <v>672</v>
      </c>
      <c r="R1401" s="48">
        <v>46240</v>
      </c>
      <c r="S1401" s="59" t="s">
        <v>27</v>
      </c>
    </row>
    <row r="1402" spans="2:20" s="49" customFormat="1" ht="17.25" hidden="1" customHeight="1">
      <c r="B1402" s="56">
        <v>46206</v>
      </c>
      <c r="C1402" s="57" t="s">
        <v>2326</v>
      </c>
      <c r="D1402" s="48">
        <v>46208</v>
      </c>
      <c r="E1402" s="50" t="s">
        <v>2327</v>
      </c>
      <c r="F1402" s="48"/>
      <c r="G1402" s="48"/>
      <c r="H1402" s="49" t="s">
        <v>23</v>
      </c>
      <c r="I1402" s="51">
        <v>180</v>
      </c>
      <c r="J1402" s="51" t="s">
        <v>55</v>
      </c>
      <c r="K140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02" s="52"/>
      <c r="M1402" s="58"/>
      <c r="N1402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180</v>
      </c>
      <c r="O1402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402" s="49" t="s">
        <v>25</v>
      </c>
      <c r="Q1402" s="49" t="s">
        <v>288</v>
      </c>
      <c r="R1402" s="48">
        <v>46212</v>
      </c>
      <c r="S1402" s="59" t="s">
        <v>45</v>
      </c>
    </row>
    <row r="1403" spans="2:20" s="49" customFormat="1" ht="17.25" hidden="1" customHeight="1">
      <c r="B1403" s="56"/>
      <c r="C1403" s="57"/>
      <c r="D1403" s="48">
        <v>46205</v>
      </c>
      <c r="E1403" s="50" t="s">
        <v>2328</v>
      </c>
      <c r="F1403" s="48"/>
      <c r="G1403" s="48"/>
      <c r="H1403" s="49" t="s">
        <v>29</v>
      </c>
      <c r="I1403" s="51">
        <v>45913.1</v>
      </c>
      <c r="J1403" s="51" t="s">
        <v>30</v>
      </c>
      <c r="K1403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03" s="52"/>
      <c r="M1403" s="58"/>
      <c r="N1403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45913.1</v>
      </c>
      <c r="O1403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46265</v>
      </c>
      <c r="Q1403" s="49" t="s">
        <v>52</v>
      </c>
      <c r="R1403" s="48">
        <v>46261</v>
      </c>
      <c r="S1403" s="59" t="s">
        <v>27</v>
      </c>
    </row>
    <row r="1404" spans="2:20" s="49" customFormat="1" ht="17.25" hidden="1" customHeight="1">
      <c r="B1404" s="56"/>
      <c r="C1404" s="57"/>
      <c r="D1404" s="48">
        <v>46205</v>
      </c>
      <c r="E1404" s="50" t="s">
        <v>2329</v>
      </c>
      <c r="F1404" s="48"/>
      <c r="G1404" s="48"/>
      <c r="H1404" s="49" t="s">
        <v>29</v>
      </c>
      <c r="I1404" s="51">
        <v>1801.4</v>
      </c>
      <c r="J1404" s="51" t="s">
        <v>30</v>
      </c>
      <c r="K1404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04" s="52"/>
      <c r="M1404" s="58"/>
      <c r="N1404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1801.4</v>
      </c>
      <c r="O1404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46265</v>
      </c>
      <c r="Q1404" s="49" t="s">
        <v>2330</v>
      </c>
      <c r="R1404" s="48">
        <v>46261</v>
      </c>
      <c r="S1404" s="59" t="s">
        <v>27</v>
      </c>
    </row>
    <row r="1405" spans="2:20" s="49" customFormat="1" ht="17.25" hidden="1" customHeight="1">
      <c r="B1405" s="56"/>
      <c r="C1405" s="57"/>
      <c r="D1405" s="48">
        <v>46203</v>
      </c>
      <c r="E1405" s="50" t="s">
        <v>2331</v>
      </c>
      <c r="F1405" s="48"/>
      <c r="G1405" s="48"/>
      <c r="H1405" s="49" t="s">
        <v>29</v>
      </c>
      <c r="I1405" s="51">
        <v>32832.480000000003</v>
      </c>
      <c r="J1405" s="51" t="s">
        <v>30</v>
      </c>
      <c r="K1405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05" s="52"/>
      <c r="M1405" s="58"/>
      <c r="N1405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32832.480000000003</v>
      </c>
      <c r="O1405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46263</v>
      </c>
      <c r="Q1405" s="49" t="s">
        <v>52</v>
      </c>
      <c r="R1405" s="48">
        <v>46261</v>
      </c>
      <c r="S1405" s="59" t="s">
        <v>27</v>
      </c>
    </row>
    <row r="1406" spans="2:20" s="49" customFormat="1" ht="17.25" hidden="1" customHeight="1">
      <c r="B1406" s="56"/>
      <c r="C1406" s="57"/>
      <c r="D1406" s="48">
        <v>46203</v>
      </c>
      <c r="E1406" s="50" t="s">
        <v>2332</v>
      </c>
      <c r="F1406" s="48"/>
      <c r="G1406" s="48"/>
      <c r="H1406" s="49" t="s">
        <v>29</v>
      </c>
      <c r="I1406" s="51">
        <v>428</v>
      </c>
      <c r="J1406" s="51" t="s">
        <v>30</v>
      </c>
      <c r="K1406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06" s="52"/>
      <c r="M1406" s="58"/>
      <c r="N1406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428</v>
      </c>
      <c r="O1406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46263</v>
      </c>
      <c r="Q1406" s="49" t="s">
        <v>2333</v>
      </c>
      <c r="R1406" s="48">
        <v>46261</v>
      </c>
      <c r="S1406" s="59" t="s">
        <v>27</v>
      </c>
    </row>
    <row r="1407" spans="2:20" s="49" customFormat="1" ht="17.25" hidden="1" customHeight="1">
      <c r="B1407" s="56"/>
      <c r="C1407" s="57"/>
      <c r="D1407" s="48">
        <v>46204</v>
      </c>
      <c r="E1407" s="50" t="s">
        <v>2334</v>
      </c>
      <c r="F1407" s="48"/>
      <c r="G1407" s="48"/>
      <c r="H1407" s="49" t="s">
        <v>29</v>
      </c>
      <c r="I1407" s="51">
        <v>31816.2</v>
      </c>
      <c r="J1407" s="51" t="s">
        <v>30</v>
      </c>
      <c r="K1407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07" s="52"/>
      <c r="M1407" s="58"/>
      <c r="N1407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31816.2</v>
      </c>
      <c r="O1407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46264</v>
      </c>
      <c r="Q1407" s="49" t="s">
        <v>52</v>
      </c>
      <c r="R1407" s="48">
        <v>46261</v>
      </c>
      <c r="S1407" s="59" t="s">
        <v>27</v>
      </c>
    </row>
    <row r="1408" spans="2:20" s="49" customFormat="1" ht="17.25" hidden="1" customHeight="1">
      <c r="B1408" s="56"/>
      <c r="C1408" s="57"/>
      <c r="D1408" s="48">
        <v>46206</v>
      </c>
      <c r="E1408" s="50" t="s">
        <v>2335</v>
      </c>
      <c r="F1408" s="48"/>
      <c r="G1408" s="48"/>
      <c r="H1408" s="49" t="s">
        <v>29</v>
      </c>
      <c r="I1408" s="51">
        <v>30799.919999999998</v>
      </c>
      <c r="J1408" s="51" t="s">
        <v>30</v>
      </c>
      <c r="K1408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08" s="52"/>
      <c r="M1408" s="58"/>
      <c r="N1408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30799.919999999998</v>
      </c>
      <c r="O1408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46266</v>
      </c>
      <c r="Q1408" s="49" t="s">
        <v>52</v>
      </c>
      <c r="R1408" s="48">
        <v>46261</v>
      </c>
      <c r="S1408" s="59" t="s">
        <v>27</v>
      </c>
    </row>
    <row r="1409" spans="2:21" s="49" customFormat="1" ht="17.25" hidden="1" customHeight="1">
      <c r="B1409" s="56"/>
      <c r="C1409" s="57"/>
      <c r="D1409" s="48">
        <v>46206</v>
      </c>
      <c r="E1409" s="50" t="s">
        <v>2336</v>
      </c>
      <c r="F1409" s="48"/>
      <c r="G1409" s="48"/>
      <c r="H1409" s="49" t="s">
        <v>29</v>
      </c>
      <c r="I1409" s="51">
        <v>31313.68</v>
      </c>
      <c r="J1409" s="51" t="s">
        <v>30</v>
      </c>
      <c r="K1409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09" s="52"/>
      <c r="M1409" s="58"/>
      <c r="N1409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31313.68</v>
      </c>
      <c r="O1409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46266</v>
      </c>
      <c r="Q1409" s="49" t="s">
        <v>52</v>
      </c>
      <c r="R1409" s="48">
        <v>46261</v>
      </c>
      <c r="S1409" s="59" t="s">
        <v>27</v>
      </c>
    </row>
    <row r="1410" spans="2:21" s="49" customFormat="1" ht="17.25" hidden="1" customHeight="1">
      <c r="B1410" s="56">
        <v>46192</v>
      </c>
      <c r="C1410" s="57" t="s">
        <v>2337</v>
      </c>
      <c r="D1410" s="48"/>
      <c r="E1410" s="50"/>
      <c r="F1410" s="48"/>
      <c r="G1410" s="48"/>
      <c r="H1410" s="49" t="s">
        <v>23</v>
      </c>
      <c r="I1410" s="51">
        <v>17751.45</v>
      </c>
      <c r="J1410" s="51" t="s">
        <v>24</v>
      </c>
      <c r="K1410" s="62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5325.4350000000004</v>
      </c>
      <c r="L1410" s="52">
        <v>46212</v>
      </c>
      <c r="M1410" s="49" t="s">
        <v>25</v>
      </c>
      <c r="N1410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12426.014999999999</v>
      </c>
      <c r="O1410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Q1410" s="49" t="s">
        <v>320</v>
      </c>
      <c r="R1410" s="48">
        <v>46212</v>
      </c>
      <c r="S1410" s="59" t="s">
        <v>45</v>
      </c>
    </row>
    <row r="1411" spans="2:21" s="49" customFormat="1" ht="17.25" hidden="1" customHeight="1">
      <c r="B1411" s="56">
        <v>46206</v>
      </c>
      <c r="C1411" s="57" t="s">
        <v>2338</v>
      </c>
      <c r="D1411" s="48">
        <v>46211</v>
      </c>
      <c r="E1411" s="50" t="s">
        <v>2339</v>
      </c>
      <c r="F1411" s="48"/>
      <c r="G1411" s="48"/>
      <c r="H1411" s="49" t="s">
        <v>23</v>
      </c>
      <c r="I1411" s="51">
        <v>159.80000000000001</v>
      </c>
      <c r="J1411" s="51" t="s">
        <v>55</v>
      </c>
      <c r="K1411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11" s="52"/>
      <c r="M1411" s="58"/>
      <c r="N1411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159.80000000000001</v>
      </c>
      <c r="O1411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411" s="49" t="s">
        <v>25</v>
      </c>
      <c r="Q1411" s="49" t="s">
        <v>115</v>
      </c>
      <c r="R1411" s="48">
        <v>46212</v>
      </c>
      <c r="S1411" s="59" t="s">
        <v>45</v>
      </c>
    </row>
    <row r="1412" spans="2:21" s="49" customFormat="1" ht="17.25" hidden="1" customHeight="1">
      <c r="B1412" s="56">
        <v>46206</v>
      </c>
      <c r="C1412" s="57" t="s">
        <v>2340</v>
      </c>
      <c r="D1412" s="48">
        <v>46211</v>
      </c>
      <c r="E1412" s="50" t="s">
        <v>2341</v>
      </c>
      <c r="F1412" s="48"/>
      <c r="G1412" s="48"/>
      <c r="H1412" s="49" t="s">
        <v>23</v>
      </c>
      <c r="I1412" s="51">
        <v>243.72</v>
      </c>
      <c r="J1412" s="51" t="s">
        <v>55</v>
      </c>
      <c r="K141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12" s="52"/>
      <c r="M1412" s="58"/>
      <c r="N1412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243.72</v>
      </c>
      <c r="O1412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412" s="49" t="s">
        <v>25</v>
      </c>
      <c r="Q1412" s="49" t="s">
        <v>34</v>
      </c>
      <c r="R1412" s="48">
        <v>46212</v>
      </c>
      <c r="S1412" s="59" t="s">
        <v>45</v>
      </c>
    </row>
    <row r="1413" spans="2:21" s="49" customFormat="1" ht="17.25" customHeight="1">
      <c r="B1413" s="56">
        <v>46072</v>
      </c>
      <c r="C1413" s="57" t="s">
        <v>2342</v>
      </c>
      <c r="D1413" s="48">
        <v>46156</v>
      </c>
      <c r="E1413" s="50" t="s">
        <v>2343</v>
      </c>
      <c r="F1413" s="48"/>
      <c r="G1413" s="48"/>
      <c r="H1413" s="49" t="s">
        <v>196</v>
      </c>
      <c r="I1413" s="51">
        <v>3220</v>
      </c>
      <c r="J1413" s="51" t="s">
        <v>78</v>
      </c>
      <c r="K1413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1610</v>
      </c>
      <c r="L1413" s="48">
        <v>46156</v>
      </c>
      <c r="M1413" s="49" t="s">
        <v>25</v>
      </c>
      <c r="N1413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1610</v>
      </c>
      <c r="O1413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46216</v>
      </c>
      <c r="P1413" s="49" t="s">
        <v>25</v>
      </c>
      <c r="Q1413" s="49" t="s">
        <v>537</v>
      </c>
      <c r="R1413" s="48">
        <v>46212</v>
      </c>
      <c r="S1413" s="59" t="s">
        <v>27</v>
      </c>
      <c r="U1413" s="49" t="s">
        <v>32</v>
      </c>
    </row>
    <row r="1414" spans="2:21" s="49" customFormat="1" ht="17.25" hidden="1" customHeight="1">
      <c r="B1414" s="56"/>
      <c r="C1414" s="57"/>
      <c r="D1414" s="48">
        <v>46198</v>
      </c>
      <c r="E1414" s="50" t="s">
        <v>2344</v>
      </c>
      <c r="F1414" s="48"/>
      <c r="G1414" s="48"/>
      <c r="H1414" s="49" t="s">
        <v>329</v>
      </c>
      <c r="I1414" s="51">
        <v>416.02</v>
      </c>
      <c r="J1414" s="51" t="s">
        <v>330</v>
      </c>
      <c r="K1414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14" s="52"/>
      <c r="M1414" s="58"/>
      <c r="N1414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416.02</v>
      </c>
      <c r="O1414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46228</v>
      </c>
      <c r="Q1414" s="49" t="s">
        <v>229</v>
      </c>
      <c r="R1414" s="48">
        <v>46226</v>
      </c>
      <c r="S1414" s="59" t="s">
        <v>27</v>
      </c>
    </row>
    <row r="1415" spans="2:21" s="49" customFormat="1" ht="17.25" customHeight="1">
      <c r="B1415" s="56">
        <v>46112</v>
      </c>
      <c r="C1415" s="57" t="s">
        <v>2345</v>
      </c>
      <c r="D1415" s="48">
        <v>46156</v>
      </c>
      <c r="E1415" s="50" t="s">
        <v>2346</v>
      </c>
      <c r="F1415" s="48"/>
      <c r="G1415" s="48"/>
      <c r="H1415" s="49" t="s">
        <v>196</v>
      </c>
      <c r="I1415" s="51">
        <v>1305</v>
      </c>
      <c r="J1415" s="51" t="s">
        <v>78</v>
      </c>
      <c r="K1415" s="58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652.5</v>
      </c>
      <c r="L1415" s="52">
        <v>46163</v>
      </c>
      <c r="M1415" s="58" t="s">
        <v>25</v>
      </c>
      <c r="N1415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652.5</v>
      </c>
      <c r="O1415" s="90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46216</v>
      </c>
      <c r="P1415" s="49" t="s">
        <v>25</v>
      </c>
      <c r="Q1415" s="49" t="s">
        <v>241</v>
      </c>
      <c r="R1415" s="48">
        <v>46212</v>
      </c>
      <c r="S1415" s="59" t="s">
        <v>27</v>
      </c>
      <c r="U1415" s="49" t="s">
        <v>32</v>
      </c>
    </row>
    <row r="1416" spans="2:21" s="49" customFormat="1" ht="17.25" customHeight="1">
      <c r="B1416" s="56">
        <v>46120</v>
      </c>
      <c r="C1416" s="57" t="s">
        <v>2347</v>
      </c>
      <c r="D1416" s="48">
        <v>46212</v>
      </c>
      <c r="E1416" s="50" t="s">
        <v>2348</v>
      </c>
      <c r="F1416" s="48"/>
      <c r="G1416" s="48"/>
      <c r="H1416" s="49" t="s">
        <v>196</v>
      </c>
      <c r="I1416" s="51">
        <v>25164.2</v>
      </c>
      <c r="J1416" s="51" t="s">
        <v>78</v>
      </c>
      <c r="K1416" s="62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12582.1</v>
      </c>
      <c r="L1416" s="52">
        <v>46212</v>
      </c>
      <c r="M1416" s="49" t="s">
        <v>25</v>
      </c>
      <c r="N1416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12582.1</v>
      </c>
      <c r="O1416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46272</v>
      </c>
      <c r="Q1416" s="49" t="s">
        <v>214</v>
      </c>
      <c r="R1416" s="48">
        <v>46268</v>
      </c>
      <c r="S1416" s="59" t="s">
        <v>45</v>
      </c>
    </row>
    <row r="1417" spans="2:21" s="49" customFormat="1" ht="17.25" hidden="1" customHeight="1">
      <c r="B1417" s="56"/>
      <c r="C1417" s="57"/>
      <c r="D1417" s="48">
        <v>46210</v>
      </c>
      <c r="E1417" s="50" t="s">
        <v>2349</v>
      </c>
      <c r="F1417" s="48"/>
      <c r="G1417" s="48"/>
      <c r="H1417" s="49" t="s">
        <v>54</v>
      </c>
      <c r="I1417" s="51">
        <v>41.77</v>
      </c>
      <c r="J1417" s="51" t="s">
        <v>55</v>
      </c>
      <c r="K1417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17" s="52"/>
      <c r="M1417" s="58"/>
      <c r="N1417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41.77</v>
      </c>
      <c r="O1417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417" s="49" t="s">
        <v>25</v>
      </c>
      <c r="Q1417" s="49" t="s">
        <v>2350</v>
      </c>
      <c r="R1417" s="48">
        <v>46210</v>
      </c>
      <c r="S1417" s="59" t="s">
        <v>27</v>
      </c>
    </row>
    <row r="1418" spans="2:21" s="49" customFormat="1" ht="17.25" hidden="1" customHeight="1">
      <c r="B1418" s="56"/>
      <c r="C1418" s="57"/>
      <c r="D1418" s="48">
        <v>46210</v>
      </c>
      <c r="E1418" s="50" t="s">
        <v>2351</v>
      </c>
      <c r="F1418" s="48"/>
      <c r="G1418" s="48"/>
      <c r="H1418" s="49" t="s">
        <v>54</v>
      </c>
      <c r="I1418" s="51">
        <v>-41.77</v>
      </c>
      <c r="J1418" s="51" t="s">
        <v>55</v>
      </c>
      <c r="K1418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18" s="52"/>
      <c r="M1418" s="58"/>
      <c r="N1418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-41.77</v>
      </c>
      <c r="O1418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418" s="49" t="s">
        <v>25</v>
      </c>
      <c r="Q1418" s="49" t="s">
        <v>2352</v>
      </c>
      <c r="R1418" s="48">
        <v>46210</v>
      </c>
      <c r="S1418" s="59" t="s">
        <v>27</v>
      </c>
    </row>
    <row r="1419" spans="2:21" s="49" customFormat="1" ht="17.25" hidden="1" customHeight="1">
      <c r="B1419" s="56"/>
      <c r="C1419" s="57"/>
      <c r="D1419" s="48">
        <v>46206</v>
      </c>
      <c r="E1419" s="50" t="s">
        <v>2353</v>
      </c>
      <c r="F1419" s="48"/>
      <c r="G1419" s="48"/>
      <c r="H1419" s="49" t="s">
        <v>1746</v>
      </c>
      <c r="I1419" s="51">
        <v>45.29</v>
      </c>
      <c r="J1419" s="51" t="s">
        <v>98</v>
      </c>
      <c r="K1419" s="51" t="str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/>
      </c>
      <c r="L1419" s="52"/>
      <c r="M1419" s="58"/>
      <c r="N1419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45.29</v>
      </c>
      <c r="O1419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Q1419" s="49" t="s">
        <v>2354</v>
      </c>
      <c r="S1419" s="59"/>
    </row>
    <row r="1420" spans="2:21" s="49" customFormat="1" ht="17.25" hidden="1" customHeight="1">
      <c r="B1420" s="56"/>
      <c r="C1420" s="57"/>
      <c r="D1420" s="48">
        <v>46189</v>
      </c>
      <c r="E1420" s="50" t="s">
        <v>2355</v>
      </c>
      <c r="F1420" s="48"/>
      <c r="G1420" s="48"/>
      <c r="H1420" s="49" t="s">
        <v>329</v>
      </c>
      <c r="I1420" s="51">
        <v>290.64</v>
      </c>
      <c r="J1420" s="51" t="s">
        <v>330</v>
      </c>
      <c r="K142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20" s="52"/>
      <c r="M1420" s="58"/>
      <c r="N1420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290.64</v>
      </c>
      <c r="O1420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46219</v>
      </c>
      <c r="Q1420" s="49" t="s">
        <v>2097</v>
      </c>
      <c r="R1420" s="48">
        <v>46219</v>
      </c>
      <c r="S1420" s="59" t="s">
        <v>27</v>
      </c>
    </row>
    <row r="1421" spans="2:21" s="49" customFormat="1" ht="17.25" hidden="1" customHeight="1">
      <c r="B1421" s="56"/>
      <c r="C1421" s="57"/>
      <c r="D1421" s="48">
        <v>46189</v>
      </c>
      <c r="E1421" s="50" t="s">
        <v>2356</v>
      </c>
      <c r="F1421" s="48"/>
      <c r="G1421" s="48"/>
      <c r="H1421" s="49" t="s">
        <v>329</v>
      </c>
      <c r="I1421" s="51">
        <v>3233.9</v>
      </c>
      <c r="J1421" s="51" t="s">
        <v>330</v>
      </c>
      <c r="K1421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21" s="52"/>
      <c r="M1421" s="58"/>
      <c r="N1421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3233.9</v>
      </c>
      <c r="O1421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46219</v>
      </c>
      <c r="Q1421" s="49" t="s">
        <v>217</v>
      </c>
      <c r="R1421" s="48">
        <v>46219</v>
      </c>
      <c r="S1421" s="59" t="s">
        <v>27</v>
      </c>
    </row>
    <row r="1422" spans="2:21" s="49" customFormat="1" ht="17.25" hidden="1" customHeight="1">
      <c r="B1422" s="56"/>
      <c r="C1422" s="57"/>
      <c r="D1422" s="48">
        <v>46203</v>
      </c>
      <c r="E1422" s="50" t="s">
        <v>2357</v>
      </c>
      <c r="F1422" s="48"/>
      <c r="G1422" s="48"/>
      <c r="H1422" s="49" t="s">
        <v>1046</v>
      </c>
      <c r="I1422" s="51">
        <v>660</v>
      </c>
      <c r="J1422" s="51" t="s">
        <v>43</v>
      </c>
      <c r="K142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22" s="52"/>
      <c r="M1422" s="58"/>
      <c r="N1422" s="135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660</v>
      </c>
      <c r="O1422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46203</v>
      </c>
      <c r="P1422" s="49" t="s">
        <v>25</v>
      </c>
      <c r="Q1422" s="49" t="s">
        <v>2318</v>
      </c>
      <c r="R1422" s="48">
        <v>46205</v>
      </c>
      <c r="S1422" s="59" t="s">
        <v>45</v>
      </c>
    </row>
    <row r="1423" spans="2:21" s="49" customFormat="1" ht="17.25" hidden="1" customHeight="1">
      <c r="B1423" s="56"/>
      <c r="C1423" s="57"/>
      <c r="D1423" s="48">
        <v>46189</v>
      </c>
      <c r="E1423" s="50" t="s">
        <v>2358</v>
      </c>
      <c r="F1423" s="48"/>
      <c r="G1423" s="48"/>
      <c r="H1423" s="49" t="s">
        <v>329</v>
      </c>
      <c r="I1423" s="51">
        <v>438.07</v>
      </c>
      <c r="J1423" s="51" t="s">
        <v>330</v>
      </c>
      <c r="K1423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23" s="52"/>
      <c r="M1423" s="58"/>
      <c r="N1423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438.07</v>
      </c>
      <c r="O1423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46219</v>
      </c>
      <c r="Q1423" s="49" t="s">
        <v>705</v>
      </c>
      <c r="R1423" s="48">
        <v>46219</v>
      </c>
      <c r="S1423" s="59" t="s">
        <v>27</v>
      </c>
    </row>
    <row r="1424" spans="2:21" s="49" customFormat="1" ht="17.25" hidden="1" customHeight="1">
      <c r="B1424" s="56"/>
      <c r="C1424" s="57"/>
      <c r="D1424" s="48">
        <v>46189</v>
      </c>
      <c r="E1424" s="50" t="s">
        <v>2359</v>
      </c>
      <c r="F1424" s="48"/>
      <c r="G1424" s="48"/>
      <c r="H1424" s="49" t="s">
        <v>329</v>
      </c>
      <c r="I1424" s="51">
        <v>752.63</v>
      </c>
      <c r="J1424" s="51" t="s">
        <v>330</v>
      </c>
      <c r="K1424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24" s="52"/>
      <c r="M1424" s="58"/>
      <c r="N1424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752.63</v>
      </c>
      <c r="O1424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46219</v>
      </c>
      <c r="Q1424" s="49" t="s">
        <v>36</v>
      </c>
      <c r="R1424" s="48">
        <v>46219</v>
      </c>
      <c r="S1424" s="59" t="s">
        <v>27</v>
      </c>
    </row>
    <row r="1425" spans="2:20" s="49" customFormat="1" ht="17.25" hidden="1" customHeight="1">
      <c r="B1425" s="56"/>
      <c r="C1425" s="57"/>
      <c r="D1425" s="48">
        <v>46203</v>
      </c>
      <c r="E1425" s="50" t="s">
        <v>2360</v>
      </c>
      <c r="F1425" s="48"/>
      <c r="G1425" s="48"/>
      <c r="H1425" s="49" t="s">
        <v>634</v>
      </c>
      <c r="I1425" s="51">
        <v>609.04</v>
      </c>
      <c r="J1425" s="51" t="s">
        <v>43</v>
      </c>
      <c r="K1425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25" s="52"/>
      <c r="M1425" s="58"/>
      <c r="N1425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609.04</v>
      </c>
      <c r="O1425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46203</v>
      </c>
      <c r="Q1425" s="49" t="s">
        <v>1341</v>
      </c>
      <c r="R1425" s="48">
        <v>46219</v>
      </c>
      <c r="S1425" s="59" t="s">
        <v>27</v>
      </c>
    </row>
    <row r="1426" spans="2:20" s="49" customFormat="1" ht="17.25" hidden="1" customHeight="1">
      <c r="B1426" s="56"/>
      <c r="C1426" s="57"/>
      <c r="D1426" s="48">
        <v>46206</v>
      </c>
      <c r="E1426" s="50">
        <v>26005752</v>
      </c>
      <c r="F1426" s="48"/>
      <c r="G1426" s="48"/>
      <c r="H1426" s="49" t="s">
        <v>2361</v>
      </c>
      <c r="I1426" s="51">
        <v>23187.38</v>
      </c>
      <c r="J1426" s="51" t="s">
        <v>55</v>
      </c>
      <c r="K1426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26" s="52"/>
      <c r="M1426" s="58"/>
      <c r="N1426" s="58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23187.38</v>
      </c>
      <c r="O1426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Q1426" s="49" t="s">
        <v>229</v>
      </c>
      <c r="R1426" s="48">
        <v>46261</v>
      </c>
      <c r="S1426" s="59" t="s">
        <v>45</v>
      </c>
    </row>
    <row r="1427" spans="2:20" s="49" customFormat="1" ht="17.25" hidden="1" customHeight="1">
      <c r="B1427" s="56"/>
      <c r="C1427" s="57"/>
      <c r="D1427" s="48">
        <v>46189</v>
      </c>
      <c r="E1427" s="50" t="s">
        <v>2362</v>
      </c>
      <c r="F1427" s="48"/>
      <c r="G1427" s="48"/>
      <c r="H1427" s="49" t="s">
        <v>329</v>
      </c>
      <c r="I1427" s="51">
        <v>627.65</v>
      </c>
      <c r="J1427" s="51" t="s">
        <v>330</v>
      </c>
      <c r="K1427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27" s="52"/>
      <c r="M1427" s="58"/>
      <c r="N1427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627.65</v>
      </c>
      <c r="O1427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46219</v>
      </c>
      <c r="Q1427" s="49" t="s">
        <v>2363</v>
      </c>
      <c r="R1427" s="48">
        <v>46219</v>
      </c>
      <c r="S1427" s="59" t="s">
        <v>27</v>
      </c>
    </row>
    <row r="1428" spans="2:20" s="49" customFormat="1" ht="17.25" hidden="1" customHeight="1">
      <c r="B1428" s="56"/>
      <c r="C1428" s="57"/>
      <c r="D1428" s="48">
        <v>46211</v>
      </c>
      <c r="E1428" s="50" t="s">
        <v>2364</v>
      </c>
      <c r="F1428" s="48"/>
      <c r="G1428" s="48"/>
      <c r="H1428" s="49" t="s">
        <v>86</v>
      </c>
      <c r="I1428" s="51">
        <v>-219.22</v>
      </c>
      <c r="J1428" s="51" t="s">
        <v>55</v>
      </c>
      <c r="K1428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28" s="52"/>
      <c r="M1428" s="58"/>
      <c r="N1428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-219.22</v>
      </c>
      <c r="O1428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Q1428" s="49" t="s">
        <v>87</v>
      </c>
      <c r="S1428" s="59"/>
    </row>
    <row r="1429" spans="2:20" s="49" customFormat="1" ht="17.25" hidden="1" customHeight="1">
      <c r="B1429" s="56"/>
      <c r="C1429" s="57"/>
      <c r="D1429" s="48">
        <v>46206</v>
      </c>
      <c r="E1429" s="50" t="s">
        <v>2365</v>
      </c>
      <c r="F1429" s="48"/>
      <c r="G1429" s="48"/>
      <c r="H1429" s="49" t="s">
        <v>569</v>
      </c>
      <c r="I1429" s="51">
        <v>118</v>
      </c>
      <c r="J1429" s="51" t="s">
        <v>43</v>
      </c>
      <c r="K1429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29" s="52"/>
      <c r="M1429" s="58"/>
      <c r="N1429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118</v>
      </c>
      <c r="O1429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46206</v>
      </c>
      <c r="Q1429" s="49" t="s">
        <v>2366</v>
      </c>
      <c r="R1429" s="48">
        <v>46219</v>
      </c>
      <c r="S1429" s="59" t="s">
        <v>27</v>
      </c>
    </row>
    <row r="1430" spans="2:20" s="49" customFormat="1" ht="17.25" hidden="1" customHeight="1">
      <c r="B1430" s="56"/>
      <c r="C1430" s="57"/>
      <c r="D1430" s="48">
        <v>46189</v>
      </c>
      <c r="E1430" s="50" t="s">
        <v>2367</v>
      </c>
      <c r="F1430" s="48"/>
      <c r="G1430" s="48"/>
      <c r="H1430" s="49" t="s">
        <v>329</v>
      </c>
      <c r="I1430" s="51">
        <v>1125.27</v>
      </c>
      <c r="J1430" s="51" t="s">
        <v>330</v>
      </c>
      <c r="K143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30" s="52"/>
      <c r="M1430" s="58"/>
      <c r="N1430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1125.27</v>
      </c>
      <c r="O1430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46219</v>
      </c>
      <c r="Q1430" s="49" t="s">
        <v>672</v>
      </c>
      <c r="R1430" s="48">
        <v>46219</v>
      </c>
      <c r="S1430" s="59" t="s">
        <v>27</v>
      </c>
      <c r="T1430" s="49" t="s">
        <v>2368</v>
      </c>
    </row>
    <row r="1431" spans="2:20" s="106" customFormat="1" ht="30.75" hidden="1">
      <c r="B1431" s="260"/>
      <c r="C1431" s="261"/>
      <c r="D1431" s="238">
        <v>46163</v>
      </c>
      <c r="E1431" s="106" t="s">
        <v>2034</v>
      </c>
      <c r="F1431" s="238"/>
      <c r="G1431" s="238"/>
      <c r="H1431" s="106" t="s">
        <v>329</v>
      </c>
      <c r="I1431" s="240">
        <v>606.27</v>
      </c>
      <c r="J1431" s="240" t="s">
        <v>330</v>
      </c>
      <c r="K1431" s="240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31" s="242"/>
      <c r="M1431" s="262"/>
      <c r="N1431" s="24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606.27</v>
      </c>
      <c r="O1431" s="24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46193</v>
      </c>
      <c r="P1431" s="106" t="s">
        <v>25</v>
      </c>
      <c r="Q1431" s="106" t="s">
        <v>522</v>
      </c>
      <c r="R1431" s="238">
        <v>46212</v>
      </c>
      <c r="S1431" s="243" t="s">
        <v>27</v>
      </c>
    </row>
    <row r="1432" spans="2:20" s="49" customFormat="1" hidden="1">
      <c r="B1432" s="56">
        <v>46184</v>
      </c>
      <c r="C1432" s="57" t="s">
        <v>2369</v>
      </c>
      <c r="D1432" s="48"/>
      <c r="E1432" s="50"/>
      <c r="F1432" s="48"/>
      <c r="G1432" s="48"/>
      <c r="H1432" s="49" t="s">
        <v>77</v>
      </c>
      <c r="I1432" s="51">
        <v>41225.870000000003</v>
      </c>
      <c r="J1432" s="51" t="s">
        <v>78</v>
      </c>
      <c r="K1432" s="62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20612.935000000001</v>
      </c>
      <c r="L1432" s="52">
        <v>46212</v>
      </c>
      <c r="M1432" s="49" t="s">
        <v>25</v>
      </c>
      <c r="N1432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20612.935000000001</v>
      </c>
      <c r="O1432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Q1432" s="49" t="s">
        <v>306</v>
      </c>
      <c r="R1432" s="48">
        <v>46212</v>
      </c>
      <c r="S1432" s="59" t="s">
        <v>45</v>
      </c>
    </row>
    <row r="1433" spans="2:20" s="49" customFormat="1" ht="30.75" hidden="1">
      <c r="B1433" s="56"/>
      <c r="C1433" s="57"/>
      <c r="D1433" s="48">
        <v>46206</v>
      </c>
      <c r="E1433" s="50" t="s">
        <v>170</v>
      </c>
      <c r="F1433" s="48"/>
      <c r="G1433" s="48"/>
      <c r="H1433" s="49" t="s">
        <v>171</v>
      </c>
      <c r="I1433" s="51">
        <v>111</v>
      </c>
      <c r="J1433" s="51" t="s">
        <v>55</v>
      </c>
      <c r="K1433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33" s="52"/>
      <c r="M1433" s="58"/>
      <c r="N1433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111</v>
      </c>
      <c r="O1433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433" s="49" t="s">
        <v>25</v>
      </c>
      <c r="Q1433" s="49" t="s">
        <v>2370</v>
      </c>
      <c r="R1433" s="48">
        <v>46212</v>
      </c>
      <c r="S1433" s="59" t="s">
        <v>27</v>
      </c>
    </row>
    <row r="1434" spans="2:20" s="49" customFormat="1" hidden="1">
      <c r="B1434" s="56"/>
      <c r="C1434" s="57"/>
      <c r="D1434" s="48">
        <v>46211</v>
      </c>
      <c r="E1434" s="50" t="s">
        <v>2371</v>
      </c>
      <c r="F1434" s="48"/>
      <c r="G1434" s="48"/>
      <c r="H1434" s="49" t="s">
        <v>86</v>
      </c>
      <c r="I1434" s="51">
        <v>1087.1600000000001</v>
      </c>
      <c r="J1434" s="51" t="s">
        <v>55</v>
      </c>
      <c r="K1434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34" s="52"/>
      <c r="M1434" s="58"/>
      <c r="N1434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1087.1600000000001</v>
      </c>
      <c r="O1434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434" s="49" t="s">
        <v>25</v>
      </c>
      <c r="Q1434" s="49" t="s">
        <v>1967</v>
      </c>
      <c r="S1434" s="59"/>
    </row>
    <row r="1435" spans="2:20" s="49" customFormat="1" ht="21.75" hidden="1" customHeight="1">
      <c r="B1435" s="56"/>
      <c r="C1435" s="57"/>
      <c r="D1435" s="48">
        <v>46211</v>
      </c>
      <c r="E1435" s="50" t="s">
        <v>2372</v>
      </c>
      <c r="F1435" s="48"/>
      <c r="G1435" s="48"/>
      <c r="H1435" s="49" t="s">
        <v>569</v>
      </c>
      <c r="I1435" s="51">
        <v>135</v>
      </c>
      <c r="J1435" s="51" t="s">
        <v>43</v>
      </c>
      <c r="K1435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35" s="52"/>
      <c r="M1435" s="58"/>
      <c r="N1435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135</v>
      </c>
      <c r="O1435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46211</v>
      </c>
      <c r="Q1435" s="49" t="s">
        <v>2373</v>
      </c>
      <c r="R1435" s="48">
        <v>46219</v>
      </c>
      <c r="S1435" s="59" t="s">
        <v>27</v>
      </c>
    </row>
    <row r="1436" spans="2:20" s="49" customFormat="1" ht="21.75" hidden="1" customHeight="1">
      <c r="B1436" s="56"/>
      <c r="C1436" s="57"/>
      <c r="D1436" s="48">
        <v>46211</v>
      </c>
      <c r="E1436" s="50" t="s">
        <v>2374</v>
      </c>
      <c r="F1436" s="48"/>
      <c r="G1436" s="48"/>
      <c r="H1436" s="49" t="s">
        <v>86</v>
      </c>
      <c r="I1436" s="51">
        <v>13</v>
      </c>
      <c r="J1436" s="51" t="s">
        <v>55</v>
      </c>
      <c r="K1436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36" s="52"/>
      <c r="M1436" s="58"/>
      <c r="N1436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13</v>
      </c>
      <c r="O1436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436" s="49" t="s">
        <v>25</v>
      </c>
      <c r="Q1436" s="49" t="s">
        <v>2375</v>
      </c>
      <c r="S1436" s="59"/>
    </row>
    <row r="1437" spans="2:20" s="49" customFormat="1" ht="21.75" hidden="1" customHeight="1">
      <c r="B1437" s="56">
        <v>46211</v>
      </c>
      <c r="C1437" s="57" t="s">
        <v>2376</v>
      </c>
      <c r="D1437" s="48"/>
      <c r="E1437" s="50"/>
      <c r="F1437" s="48"/>
      <c r="G1437" s="48"/>
      <c r="H1437" s="49" t="s">
        <v>301</v>
      </c>
      <c r="I1437" s="51">
        <v>67.64</v>
      </c>
      <c r="J1437" s="51" t="s">
        <v>55</v>
      </c>
      <c r="K1437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37" s="52"/>
      <c r="M1437" s="58"/>
      <c r="N1437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67.64</v>
      </c>
      <c r="O1437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Q1437" s="49" t="s">
        <v>2377</v>
      </c>
      <c r="S1437" s="59" t="s">
        <v>45</v>
      </c>
    </row>
    <row r="1438" spans="2:20" s="49" customFormat="1" ht="21.75" hidden="1" customHeight="1">
      <c r="B1438" s="56">
        <v>46211</v>
      </c>
      <c r="C1438" s="57" t="s">
        <v>2378</v>
      </c>
      <c r="D1438" s="48"/>
      <c r="E1438" s="50"/>
      <c r="F1438" s="48"/>
      <c r="G1438" s="48"/>
      <c r="H1438" s="49" t="s">
        <v>301</v>
      </c>
      <c r="I1438" s="51">
        <v>69.13</v>
      </c>
      <c r="J1438" s="51" t="s">
        <v>55</v>
      </c>
      <c r="K1438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38" s="52"/>
      <c r="M1438" s="58"/>
      <c r="N1438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69.13</v>
      </c>
      <c r="O1438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Q1438" s="49" t="s">
        <v>2379</v>
      </c>
      <c r="S1438" s="59" t="s">
        <v>45</v>
      </c>
    </row>
    <row r="1439" spans="2:20" s="49" customFormat="1" ht="21.75" hidden="1" customHeight="1">
      <c r="B1439" s="56">
        <v>46211</v>
      </c>
      <c r="C1439" s="57" t="s">
        <v>2380</v>
      </c>
      <c r="D1439" s="48"/>
      <c r="E1439" s="50"/>
      <c r="F1439" s="48"/>
      <c r="G1439" s="48"/>
      <c r="H1439" s="49" t="s">
        <v>301</v>
      </c>
      <c r="I1439" s="51">
        <v>51.99</v>
      </c>
      <c r="J1439" s="51" t="s">
        <v>55</v>
      </c>
      <c r="K1439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39" s="52"/>
      <c r="M1439" s="58"/>
      <c r="N1439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51.99</v>
      </c>
      <c r="O1439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Q1439" s="49" t="s">
        <v>2381</v>
      </c>
      <c r="S1439" s="59" t="s">
        <v>45</v>
      </c>
    </row>
    <row r="1440" spans="2:20" s="49" customFormat="1" ht="21.75" hidden="1" customHeight="1">
      <c r="B1440" s="56">
        <v>46211</v>
      </c>
      <c r="C1440" s="57" t="s">
        <v>2382</v>
      </c>
      <c r="D1440" s="48"/>
      <c r="E1440" s="50"/>
      <c r="F1440" s="48"/>
      <c r="G1440" s="48"/>
      <c r="H1440" s="49" t="s">
        <v>301</v>
      </c>
      <c r="I1440" s="51">
        <v>63.17</v>
      </c>
      <c r="J1440" s="51" t="s">
        <v>55</v>
      </c>
      <c r="K144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40" s="52"/>
      <c r="M1440" s="58"/>
      <c r="N1440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63.17</v>
      </c>
      <c r="O1440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Q1440" s="49" t="s">
        <v>2383</v>
      </c>
      <c r="S1440" s="59" t="s">
        <v>45</v>
      </c>
    </row>
    <row r="1441" spans="2:21" s="49" customFormat="1" ht="21.75" hidden="1" customHeight="1">
      <c r="B1441" s="56">
        <v>46211</v>
      </c>
      <c r="C1441" s="57" t="s">
        <v>2384</v>
      </c>
      <c r="D1441" s="48"/>
      <c r="E1441" s="50"/>
      <c r="F1441" s="48"/>
      <c r="G1441" s="48"/>
      <c r="H1441" s="49" t="s">
        <v>301</v>
      </c>
      <c r="I1441" s="51">
        <v>81.05</v>
      </c>
      <c r="J1441" s="51" t="s">
        <v>55</v>
      </c>
      <c r="K1441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41" s="52"/>
      <c r="M1441" s="58"/>
      <c r="N1441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81.05</v>
      </c>
      <c r="O1441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Q1441" s="49" t="s">
        <v>2385</v>
      </c>
      <c r="S1441" s="59" t="s">
        <v>45</v>
      </c>
    </row>
    <row r="1442" spans="2:21" s="49" customFormat="1" ht="21.75" hidden="1" customHeight="1">
      <c r="B1442" s="56">
        <v>46211</v>
      </c>
      <c r="C1442" s="57" t="s">
        <v>2386</v>
      </c>
      <c r="D1442" s="48"/>
      <c r="E1442" s="50"/>
      <c r="F1442" s="48"/>
      <c r="G1442" s="48"/>
      <c r="H1442" s="49" t="s">
        <v>301</v>
      </c>
      <c r="I1442" s="51">
        <v>84.03</v>
      </c>
      <c r="J1442" s="51" t="s">
        <v>55</v>
      </c>
      <c r="K144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42" s="52"/>
      <c r="M1442" s="58"/>
      <c r="N1442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84.03</v>
      </c>
      <c r="O1442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Q1442" s="49" t="s">
        <v>2387</v>
      </c>
      <c r="S1442" s="59" t="s">
        <v>45</v>
      </c>
    </row>
    <row r="1443" spans="2:21" s="49" customFormat="1" ht="21.75" hidden="1" customHeight="1">
      <c r="B1443" s="56">
        <v>46211</v>
      </c>
      <c r="C1443" s="57" t="s">
        <v>2388</v>
      </c>
      <c r="D1443" s="48"/>
      <c r="E1443" s="50"/>
      <c r="F1443" s="48"/>
      <c r="G1443" s="48"/>
      <c r="H1443" s="49" t="s">
        <v>301</v>
      </c>
      <c r="I1443" s="51">
        <v>51.99</v>
      </c>
      <c r="J1443" s="51" t="s">
        <v>55</v>
      </c>
      <c r="K1443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43" s="52"/>
      <c r="M1443" s="58"/>
      <c r="N1443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51.99</v>
      </c>
      <c r="O1443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Q1443" s="49" t="s">
        <v>2389</v>
      </c>
      <c r="S1443" s="59" t="s">
        <v>45</v>
      </c>
    </row>
    <row r="1444" spans="2:21" s="49" customFormat="1" ht="21.75" hidden="1" customHeight="1">
      <c r="B1444" s="56"/>
      <c r="C1444" s="57"/>
      <c r="D1444" s="48">
        <v>46210</v>
      </c>
      <c r="E1444" s="50" t="s">
        <v>2390</v>
      </c>
      <c r="F1444" s="48"/>
      <c r="G1444" s="48"/>
      <c r="H1444" s="49" t="s">
        <v>849</v>
      </c>
      <c r="I1444" s="51">
        <v>17400</v>
      </c>
      <c r="J1444" s="51" t="s">
        <v>43</v>
      </c>
      <c r="K1444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44" s="52"/>
      <c r="M1444" s="58"/>
      <c r="N1444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17400</v>
      </c>
      <c r="O1444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46210</v>
      </c>
      <c r="P1444" s="49" t="s">
        <v>25</v>
      </c>
      <c r="Q1444" s="49" t="s">
        <v>2391</v>
      </c>
      <c r="S1444" s="59"/>
    </row>
    <row r="1445" spans="2:21" s="49" customFormat="1" ht="21.75" hidden="1" customHeight="1">
      <c r="B1445" s="56"/>
      <c r="C1445" s="57"/>
      <c r="D1445" s="48">
        <v>46172</v>
      </c>
      <c r="E1445" s="50" t="s">
        <v>2392</v>
      </c>
      <c r="F1445" s="48"/>
      <c r="G1445" s="48"/>
      <c r="H1445" s="49" t="s">
        <v>2393</v>
      </c>
      <c r="I1445" s="51">
        <v>82.86</v>
      </c>
      <c r="J1445" s="51" t="s">
        <v>43</v>
      </c>
      <c r="K1445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45" s="52"/>
      <c r="M1445" s="58"/>
      <c r="N1445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82.86</v>
      </c>
      <c r="O1445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46172</v>
      </c>
      <c r="Q1445" s="49" t="s">
        <v>2394</v>
      </c>
      <c r="S1445" s="59"/>
    </row>
    <row r="1446" spans="2:21" s="49" customFormat="1" ht="21.75" hidden="1" customHeight="1">
      <c r="B1446" s="56"/>
      <c r="C1446" s="57"/>
      <c r="D1446" s="48">
        <v>46204</v>
      </c>
      <c r="E1446" s="50" t="s">
        <v>2395</v>
      </c>
      <c r="F1446" s="48"/>
      <c r="G1446" s="48"/>
      <c r="H1446" s="49" t="s">
        <v>97</v>
      </c>
      <c r="I1446" s="51">
        <v>201.72</v>
      </c>
      <c r="J1446" s="51" t="s">
        <v>98</v>
      </c>
      <c r="K1446" s="51" t="str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/>
      </c>
      <c r="L1446" s="52"/>
      <c r="M1446" s="58"/>
      <c r="N1446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201.72</v>
      </c>
      <c r="O1446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S1446" s="59"/>
    </row>
    <row r="1447" spans="2:21" s="49" customFormat="1" ht="21.75" hidden="1" customHeight="1">
      <c r="B1447" s="56"/>
      <c r="C1447" s="57"/>
      <c r="D1447" s="48">
        <v>46172</v>
      </c>
      <c r="E1447" s="50" t="s">
        <v>2396</v>
      </c>
      <c r="F1447" s="48"/>
      <c r="G1447" s="48"/>
      <c r="H1447" s="49" t="s">
        <v>92</v>
      </c>
      <c r="I1447" s="51">
        <v>1198.5</v>
      </c>
      <c r="J1447" s="51" t="s">
        <v>43</v>
      </c>
      <c r="K1447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47" s="52"/>
      <c r="M1447" s="58"/>
      <c r="N1447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1198.5</v>
      </c>
      <c r="O1447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46172</v>
      </c>
      <c r="Q1447" s="49" t="s">
        <v>582</v>
      </c>
      <c r="S1447" s="59" t="s">
        <v>94</v>
      </c>
    </row>
    <row r="1448" spans="2:21" s="49" customFormat="1" ht="21.75" hidden="1" customHeight="1">
      <c r="B1448" s="56"/>
      <c r="C1448" s="57"/>
      <c r="D1448" s="48">
        <v>46172</v>
      </c>
      <c r="E1448" s="50" t="s">
        <v>2397</v>
      </c>
      <c r="F1448" s="48"/>
      <c r="G1448" s="48"/>
      <c r="H1448" s="49" t="s">
        <v>92</v>
      </c>
      <c r="I1448" s="51">
        <v>61.5</v>
      </c>
      <c r="J1448" s="51" t="s">
        <v>43</v>
      </c>
      <c r="K1448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48" s="52"/>
      <c r="M1448" s="58"/>
      <c r="N1448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61.5</v>
      </c>
      <c r="O1448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46172</v>
      </c>
      <c r="Q1448" s="49" t="s">
        <v>582</v>
      </c>
      <c r="S1448" s="59" t="s">
        <v>94</v>
      </c>
    </row>
    <row r="1449" spans="2:21" s="49" customFormat="1" ht="21.75" hidden="1" customHeight="1">
      <c r="B1449" s="56"/>
      <c r="C1449" s="57"/>
      <c r="D1449" s="48">
        <v>46203</v>
      </c>
      <c r="E1449" s="50" t="s">
        <v>2398</v>
      </c>
      <c r="F1449" s="48"/>
      <c r="G1449" s="48"/>
      <c r="H1449" s="49" t="s">
        <v>92</v>
      </c>
      <c r="I1449" s="51">
        <v>1.3</v>
      </c>
      <c r="J1449" s="51" t="s">
        <v>43</v>
      </c>
      <c r="K1449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49" s="52"/>
      <c r="M1449" s="58"/>
      <c r="N1449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1.3</v>
      </c>
      <c r="O1449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46203</v>
      </c>
      <c r="Q1449" s="49" t="s">
        <v>2399</v>
      </c>
      <c r="S1449" s="59" t="s">
        <v>94</v>
      </c>
    </row>
    <row r="1450" spans="2:21" s="49" customFormat="1" ht="21.75" hidden="1" customHeight="1">
      <c r="B1450" s="56"/>
      <c r="C1450" s="57"/>
      <c r="D1450" s="48">
        <v>46206</v>
      </c>
      <c r="E1450" s="50" t="s">
        <v>2400</v>
      </c>
      <c r="F1450" s="48"/>
      <c r="G1450" s="48"/>
      <c r="H1450" s="49" t="s">
        <v>92</v>
      </c>
      <c r="I1450" s="51">
        <v>31.5</v>
      </c>
      <c r="J1450" s="51" t="s">
        <v>43</v>
      </c>
      <c r="K145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50" s="52"/>
      <c r="M1450" s="58"/>
      <c r="N1450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31.5</v>
      </c>
      <c r="O1450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46206</v>
      </c>
      <c r="Q1450" s="49" t="s">
        <v>582</v>
      </c>
      <c r="S1450" s="59" t="s">
        <v>94</v>
      </c>
    </row>
    <row r="1451" spans="2:21" s="49" customFormat="1" ht="21.75" hidden="1" customHeight="1">
      <c r="B1451" s="56"/>
      <c r="C1451" s="57"/>
      <c r="D1451" s="48">
        <v>46212</v>
      </c>
      <c r="E1451" s="50" t="s">
        <v>2401</v>
      </c>
      <c r="F1451" s="48"/>
      <c r="G1451" s="48"/>
      <c r="H1451" s="49" t="s">
        <v>2320</v>
      </c>
      <c r="I1451" s="51">
        <v>35.450000000000003</v>
      </c>
      <c r="J1451" s="51" t="s">
        <v>43</v>
      </c>
      <c r="K1451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51" s="52"/>
      <c r="M1451" s="58"/>
      <c r="N1451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35.450000000000003</v>
      </c>
      <c r="O1451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46212</v>
      </c>
      <c r="Q1451" s="59" t="s">
        <v>2402</v>
      </c>
      <c r="R1451" s="48">
        <v>46219</v>
      </c>
      <c r="S1451" s="59" t="s">
        <v>27</v>
      </c>
    </row>
    <row r="1452" spans="2:21" s="49" customFormat="1" ht="21.75" hidden="1" customHeight="1">
      <c r="B1452" s="56"/>
      <c r="C1452" s="57"/>
      <c r="D1452" s="48">
        <v>46205</v>
      </c>
      <c r="E1452" s="50">
        <v>7117219529</v>
      </c>
      <c r="F1452" s="48"/>
      <c r="G1452" s="48"/>
      <c r="H1452" s="49" t="s">
        <v>1460</v>
      </c>
      <c r="I1452" s="51">
        <v>85.9</v>
      </c>
      <c r="J1452" s="51" t="s">
        <v>43</v>
      </c>
      <c r="K145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52" s="52"/>
      <c r="M1452" s="58"/>
      <c r="N1452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85.9</v>
      </c>
      <c r="O1452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46205</v>
      </c>
      <c r="P1452" s="49" t="s">
        <v>25</v>
      </c>
      <c r="Q1452" s="49" t="s">
        <v>2403</v>
      </c>
      <c r="R1452" s="48">
        <v>46191</v>
      </c>
      <c r="S1452" s="59" t="s">
        <v>27</v>
      </c>
    </row>
    <row r="1453" spans="2:21" s="49" customFormat="1" ht="21.75" hidden="1" customHeight="1">
      <c r="B1453" s="56"/>
      <c r="C1453" s="57"/>
      <c r="D1453" s="48">
        <v>46203</v>
      </c>
      <c r="E1453" s="50" t="s">
        <v>2404</v>
      </c>
      <c r="F1453" s="48"/>
      <c r="G1453" s="48"/>
      <c r="H1453" s="49" t="s">
        <v>2006</v>
      </c>
      <c r="I1453" s="51">
        <v>19.27</v>
      </c>
      <c r="J1453" s="51" t="s">
        <v>55</v>
      </c>
      <c r="K1453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53" s="52"/>
      <c r="M1453" s="58"/>
      <c r="N1453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19.27</v>
      </c>
      <c r="O1453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Q1453" s="59" t="s">
        <v>2405</v>
      </c>
      <c r="R1453" s="48">
        <v>46219</v>
      </c>
      <c r="S1453" s="59"/>
      <c r="T1453" s="49" t="s">
        <v>2406</v>
      </c>
      <c r="U1453" s="259"/>
    </row>
    <row r="1454" spans="2:21" s="49" customFormat="1" ht="21.75" hidden="1" customHeight="1">
      <c r="B1454" s="56"/>
      <c r="C1454" s="57"/>
      <c r="D1454" s="48">
        <v>46212</v>
      </c>
      <c r="E1454" s="50" t="s">
        <v>2407</v>
      </c>
      <c r="F1454" s="48"/>
      <c r="G1454" s="48"/>
      <c r="H1454" s="49" t="s">
        <v>329</v>
      </c>
      <c r="I1454" s="51">
        <v>319.89</v>
      </c>
      <c r="J1454" s="51" t="s">
        <v>330</v>
      </c>
      <c r="K1454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54" s="52"/>
      <c r="M1454" s="58"/>
      <c r="N1454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319.89</v>
      </c>
      <c r="O1454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46242</v>
      </c>
      <c r="Q1454" s="49" t="s">
        <v>39</v>
      </c>
      <c r="R1454" s="48">
        <v>46240</v>
      </c>
      <c r="S1454" s="59" t="s">
        <v>27</v>
      </c>
    </row>
    <row r="1455" spans="2:21" s="49" customFormat="1" ht="21.75" hidden="1" customHeight="1">
      <c r="B1455" s="56"/>
      <c r="C1455" s="57"/>
      <c r="D1455" s="48">
        <v>46212</v>
      </c>
      <c r="E1455" s="50" t="s">
        <v>2408</v>
      </c>
      <c r="F1455" s="48"/>
      <c r="G1455" s="48"/>
      <c r="H1455" s="49" t="s">
        <v>329</v>
      </c>
      <c r="I1455" s="51">
        <v>382.3</v>
      </c>
      <c r="J1455" s="51" t="s">
        <v>330</v>
      </c>
      <c r="K1455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55" s="52"/>
      <c r="M1455" s="58"/>
      <c r="N1455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382.3</v>
      </c>
      <c r="O1455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46242</v>
      </c>
      <c r="Q1455" s="49" t="s">
        <v>115</v>
      </c>
      <c r="R1455" s="48">
        <v>46240</v>
      </c>
      <c r="S1455" s="59" t="s">
        <v>27</v>
      </c>
    </row>
    <row r="1456" spans="2:21" s="49" customFormat="1" ht="21.75" hidden="1" customHeight="1">
      <c r="B1456" s="56"/>
      <c r="C1456" s="57"/>
      <c r="D1456" s="48">
        <v>46212</v>
      </c>
      <c r="E1456" s="50" t="s">
        <v>2409</v>
      </c>
      <c r="F1456" s="48"/>
      <c r="G1456" s="48"/>
      <c r="H1456" s="49" t="s">
        <v>329</v>
      </c>
      <c r="I1456" s="51">
        <v>1268.3399999999999</v>
      </c>
      <c r="J1456" s="51" t="s">
        <v>330</v>
      </c>
      <c r="K1456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56" s="52"/>
      <c r="M1456" s="58"/>
      <c r="N1456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1268.3399999999999</v>
      </c>
      <c r="O1456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46242</v>
      </c>
      <c r="Q1456" s="49" t="s">
        <v>222</v>
      </c>
      <c r="R1456" s="48">
        <v>46240</v>
      </c>
      <c r="S1456" s="59" t="s">
        <v>27</v>
      </c>
    </row>
    <row r="1457" spans="2:19" s="49" customFormat="1" ht="21.75" hidden="1" customHeight="1">
      <c r="B1457" s="56"/>
      <c r="C1457" s="57"/>
      <c r="D1457" s="48">
        <v>46129</v>
      </c>
      <c r="E1457" s="50" t="s">
        <v>2410</v>
      </c>
      <c r="F1457" s="48"/>
      <c r="G1457" s="48"/>
      <c r="H1457" s="49" t="s">
        <v>92</v>
      </c>
      <c r="I1457" s="51">
        <v>615</v>
      </c>
      <c r="J1457" s="51" t="s">
        <v>43</v>
      </c>
      <c r="K1457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57" s="52"/>
      <c r="M1457" s="58"/>
      <c r="N1457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615</v>
      </c>
      <c r="O1457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46129</v>
      </c>
      <c r="Q1457" s="49" t="s">
        <v>840</v>
      </c>
      <c r="S1457" s="59" t="s">
        <v>94</v>
      </c>
    </row>
    <row r="1458" spans="2:19" s="49" customFormat="1" ht="21.75" hidden="1" customHeight="1">
      <c r="B1458" s="56">
        <v>46211</v>
      </c>
      <c r="C1458" s="57" t="s">
        <v>2411</v>
      </c>
      <c r="D1458" s="48"/>
      <c r="E1458" s="50"/>
      <c r="F1458" s="48"/>
      <c r="G1458" s="48"/>
      <c r="H1458" s="49" t="s">
        <v>92</v>
      </c>
      <c r="I1458" s="51">
        <v>615</v>
      </c>
      <c r="J1458" s="51" t="s">
        <v>43</v>
      </c>
      <c r="K1458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58" s="52"/>
      <c r="M1458" s="58"/>
      <c r="N1458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615</v>
      </c>
      <c r="O1458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Q1458" s="49" t="s">
        <v>2412</v>
      </c>
      <c r="R1458" s="48">
        <v>46219</v>
      </c>
      <c r="S1458" s="59" t="s">
        <v>94</v>
      </c>
    </row>
    <row r="1459" spans="2:19" s="49" customFormat="1" ht="21.75" hidden="1" customHeight="1">
      <c r="B1459" s="56">
        <v>46211</v>
      </c>
      <c r="C1459" s="57" t="s">
        <v>2413</v>
      </c>
      <c r="D1459" s="48"/>
      <c r="E1459" s="50"/>
      <c r="F1459" s="48"/>
      <c r="G1459" s="48"/>
      <c r="H1459" s="49" t="s">
        <v>92</v>
      </c>
      <c r="I1459" s="51">
        <v>369</v>
      </c>
      <c r="J1459" s="51" t="s">
        <v>43</v>
      </c>
      <c r="K1459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59" s="52"/>
      <c r="M1459" s="58"/>
      <c r="N1459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369</v>
      </c>
      <c r="O1459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Q1459" s="49" t="s">
        <v>2414</v>
      </c>
      <c r="R1459" s="48">
        <v>46219</v>
      </c>
      <c r="S1459" s="59" t="s">
        <v>94</v>
      </c>
    </row>
    <row r="1460" spans="2:19" s="49" customFormat="1" ht="21.75" hidden="1" customHeight="1">
      <c r="B1460" s="56">
        <v>46213</v>
      </c>
      <c r="C1460" s="57" t="s">
        <v>2415</v>
      </c>
      <c r="D1460" s="48"/>
      <c r="E1460" s="50"/>
      <c r="F1460" s="48"/>
      <c r="G1460" s="48"/>
      <c r="H1460" s="49" t="s">
        <v>69</v>
      </c>
      <c r="I1460" s="51">
        <v>1020</v>
      </c>
      <c r="J1460" s="51" t="s">
        <v>55</v>
      </c>
      <c r="K146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60" s="52"/>
      <c r="M1460" s="58"/>
      <c r="N1460" s="62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1020</v>
      </c>
      <c r="O1460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460" s="49" t="s">
        <v>2416</v>
      </c>
      <c r="R1460" s="48">
        <v>46219</v>
      </c>
      <c r="S1460" s="59" t="s">
        <v>45</v>
      </c>
    </row>
    <row r="1461" spans="2:19" s="49" customFormat="1" ht="21.75" hidden="1" customHeight="1">
      <c r="B1461" s="56"/>
      <c r="C1461" s="57"/>
      <c r="D1461" s="48">
        <v>46216</v>
      </c>
      <c r="E1461" s="50" t="s">
        <v>2417</v>
      </c>
      <c r="F1461" s="48"/>
      <c r="G1461" s="48"/>
      <c r="H1461" s="49" t="s">
        <v>108</v>
      </c>
      <c r="I1461" s="51">
        <v>664.5</v>
      </c>
      <c r="J1461" s="51" t="s">
        <v>30</v>
      </c>
      <c r="K1461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61" s="52"/>
      <c r="M1461" s="58"/>
      <c r="N1461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664.5</v>
      </c>
      <c r="O1461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46276</v>
      </c>
      <c r="Q1461" s="49" t="s">
        <v>34</v>
      </c>
      <c r="R1461" s="48">
        <v>46275</v>
      </c>
      <c r="S1461" s="59" t="s">
        <v>27</v>
      </c>
    </row>
    <row r="1462" spans="2:19" s="49" customFormat="1" ht="21.75" hidden="1" customHeight="1">
      <c r="B1462" s="56"/>
      <c r="C1462" s="57"/>
      <c r="D1462" s="48">
        <v>46216</v>
      </c>
      <c r="E1462" s="50" t="s">
        <v>2418</v>
      </c>
      <c r="F1462" s="48"/>
      <c r="G1462" s="48"/>
      <c r="H1462" s="49" t="s">
        <v>108</v>
      </c>
      <c r="I1462" s="51">
        <v>5597.58</v>
      </c>
      <c r="J1462" s="51" t="s">
        <v>30</v>
      </c>
      <c r="K146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62" s="52"/>
      <c r="M1462" s="58"/>
      <c r="N1462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5597.58</v>
      </c>
      <c r="O1462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46276</v>
      </c>
      <c r="Q1462" s="49" t="s">
        <v>306</v>
      </c>
      <c r="R1462" s="48">
        <v>46275</v>
      </c>
      <c r="S1462" s="59" t="s">
        <v>27</v>
      </c>
    </row>
    <row r="1463" spans="2:19" s="49" customFormat="1" ht="21.75" hidden="1" customHeight="1">
      <c r="B1463" s="56"/>
      <c r="C1463" s="57"/>
      <c r="D1463" s="48">
        <v>46216</v>
      </c>
      <c r="E1463" s="50" t="s">
        <v>2419</v>
      </c>
      <c r="F1463" s="48"/>
      <c r="G1463" s="48"/>
      <c r="H1463" s="49" t="s">
        <v>1046</v>
      </c>
      <c r="I1463" s="51">
        <v>660</v>
      </c>
      <c r="J1463" s="51" t="s">
        <v>43</v>
      </c>
      <c r="K1463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63" s="52"/>
      <c r="M1463" s="58"/>
      <c r="N1463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660</v>
      </c>
      <c r="O1463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46216</v>
      </c>
      <c r="Q1463" s="49" t="s">
        <v>2420</v>
      </c>
      <c r="R1463" s="48">
        <v>46219</v>
      </c>
      <c r="S1463" s="59" t="s">
        <v>45</v>
      </c>
    </row>
    <row r="1464" spans="2:19" s="49" customFormat="1" ht="21.75" hidden="1" customHeight="1">
      <c r="B1464" s="56"/>
      <c r="C1464" s="57"/>
      <c r="D1464" s="48">
        <v>46216</v>
      </c>
      <c r="E1464" s="50" t="s">
        <v>2421</v>
      </c>
      <c r="F1464" s="48"/>
      <c r="G1464" s="48"/>
      <c r="H1464" s="49" t="s">
        <v>1046</v>
      </c>
      <c r="I1464" s="51">
        <v>120</v>
      </c>
      <c r="J1464" s="51" t="s">
        <v>43</v>
      </c>
      <c r="K1464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64" s="52"/>
      <c r="M1464" s="58"/>
      <c r="N1464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1464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46216</v>
      </c>
      <c r="Q1464" s="49" t="s">
        <v>190</v>
      </c>
      <c r="R1464" s="48">
        <v>46219</v>
      </c>
      <c r="S1464" s="59" t="s">
        <v>45</v>
      </c>
    </row>
    <row r="1465" spans="2:19" s="49" customFormat="1" ht="21.75" hidden="1" customHeight="1">
      <c r="B1465" s="56"/>
      <c r="C1465" s="57"/>
      <c r="D1465" s="48">
        <v>46216</v>
      </c>
      <c r="E1465" s="50" t="s">
        <v>2422</v>
      </c>
      <c r="F1465" s="48"/>
      <c r="G1465" s="48"/>
      <c r="H1465" s="49" t="s">
        <v>1046</v>
      </c>
      <c r="I1465" s="51">
        <v>120</v>
      </c>
      <c r="J1465" s="51" t="s">
        <v>43</v>
      </c>
      <c r="K1465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65" s="52"/>
      <c r="M1465" s="58"/>
      <c r="N1465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120</v>
      </c>
      <c r="O1465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46216</v>
      </c>
      <c r="Q1465" s="49" t="s">
        <v>2420</v>
      </c>
      <c r="R1465" s="48">
        <v>46219</v>
      </c>
      <c r="S1465" s="59" t="s">
        <v>45</v>
      </c>
    </row>
    <row r="1466" spans="2:19" s="49" customFormat="1" ht="21.75" hidden="1" customHeight="1">
      <c r="B1466" s="56"/>
      <c r="C1466" s="57"/>
      <c r="D1466" s="48">
        <v>46202</v>
      </c>
      <c r="E1466" s="50" t="s">
        <v>2423</v>
      </c>
      <c r="F1466" s="48"/>
      <c r="G1466" s="48"/>
      <c r="H1466" s="49" t="s">
        <v>1919</v>
      </c>
      <c r="I1466" s="51">
        <v>7700</v>
      </c>
      <c r="J1466" s="51" t="s">
        <v>43</v>
      </c>
      <c r="K1466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66" s="52"/>
      <c r="M1466" s="58"/>
      <c r="N1466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7700</v>
      </c>
      <c r="O1466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46202</v>
      </c>
      <c r="Q1466" s="49" t="s">
        <v>2330</v>
      </c>
      <c r="R1466" s="48">
        <v>46219</v>
      </c>
      <c r="S1466" s="59"/>
    </row>
    <row r="1467" spans="2:19" s="49" customFormat="1" ht="21.75" customHeight="1">
      <c r="B1467" s="56">
        <v>46169</v>
      </c>
      <c r="C1467" s="57" t="s">
        <v>2424</v>
      </c>
      <c r="D1467" s="48"/>
      <c r="E1467" s="50"/>
      <c r="F1467" s="48"/>
      <c r="G1467" s="48"/>
      <c r="H1467" s="49" t="s">
        <v>196</v>
      </c>
      <c r="I1467" s="51">
        <v>88144</v>
      </c>
      <c r="J1467" s="51" t="s">
        <v>78</v>
      </c>
      <c r="K1467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44072</v>
      </c>
      <c r="L1467" s="52"/>
      <c r="M1467" s="58"/>
      <c r="N1467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44072</v>
      </c>
      <c r="O1467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Q1467" s="49" t="s">
        <v>322</v>
      </c>
      <c r="R1467" s="48">
        <v>46219</v>
      </c>
      <c r="S1467" s="59" t="s">
        <v>45</v>
      </c>
    </row>
    <row r="1468" spans="2:19" s="49" customFormat="1" ht="21.75" hidden="1" customHeight="1">
      <c r="B1468" s="56"/>
      <c r="C1468" s="57"/>
      <c r="D1468" s="48">
        <v>46209</v>
      </c>
      <c r="E1468" s="50" t="s">
        <v>2425</v>
      </c>
      <c r="F1468" s="48"/>
      <c r="G1468" s="48"/>
      <c r="H1468" s="49" t="s">
        <v>29</v>
      </c>
      <c r="I1468" s="51">
        <v>37509.519999999997</v>
      </c>
      <c r="J1468" s="51" t="s">
        <v>30</v>
      </c>
      <c r="K1468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68" s="52"/>
      <c r="M1468" s="58"/>
      <c r="N1468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37509.519999999997</v>
      </c>
      <c r="O1468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46269</v>
      </c>
      <c r="Q1468" s="49" t="s">
        <v>52</v>
      </c>
      <c r="R1468" s="48">
        <v>46268</v>
      </c>
      <c r="S1468" s="59" t="s">
        <v>27</v>
      </c>
    </row>
    <row r="1469" spans="2:19" s="49" customFormat="1" ht="21.75" hidden="1" customHeight="1">
      <c r="B1469" s="56"/>
      <c r="C1469" s="57"/>
      <c r="D1469" s="48">
        <v>46210</v>
      </c>
      <c r="E1469" s="50" t="s">
        <v>2426</v>
      </c>
      <c r="F1469" s="48"/>
      <c r="G1469" s="48"/>
      <c r="H1469" s="49" t="s">
        <v>29</v>
      </c>
      <c r="I1469" s="51">
        <v>34057.4</v>
      </c>
      <c r="J1469" s="51" t="s">
        <v>30</v>
      </c>
      <c r="K1469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69" s="52"/>
      <c r="M1469" s="58"/>
      <c r="N1469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34057.4</v>
      </c>
      <c r="O1469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46270</v>
      </c>
      <c r="Q1469" s="49" t="s">
        <v>322</v>
      </c>
      <c r="R1469" s="48">
        <v>46268</v>
      </c>
      <c r="S1469" s="59" t="s">
        <v>27</v>
      </c>
    </row>
    <row r="1470" spans="2:19" s="49" customFormat="1" ht="21.75" hidden="1" customHeight="1">
      <c r="B1470" s="56"/>
      <c r="C1470" s="57"/>
      <c r="D1470" s="48">
        <v>46211</v>
      </c>
      <c r="E1470" s="50" t="s">
        <v>2427</v>
      </c>
      <c r="F1470" s="48"/>
      <c r="G1470" s="48"/>
      <c r="H1470" s="49" t="s">
        <v>29</v>
      </c>
      <c r="I1470" s="51">
        <v>36355.1</v>
      </c>
      <c r="J1470" s="51" t="s">
        <v>30</v>
      </c>
      <c r="K147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70" s="52"/>
      <c r="M1470" s="58"/>
      <c r="N1470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36355.1</v>
      </c>
      <c r="O1470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46271</v>
      </c>
      <c r="Q1470" s="49" t="s">
        <v>322</v>
      </c>
      <c r="R1470" s="48">
        <v>46268</v>
      </c>
      <c r="S1470" s="59" t="s">
        <v>27</v>
      </c>
    </row>
    <row r="1471" spans="2:19" s="49" customFormat="1" ht="21.75" hidden="1" customHeight="1">
      <c r="B1471" s="56"/>
      <c r="C1471" s="57"/>
      <c r="D1471" s="48">
        <v>46211</v>
      </c>
      <c r="E1471" s="50" t="s">
        <v>2428</v>
      </c>
      <c r="F1471" s="48"/>
      <c r="G1471" s="48"/>
      <c r="H1471" s="49" t="s">
        <v>29</v>
      </c>
      <c r="I1471" s="51">
        <v>25102.080000000002</v>
      </c>
      <c r="J1471" s="51" t="s">
        <v>30</v>
      </c>
      <c r="K1471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71" s="52"/>
      <c r="M1471" s="58"/>
      <c r="N1471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25102.080000000002</v>
      </c>
      <c r="O1471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46271</v>
      </c>
      <c r="Q1471" s="49" t="s">
        <v>306</v>
      </c>
      <c r="R1471" s="48">
        <v>46268</v>
      </c>
      <c r="S1471" s="59" t="s">
        <v>27</v>
      </c>
    </row>
    <row r="1472" spans="2:19" s="49" customFormat="1" ht="21.75" hidden="1" customHeight="1">
      <c r="B1472" s="56"/>
      <c r="C1472" s="57"/>
      <c r="D1472" s="48">
        <v>46212</v>
      </c>
      <c r="E1472" s="50" t="s">
        <v>2429</v>
      </c>
      <c r="F1472" s="48"/>
      <c r="G1472" s="48"/>
      <c r="H1472" s="49" t="s">
        <v>29</v>
      </c>
      <c r="I1472" s="51">
        <v>34505.300000000003</v>
      </c>
      <c r="J1472" s="51" t="s">
        <v>30</v>
      </c>
      <c r="K147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72" s="52"/>
      <c r="M1472" s="58"/>
      <c r="N1472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34505.300000000003</v>
      </c>
      <c r="O1472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46272</v>
      </c>
      <c r="Q1472" s="49" t="s">
        <v>322</v>
      </c>
      <c r="R1472" s="48">
        <v>46268</v>
      </c>
      <c r="S1472" s="59" t="s">
        <v>27</v>
      </c>
    </row>
    <row r="1473" spans="2:19" s="49" customFormat="1" ht="21.75" hidden="1" customHeight="1">
      <c r="B1473" s="56"/>
      <c r="C1473" s="57"/>
      <c r="D1473" s="48">
        <v>46213</v>
      </c>
      <c r="E1473" s="50" t="s">
        <v>2430</v>
      </c>
      <c r="F1473" s="48"/>
      <c r="G1473" s="48"/>
      <c r="H1473" s="49" t="s">
        <v>29</v>
      </c>
      <c r="I1473" s="51">
        <v>2413.7600000000002</v>
      </c>
      <c r="J1473" s="51" t="s">
        <v>30</v>
      </c>
      <c r="K1473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73" s="52"/>
      <c r="M1473" s="58"/>
      <c r="N1473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2413.7600000000002</v>
      </c>
      <c r="O1473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46273</v>
      </c>
      <c r="Q1473" s="49" t="s">
        <v>34</v>
      </c>
      <c r="R1473" s="48">
        <v>46268</v>
      </c>
      <c r="S1473" s="59" t="s">
        <v>27</v>
      </c>
    </row>
    <row r="1474" spans="2:19" s="49" customFormat="1" ht="21.75" hidden="1" customHeight="1">
      <c r="B1474" s="56"/>
      <c r="C1474" s="57"/>
      <c r="D1474" s="48">
        <v>46213</v>
      </c>
      <c r="E1474" s="50" t="s">
        <v>2431</v>
      </c>
      <c r="F1474" s="48"/>
      <c r="G1474" s="48"/>
      <c r="H1474" s="49" t="s">
        <v>29</v>
      </c>
      <c r="I1474" s="51">
        <v>111.08</v>
      </c>
      <c r="J1474" s="51" t="s">
        <v>30</v>
      </c>
      <c r="K1474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74" s="52"/>
      <c r="M1474" s="58"/>
      <c r="N1474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111.08</v>
      </c>
      <c r="O1474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46273</v>
      </c>
      <c r="Q1474" s="49" t="s">
        <v>34</v>
      </c>
      <c r="R1474" s="48">
        <v>46268</v>
      </c>
      <c r="S1474" s="59" t="s">
        <v>27</v>
      </c>
    </row>
    <row r="1475" spans="2:19" s="49" customFormat="1" ht="21.75" hidden="1" customHeight="1">
      <c r="B1475" s="56"/>
      <c r="C1475" s="57"/>
      <c r="D1475" s="48">
        <v>46213</v>
      </c>
      <c r="E1475" s="50" t="s">
        <v>2432</v>
      </c>
      <c r="F1475" s="48"/>
      <c r="G1475" s="48"/>
      <c r="H1475" s="49" t="s">
        <v>29</v>
      </c>
      <c r="I1475" s="51">
        <v>3426.8</v>
      </c>
      <c r="J1475" s="51" t="s">
        <v>30</v>
      </c>
      <c r="K1475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75" s="52"/>
      <c r="M1475" s="58"/>
      <c r="N1475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3426.8</v>
      </c>
      <c r="O1475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46273</v>
      </c>
      <c r="Q1475" s="49" t="s">
        <v>34</v>
      </c>
      <c r="R1475" s="48">
        <v>46268</v>
      </c>
      <c r="S1475" s="59" t="s">
        <v>27</v>
      </c>
    </row>
    <row r="1476" spans="2:19" s="49" customFormat="1" ht="21.75" hidden="1" customHeight="1">
      <c r="B1476" s="56"/>
      <c r="C1476" s="57"/>
      <c r="D1476" s="48">
        <v>46213</v>
      </c>
      <c r="E1476" s="50" t="s">
        <v>2433</v>
      </c>
      <c r="F1476" s="48"/>
      <c r="G1476" s="48"/>
      <c r="H1476" s="49" t="s">
        <v>29</v>
      </c>
      <c r="I1476" s="51">
        <v>36355.1</v>
      </c>
      <c r="J1476" s="51" t="s">
        <v>30</v>
      </c>
      <c r="K1476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76" s="52"/>
      <c r="M1476" s="58"/>
      <c r="N1476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36355.1</v>
      </c>
      <c r="O1476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46273</v>
      </c>
      <c r="Q1476" s="49" t="s">
        <v>322</v>
      </c>
      <c r="R1476" s="48">
        <v>46268</v>
      </c>
      <c r="S1476" s="59" t="s">
        <v>27</v>
      </c>
    </row>
    <row r="1477" spans="2:19" s="49" customFormat="1" ht="21.75" hidden="1" customHeight="1">
      <c r="B1477" s="56">
        <v>46206</v>
      </c>
      <c r="C1477" s="57"/>
      <c r="D1477" s="48">
        <v>46216</v>
      </c>
      <c r="E1477" s="50" t="s">
        <v>2323</v>
      </c>
      <c r="F1477" s="48"/>
      <c r="G1477" s="48"/>
      <c r="H1477" s="49" t="s">
        <v>54</v>
      </c>
      <c r="I1477" s="51">
        <v>8.0299999999999994</v>
      </c>
      <c r="J1477" s="51" t="s">
        <v>55</v>
      </c>
      <c r="K1477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77" s="52"/>
      <c r="M1477" s="58"/>
      <c r="N1477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8.0299999999999994</v>
      </c>
      <c r="O1477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P1477" s="49" t="s">
        <v>25</v>
      </c>
      <c r="Q1477" s="49" t="s">
        <v>2324</v>
      </c>
      <c r="R1477" s="48">
        <v>46206</v>
      </c>
      <c r="S1477" s="59" t="s">
        <v>27</v>
      </c>
    </row>
    <row r="1478" spans="2:19" s="49" customFormat="1" ht="21.75" hidden="1" customHeight="1">
      <c r="B1478" s="56"/>
      <c r="C1478" s="57"/>
      <c r="D1478" s="48">
        <v>46173</v>
      </c>
      <c r="E1478" s="50">
        <v>9834</v>
      </c>
      <c r="F1478" s="48"/>
      <c r="G1478" s="48"/>
      <c r="H1478" s="49" t="s">
        <v>2302</v>
      </c>
      <c r="I1478" s="51">
        <v>156.4</v>
      </c>
      <c r="J1478" s="51" t="s">
        <v>330</v>
      </c>
      <c r="K1478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78" s="52"/>
      <c r="M1478" s="58"/>
      <c r="N1478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156.4</v>
      </c>
      <c r="O1478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46203</v>
      </c>
      <c r="Q1478" s="49" t="s">
        <v>232</v>
      </c>
      <c r="R1478" s="48">
        <v>46219</v>
      </c>
      <c r="S1478" s="59" t="s">
        <v>45</v>
      </c>
    </row>
    <row r="1479" spans="2:19" s="49" customFormat="1" ht="21.75" hidden="1" customHeight="1">
      <c r="B1479" s="56"/>
      <c r="C1479" s="57"/>
      <c r="D1479" s="48">
        <v>46217</v>
      </c>
      <c r="E1479" s="50">
        <v>1950732095</v>
      </c>
      <c r="F1479" s="48"/>
      <c r="G1479" s="48"/>
      <c r="H1479" s="49" t="s">
        <v>1519</v>
      </c>
      <c r="I1479" s="51">
        <v>-95.95</v>
      </c>
      <c r="J1479" s="51" t="s">
        <v>43</v>
      </c>
      <c r="K1479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79" s="52"/>
      <c r="M1479" s="58"/>
      <c r="N1479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-95.95</v>
      </c>
      <c r="O1479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46217</v>
      </c>
      <c r="P1479" s="49" t="s">
        <v>25</v>
      </c>
      <c r="Q1479" s="49" t="s">
        <v>2434</v>
      </c>
      <c r="S1479" s="59"/>
    </row>
    <row r="1480" spans="2:19" s="49" customFormat="1" ht="21.75" hidden="1" customHeight="1">
      <c r="B1480" s="56"/>
      <c r="C1480" s="57"/>
      <c r="D1480" s="48">
        <v>46217</v>
      </c>
      <c r="E1480" s="50">
        <v>1950732091</v>
      </c>
      <c r="F1480" s="48"/>
      <c r="G1480" s="48"/>
      <c r="H1480" s="49" t="s">
        <v>1519</v>
      </c>
      <c r="I1480" s="51">
        <v>-21.6</v>
      </c>
      <c r="J1480" s="51" t="s">
        <v>43</v>
      </c>
      <c r="K148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80" s="52"/>
      <c r="M1480" s="58"/>
      <c r="N1480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-21.6</v>
      </c>
      <c r="O1480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46217</v>
      </c>
      <c r="P1480" s="49" t="s">
        <v>25</v>
      </c>
      <c r="Q1480" s="49" t="s">
        <v>2435</v>
      </c>
      <c r="S1480" s="59"/>
    </row>
    <row r="1481" spans="2:19" s="49" customFormat="1" ht="21.75" hidden="1" customHeight="1">
      <c r="B1481" s="56"/>
      <c r="C1481" s="57"/>
      <c r="D1481" s="48">
        <v>46217</v>
      </c>
      <c r="E1481" s="50">
        <v>1950732094</v>
      </c>
      <c r="F1481" s="48"/>
      <c r="G1481" s="48"/>
      <c r="H1481" s="49" t="s">
        <v>1519</v>
      </c>
      <c r="I1481" s="51">
        <v>-87.4</v>
      </c>
      <c r="J1481" s="51" t="s">
        <v>43</v>
      </c>
      <c r="K1481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81" s="52"/>
      <c r="M1481" s="58"/>
      <c r="N1481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-87.4</v>
      </c>
      <c r="O1481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46217</v>
      </c>
      <c r="P1481" s="49" t="s">
        <v>25</v>
      </c>
      <c r="Q1481" s="49" t="s">
        <v>2436</v>
      </c>
      <c r="S1481" s="59"/>
    </row>
    <row r="1482" spans="2:19" s="49" customFormat="1" ht="21.75" hidden="1" customHeight="1">
      <c r="B1482" s="56"/>
      <c r="C1482" s="57"/>
      <c r="D1482" s="48">
        <v>46217</v>
      </c>
      <c r="E1482" s="50">
        <v>1852403595</v>
      </c>
      <c r="F1482" s="48"/>
      <c r="G1482" s="48"/>
      <c r="H1482" s="49" t="s">
        <v>1519</v>
      </c>
      <c r="I1482" s="51">
        <v>-87.4</v>
      </c>
      <c r="J1482" s="51" t="s">
        <v>43</v>
      </c>
      <c r="K1482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82" s="52"/>
      <c r="M1482" s="58"/>
      <c r="N1482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-87.4</v>
      </c>
      <c r="O1482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46217</v>
      </c>
      <c r="P1482" s="49" t="s">
        <v>25</v>
      </c>
      <c r="Q1482" s="49" t="s">
        <v>2437</v>
      </c>
      <c r="S1482" s="59"/>
    </row>
    <row r="1483" spans="2:19" s="49" customFormat="1" ht="21.75" hidden="1" customHeight="1">
      <c r="B1483" s="56"/>
      <c r="C1483" s="57"/>
      <c r="D1483" s="48">
        <v>46217</v>
      </c>
      <c r="E1483" s="50">
        <v>1950732092</v>
      </c>
      <c r="F1483" s="48"/>
      <c r="G1483" s="48"/>
      <c r="H1483" s="49" t="s">
        <v>1519</v>
      </c>
      <c r="I1483" s="51">
        <v>-43.7</v>
      </c>
      <c r="J1483" s="51" t="s">
        <v>43</v>
      </c>
      <c r="K1483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83" s="52"/>
      <c r="M1483" s="58"/>
      <c r="N1483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-43.7</v>
      </c>
      <c r="O1483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46217</v>
      </c>
      <c r="P1483" s="49" t="s">
        <v>25</v>
      </c>
      <c r="Q1483" s="49" t="s">
        <v>2438</v>
      </c>
      <c r="S1483" s="59"/>
    </row>
    <row r="1484" spans="2:19" s="49" customFormat="1" ht="21.75" hidden="1" customHeight="1">
      <c r="B1484" s="56">
        <v>46217</v>
      </c>
      <c r="C1484" s="57" t="s">
        <v>2439</v>
      </c>
      <c r="D1484" s="48"/>
      <c r="E1484" s="50"/>
      <c r="F1484" s="48"/>
      <c r="G1484" s="48"/>
      <c r="H1484" s="49" t="s">
        <v>301</v>
      </c>
      <c r="I1484" s="51">
        <v>64.66</v>
      </c>
      <c r="J1484" s="51" t="s">
        <v>55</v>
      </c>
      <c r="K1484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84" s="52"/>
      <c r="M1484" s="58"/>
      <c r="N1484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64.66</v>
      </c>
      <c r="O1484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Q1484" s="49" t="s">
        <v>2440</v>
      </c>
      <c r="S1484" s="59" t="s">
        <v>45</v>
      </c>
    </row>
    <row r="1485" spans="2:19" s="49" customFormat="1" ht="21.75" hidden="1" customHeight="1">
      <c r="B1485" s="56">
        <v>46217</v>
      </c>
      <c r="C1485" s="57" t="s">
        <v>2441</v>
      </c>
      <c r="D1485" s="48"/>
      <c r="E1485" s="50"/>
      <c r="F1485" s="48"/>
      <c r="G1485" s="48"/>
      <c r="H1485" s="49" t="s">
        <v>301</v>
      </c>
      <c r="I1485" s="51">
        <v>64.66</v>
      </c>
      <c r="J1485" s="51" t="s">
        <v>55</v>
      </c>
      <c r="K1485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85" s="52"/>
      <c r="M1485" s="58"/>
      <c r="N1485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64.66</v>
      </c>
      <c r="O1485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Q1485" s="49" t="s">
        <v>2442</v>
      </c>
      <c r="S1485" s="59" t="s">
        <v>45</v>
      </c>
    </row>
    <row r="1486" spans="2:19" s="49" customFormat="1" ht="21.75" hidden="1" customHeight="1">
      <c r="B1486" s="56"/>
      <c r="C1486" s="57"/>
      <c r="D1486" s="48">
        <v>46216</v>
      </c>
      <c r="E1486" s="50" t="s">
        <v>2443</v>
      </c>
      <c r="F1486" s="48"/>
      <c r="G1486" s="48"/>
      <c r="H1486" s="49" t="s">
        <v>569</v>
      </c>
      <c r="I1486" s="51">
        <v>378</v>
      </c>
      <c r="J1486" s="51" t="s">
        <v>43</v>
      </c>
      <c r="K1486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86" s="52"/>
      <c r="M1486" s="58"/>
      <c r="N1486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378</v>
      </c>
      <c r="O1486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46216</v>
      </c>
      <c r="Q1486" s="49" t="s">
        <v>2444</v>
      </c>
      <c r="R1486" s="48">
        <v>46219</v>
      </c>
      <c r="S1486" s="59" t="s">
        <v>27</v>
      </c>
    </row>
    <row r="1487" spans="2:19" s="49" customFormat="1" hidden="1">
      <c r="B1487" s="56">
        <v>46217</v>
      </c>
      <c r="C1487" s="57" t="s">
        <v>2445</v>
      </c>
      <c r="D1487" s="48"/>
      <c r="E1487" s="50"/>
      <c r="F1487" s="48"/>
      <c r="G1487" s="48"/>
      <c r="H1487" s="49" t="s">
        <v>301</v>
      </c>
      <c r="I1487" s="51">
        <v>415.71</v>
      </c>
      <c r="J1487" s="51" t="s">
        <v>55</v>
      </c>
      <c r="K1487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87" s="52"/>
      <c r="M1487" s="58"/>
      <c r="N1487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415.71</v>
      </c>
      <c r="O1487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Q1487" s="49" t="s">
        <v>2446</v>
      </c>
      <c r="S1487" s="59" t="s">
        <v>45</v>
      </c>
    </row>
    <row r="1488" spans="2:19" s="49" customFormat="1" hidden="1">
      <c r="B1488" s="56">
        <v>46217</v>
      </c>
      <c r="C1488" s="57" t="s">
        <v>2447</v>
      </c>
      <c r="D1488" s="48"/>
      <c r="E1488" s="50"/>
      <c r="F1488" s="48"/>
      <c r="G1488" s="48"/>
      <c r="H1488" s="49" t="s">
        <v>301</v>
      </c>
      <c r="I1488" s="51">
        <v>571.41999999999996</v>
      </c>
      <c r="J1488" s="51" t="s">
        <v>55</v>
      </c>
      <c r="K1488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88" s="52"/>
      <c r="M1488" s="58"/>
      <c r="N1488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571.41999999999996</v>
      </c>
      <c r="O1488" s="52" t="str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/>
      </c>
      <c r="Q1488" s="49" t="s">
        <v>2448</v>
      </c>
      <c r="S1488" s="59" t="s">
        <v>45</v>
      </c>
    </row>
    <row r="1489" spans="2:19" s="49" customFormat="1" hidden="1">
      <c r="B1489" s="56"/>
      <c r="C1489" s="57"/>
      <c r="D1489" s="48">
        <v>46173</v>
      </c>
      <c r="E1489" s="50">
        <v>5594704749</v>
      </c>
      <c r="F1489" s="48"/>
      <c r="G1489" s="48"/>
      <c r="H1489" s="49" t="s">
        <v>1657</v>
      </c>
      <c r="I1489" s="51">
        <v>5934.81</v>
      </c>
      <c r="J1489" s="51" t="s">
        <v>43</v>
      </c>
      <c r="K1489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89" s="52"/>
      <c r="M1489" s="58"/>
      <c r="N1489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5934.81</v>
      </c>
      <c r="O1489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46173</v>
      </c>
      <c r="P1489" s="49" t="s">
        <v>25</v>
      </c>
      <c r="Q1489" s="49" t="s">
        <v>2449</v>
      </c>
      <c r="S1489" s="59"/>
    </row>
    <row r="1490" spans="2:19" s="49" customFormat="1" hidden="1">
      <c r="B1490" s="56"/>
      <c r="C1490" s="57"/>
      <c r="D1490" s="48">
        <v>46203</v>
      </c>
      <c r="E1490" s="50">
        <v>5623424266</v>
      </c>
      <c r="F1490" s="48"/>
      <c r="G1490" s="48"/>
      <c r="H1490" s="49" t="s">
        <v>1657</v>
      </c>
      <c r="I1490" s="51">
        <v>6154.07</v>
      </c>
      <c r="J1490" s="51" t="s">
        <v>43</v>
      </c>
      <c r="K1490" s="51">
        <f>IFERROR(_xlfn.IFS(Tabla1[[#This Row],[Forma Pago]]="30PP70-60D",Tabla1[[#This Row],[Importe Total]]*0.3,Tabla1[[#This Row],[Forma Pago]]="50PP50PP",Tabla1[[#This Row],[Importe Total]]*0.5,Tabla1[[#This Row],[Forma Pago]]="50PP50-60D",Tabla1[[#This Row],[Importe Total]]*0.5,Tabla1[[#This Row],[Forma Pago]]="100PP",0,Tabla1[[#This Row],[Forma Pago]]="0D",0,Tabla1[[#This Row],[Forma Pago]]="60D",0,Tabla1[[#This Row],[Forma Pago]]="30D",0,Tabla1[[#This Row],[Forma Pago]]="50PP50-15D",Tabla1[[#This Row],[Importe Total]]*0.5),"")</f>
        <v>0</v>
      </c>
      <c r="L1490" s="52"/>
      <c r="M1490" s="58"/>
      <c r="N1490" s="51">
        <f>_xlfn.IFS(Tabla1[[#This Row],[Forma Pago]]="30PP70-60D",Tabla1[[#This Row],[Importe Total]]*0.7,Tabla1[[#This Row],[Forma Pago]]="50PP50PP",Tabla1[[#This Row],[Importe Total]]*0.5,Tabla1[[#This Row],[Forma Pago]]="50PP50-60D",Tabla1[[#This Row],[Importe Total]]*0.5,Tabla1[[#This Row],[Forma Pago]]="100PP",Tabla1[[#This Row],[Importe Total]],Tabla1[[#This Row],[Forma Pago]]="0D",Tabla1[[#This Row],[Importe Total]],Tabla1[[#This Row],[Forma Pago]]="60D",Tabla1[[#This Row],[Importe Total]],Tabla1[[#This Row],[Forma Pago]]="30D",Tabla1[[#This Row],[Importe Total]],Tabla1[[#This Row],[Forma Pago]]="DOMICILIADO",Tabla1[[#This Row],[Importe Total]],Tabla1[[#This Row],[Forma Pago]]="DOMICILIADO 30D",Tabla1[[#This Row],[Importe Total]],Tabla1[[#This Row],[Forma Pago]]="DOMICILIADO 60D",Tabla1[[#This Row],[Importe Total]],Tabla1[[#This Row],[Forma Pago]]="50PP50-15D",Tabla1[[#This Row],[Importe Total]]*0.5,Tabla1[[#This Row],[Forma Pago]]="P1P2",Tabla1[[#This Row],[Fecha Prep.]])</f>
        <v>6154.07</v>
      </c>
      <c r="O1490" s="52">
        <f>_xlfn.IFS(Tabla1[[#This Row],[Forma Pago]]="30PP70-60D",IF(Tabla1[[#This Row],[Fecha Factura]]="","",Tabla1[[#This Row],[Fecha Factura]]+60),Tabla1[[#This Row],[Forma Pago]]="50PP50-60D",IF(Tabla1[[#This Row],[Fecha Factura]]="","",Tabla1[[#This Row],[Fecha Factura]]+60),Tabla1[[#This Row],[Forma Pago]]="100PP",IF(Tabla1[[#This Row],[Fecha Prep.]]="","",Tabla1[[#This Row],[Fecha Prep.]]),Tabla1[[#This Row],[Forma Pago]]="0D",IF(Tabla1[[#This Row],[Fecha Factura]]="","",Tabla1[[#This Row],[Fecha Factura]]),Tabla1[[#This Row],[Forma Pago]]="60D",IF(Tabla1[[#This Row],[Fecha Factura]]="","",Tabla1[[#This Row],[Fecha Factura]]+60),Tabla1[[#This Row],[Forma Pago]]="30D",IF(Tabla1[[#This Row],[Fecha Factura]]="","",Tabla1[[#This Row],[Fecha Factura]]+30),Tabla1[[#This Row],[Forma Pago]]="DOMICILIADO","",Tabla1[[#This Row],[Forma Pago]]="50PP50-15D",Tabla1[[#This Row],[Fecha Factura]]+15,Tabla1[[#This Row],[Forma Pago]]="50PP50PP",Tabla1[[#This Row],[Fecha Prep. 2]])</f>
        <v>46203</v>
      </c>
      <c r="P1490" s="49" t="s">
        <v>25</v>
      </c>
      <c r="Q1490" s="49" t="s">
        <v>2450</v>
      </c>
      <c r="S1490" s="59"/>
    </row>
  </sheetData>
  <conditionalFormatting sqref="B2:U1490">
    <cfRule type="expression" dxfId="150" priority="5">
      <formula>$P2="PAGADO"</formula>
    </cfRule>
  </conditionalFormatting>
  <conditionalFormatting sqref="K2:M1490">
    <cfRule type="expression" dxfId="149" priority="56">
      <formula>$M2="PAGADO"</formula>
    </cfRule>
  </conditionalFormatting>
  <dataValidations count="2">
    <dataValidation type="list" allowBlank="1" showInputMessage="1" showErrorMessage="1" sqref="M312 M339:M346 M449 M258:M259 M261:M277 P862 P503 P518 P521 P1130:P1132 P542 P523:P537 P625:P626 M543 P592:P593 L594:M594 L607:M607 P605 P622:P623 P466:P469 P900:P904 P669 P545:P547 P686 P705 P708 P731 P1285 P595 M864:M866 P474:P476 P744 P749 P814 P870 P875:P876 P881 P891:P894 M895:M902 M1092:M1097 P833:P834 P857:P859 P937 P939 P1086:P1091 P550:P555 P763 P993 P1000 P1007 P1014 P1022:P1023 P1104 P1106:P1109 M1185 P557 P581:P585 P1033 P1155:P1160 P1166 P845:P855 P1182:P1183 P1198 P1214 P1216:P1218 M1171 M1174 M1181 P609:P614 P634 P990:P991 P1041 P1044:P1050 P1056:P1060 M1215 M1219 M1230 P1233:P1234 P1246 P1252:P1253 P1256 P1267 P1269:P1270 M2:M229 M251 P1395:P1396 M1397:M1399 P1400 P2:P453 P588 P676 M232:M233 M1348 M1410 M1416 M1432 P1402 P1411:P1413 P1415 P1431 P1433" xr:uid="{EF94EEB4-ADFD-49FF-8579-D6C115E29F35}">
      <formula1>INDIRECT("tablaestado[ESTADO]")</formula1>
    </dataValidation>
    <dataValidation type="list" allowBlank="1" showInputMessage="1" showErrorMessage="1" sqref="J2:J1490" xr:uid="{2D69288C-D78D-429F-940A-F7CF5612D7FB}">
      <formula1>INDIRECT("tablaformapago[Forma pago]")</formula1>
    </dataValidation>
  </dataValidations>
  <pageMargins left="0.25" right="0.25" top="0.75" bottom="0.75" header="0.3" footer="0.3"/>
  <pageSetup paperSize="9" orientation="landscape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1AD3C-D554-423C-BAC4-908A76AEA638}">
  <sheetPr codeName="Hoja2">
    <pageSetUpPr fitToPage="1"/>
  </sheetPr>
  <dimension ref="A1:R632"/>
  <sheetViews>
    <sheetView showGridLines="0" topLeftCell="A32" workbookViewId="0">
      <selection activeCell="I639" sqref="I639"/>
    </sheetView>
  </sheetViews>
  <sheetFormatPr defaultColWidth="11.42578125" defaultRowHeight="15" customHeight="1"/>
  <cols>
    <col min="1" max="1" width="2.5703125" customWidth="1"/>
    <col min="2" max="2" width="11.7109375" bestFit="1" customWidth="1"/>
    <col min="3" max="3" width="12.42578125" bestFit="1" customWidth="1"/>
    <col min="4" max="4" width="11.7109375" bestFit="1" customWidth="1"/>
    <col min="5" max="5" width="21.5703125" bestFit="1" customWidth="1"/>
    <col min="6" max="6" width="13.5703125" bestFit="1" customWidth="1"/>
    <col min="7" max="7" width="41.140625" bestFit="1" customWidth="1"/>
    <col min="8" max="8" width="15.85546875" bestFit="1" customWidth="1"/>
    <col min="9" max="9" width="13" customWidth="1"/>
    <col min="10" max="10" width="13.7109375" customWidth="1"/>
    <col min="11" max="11" width="21.140625" bestFit="1" customWidth="1"/>
    <col min="13" max="13" width="30.42578125" style="24" customWidth="1"/>
    <col min="14" max="14" width="18.42578125" customWidth="1"/>
    <col min="15" max="15" width="15.85546875" bestFit="1" customWidth="1"/>
    <col min="17" max="17" width="23.5703125" customWidth="1"/>
  </cols>
  <sheetData>
    <row r="1" spans="1:18">
      <c r="A1" s="4">
        <f ca="1">TODAY()</f>
        <v>46218</v>
      </c>
      <c r="B1" t="s">
        <v>2451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2452</v>
      </c>
      <c r="K1" t="s">
        <v>2453</v>
      </c>
      <c r="L1" t="s">
        <v>2454</v>
      </c>
      <c r="M1" s="24" t="s">
        <v>2455</v>
      </c>
      <c r="N1" t="s">
        <v>2456</v>
      </c>
      <c r="O1" t="s">
        <v>2457</v>
      </c>
      <c r="P1" t="s">
        <v>2458</v>
      </c>
      <c r="Q1" t="s">
        <v>19</v>
      </c>
      <c r="R1" t="s">
        <v>2459</v>
      </c>
    </row>
    <row r="2" spans="1:18">
      <c r="B2" s="1"/>
      <c r="D2" s="1">
        <v>46023</v>
      </c>
      <c r="E2" s="29" t="s">
        <v>2460</v>
      </c>
      <c r="G2" t="s">
        <v>2461</v>
      </c>
      <c r="H2" s="2">
        <v>58.9</v>
      </c>
      <c r="I2" s="2" t="s">
        <v>98</v>
      </c>
      <c r="J2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58.9</v>
      </c>
      <c r="K2" s="1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2" t="s">
        <v>25</v>
      </c>
      <c r="M2" t="s">
        <v>2462</v>
      </c>
      <c r="N2" s="1"/>
    </row>
    <row r="3" spans="1:18">
      <c r="B3" s="1"/>
      <c r="D3" s="1">
        <v>46022</v>
      </c>
      <c r="E3" s="29" t="s">
        <v>2463</v>
      </c>
      <c r="F3" s="1"/>
      <c r="G3" t="s">
        <v>2464</v>
      </c>
      <c r="H3" s="2">
        <v>775</v>
      </c>
      <c r="I3" s="2" t="s">
        <v>43</v>
      </c>
      <c r="J3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775</v>
      </c>
      <c r="K3" s="1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46022</v>
      </c>
      <c r="L3" t="s">
        <v>25</v>
      </c>
      <c r="M3"/>
      <c r="N3" s="1">
        <v>46027</v>
      </c>
    </row>
    <row r="4" spans="1:18">
      <c r="B4" s="1"/>
      <c r="D4" s="1">
        <v>46022</v>
      </c>
      <c r="E4" s="29" t="s">
        <v>2465</v>
      </c>
      <c r="F4" s="1"/>
      <c r="G4" t="s">
        <v>2466</v>
      </c>
      <c r="H4" s="2">
        <v>28.63</v>
      </c>
      <c r="I4" s="2" t="s">
        <v>43</v>
      </c>
      <c r="J4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28.63</v>
      </c>
      <c r="K4" s="1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46022</v>
      </c>
      <c r="L4" t="s">
        <v>25</v>
      </c>
      <c r="M4" t="s">
        <v>2467</v>
      </c>
      <c r="N4" s="1">
        <v>46029</v>
      </c>
    </row>
    <row r="5" spans="1:18">
      <c r="B5" s="1"/>
      <c r="D5" s="1">
        <v>45991</v>
      </c>
      <c r="E5" s="29" t="s">
        <v>2468</v>
      </c>
      <c r="F5" s="1"/>
      <c r="G5" t="s">
        <v>2469</v>
      </c>
      <c r="H5" s="2">
        <v>453.54</v>
      </c>
      <c r="I5" s="2" t="s">
        <v>98</v>
      </c>
      <c r="J5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453.54</v>
      </c>
      <c r="K5" s="1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5" t="s">
        <v>25</v>
      </c>
      <c r="M5"/>
      <c r="N5" s="1">
        <v>46024</v>
      </c>
    </row>
    <row r="6" spans="1:18">
      <c r="B6" s="1"/>
      <c r="D6" s="1"/>
      <c r="E6" s="29"/>
      <c r="F6" s="1">
        <v>46030</v>
      </c>
      <c r="G6" t="s">
        <v>2470</v>
      </c>
      <c r="H6" s="2">
        <v>8</v>
      </c>
      <c r="I6" s="2" t="s">
        <v>55</v>
      </c>
      <c r="J6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</v>
      </c>
      <c r="K6" s="1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46030</v>
      </c>
      <c r="L6" t="s">
        <v>25</v>
      </c>
      <c r="M6"/>
      <c r="N6" s="1">
        <v>46030</v>
      </c>
    </row>
    <row r="7" spans="1:18" s="8" customFormat="1">
      <c r="B7" s="53"/>
      <c r="D7" s="53">
        <v>46074</v>
      </c>
      <c r="E7" s="54"/>
      <c r="F7" s="53">
        <v>46030</v>
      </c>
      <c r="G7" s="8" t="s">
        <v>2471</v>
      </c>
      <c r="H7" s="55">
        <v>79.69</v>
      </c>
      <c r="I7" s="55" t="s">
        <v>55</v>
      </c>
      <c r="J7" s="55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79.69</v>
      </c>
      <c r="K7" s="53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46030</v>
      </c>
      <c r="L7" s="8" t="s">
        <v>25</v>
      </c>
      <c r="N7" s="53">
        <v>46030</v>
      </c>
      <c r="Q7" s="8" t="s">
        <v>2472</v>
      </c>
    </row>
    <row r="8" spans="1:18">
      <c r="B8" s="1"/>
      <c r="D8" s="1"/>
      <c r="E8" s="29"/>
      <c r="F8" s="1">
        <v>46030</v>
      </c>
      <c r="G8" t="s">
        <v>2473</v>
      </c>
      <c r="H8" s="2">
        <v>8</v>
      </c>
      <c r="I8" s="2" t="s">
        <v>55</v>
      </c>
      <c r="J8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</v>
      </c>
      <c r="K8" s="1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46030</v>
      </c>
      <c r="L8" t="s">
        <v>25</v>
      </c>
      <c r="M8"/>
      <c r="N8" s="1">
        <v>46030</v>
      </c>
    </row>
    <row r="9" spans="1:18">
      <c r="B9" s="1"/>
      <c r="D9" s="1"/>
      <c r="E9" s="29"/>
      <c r="F9" s="1">
        <v>46030</v>
      </c>
      <c r="G9" t="s">
        <v>2474</v>
      </c>
      <c r="H9" s="2">
        <v>8</v>
      </c>
      <c r="I9" s="2" t="s">
        <v>55</v>
      </c>
      <c r="J9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</v>
      </c>
      <c r="K9" s="1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46030</v>
      </c>
      <c r="L9" t="s">
        <v>25</v>
      </c>
      <c r="M9"/>
      <c r="N9" s="1">
        <v>46030</v>
      </c>
    </row>
    <row r="10" spans="1:18">
      <c r="B10" s="1"/>
      <c r="D10" s="1">
        <v>46029</v>
      </c>
      <c r="E10" s="29">
        <v>1</v>
      </c>
      <c r="G10" t="s">
        <v>2475</v>
      </c>
      <c r="H10" s="2">
        <v>605</v>
      </c>
      <c r="I10" s="2" t="s">
        <v>55</v>
      </c>
      <c r="J10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605</v>
      </c>
      <c r="K10" s="1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10" t="s">
        <v>25</v>
      </c>
      <c r="M10"/>
      <c r="N10" s="1">
        <v>46037</v>
      </c>
      <c r="O10" t="s">
        <v>94</v>
      </c>
    </row>
    <row r="11" spans="1:18">
      <c r="B11" s="1"/>
      <c r="D11" s="1">
        <v>46020</v>
      </c>
      <c r="E11" s="29" t="s">
        <v>2476</v>
      </c>
      <c r="F11" s="1">
        <v>46037</v>
      </c>
      <c r="G11" t="s">
        <v>2477</v>
      </c>
      <c r="H11" s="2">
        <v>10.199999999999999</v>
      </c>
      <c r="I11" s="2" t="s">
        <v>55</v>
      </c>
      <c r="J11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10.199999999999999</v>
      </c>
      <c r="K11" s="1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46037</v>
      </c>
      <c r="L11" t="s">
        <v>25</v>
      </c>
      <c r="M11" t="s">
        <v>2478</v>
      </c>
      <c r="N11" s="1">
        <v>46037</v>
      </c>
      <c r="O11" t="s">
        <v>27</v>
      </c>
    </row>
    <row r="12" spans="1:18">
      <c r="B12" s="1"/>
      <c r="D12" s="1">
        <v>46029</v>
      </c>
      <c r="E12" s="30" t="s">
        <v>2479</v>
      </c>
      <c r="F12" s="7"/>
      <c r="G12" t="s">
        <v>2477</v>
      </c>
      <c r="H12" s="2">
        <v>10.3</v>
      </c>
      <c r="I12" s="2" t="s">
        <v>55</v>
      </c>
      <c r="J12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10.3</v>
      </c>
      <c r="K12" s="1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12" t="s">
        <v>25</v>
      </c>
      <c r="M12" t="s">
        <v>2478</v>
      </c>
      <c r="N12" s="1">
        <v>46045</v>
      </c>
      <c r="O12" t="s">
        <v>27</v>
      </c>
    </row>
    <row r="13" spans="1:18">
      <c r="B13" s="1"/>
      <c r="D13" s="1">
        <v>46023</v>
      </c>
      <c r="E13" s="29" t="s">
        <v>2480</v>
      </c>
      <c r="G13" t="s">
        <v>2481</v>
      </c>
      <c r="H13" s="2">
        <v>1635.32</v>
      </c>
      <c r="I13" s="2" t="s">
        <v>98</v>
      </c>
      <c r="J13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1635.32</v>
      </c>
      <c r="K13" s="1">
        <v>46044</v>
      </c>
      <c r="L13" t="s">
        <v>25</v>
      </c>
      <c r="M13" t="s">
        <v>2482</v>
      </c>
      <c r="N13" s="1">
        <v>46044</v>
      </c>
    </row>
    <row r="14" spans="1:18">
      <c r="B14" s="1"/>
      <c r="D14" s="1">
        <v>46032</v>
      </c>
      <c r="E14" s="29" t="s">
        <v>2483</v>
      </c>
      <c r="G14" t="s">
        <v>2484</v>
      </c>
      <c r="H14" s="2">
        <v>81.34</v>
      </c>
      <c r="I14" s="2" t="s">
        <v>43</v>
      </c>
      <c r="J14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81.34</v>
      </c>
      <c r="K14" s="1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46032</v>
      </c>
      <c r="L14" t="s">
        <v>25</v>
      </c>
      <c r="M14"/>
      <c r="N14" s="1"/>
    </row>
    <row r="15" spans="1:18">
      <c r="B15" s="1"/>
      <c r="D15" s="1">
        <v>46024</v>
      </c>
      <c r="E15" s="29" t="s">
        <v>2485</v>
      </c>
      <c r="G15" t="s">
        <v>2486</v>
      </c>
      <c r="H15" s="2">
        <v>762.3</v>
      </c>
      <c r="I15" s="2" t="s">
        <v>98</v>
      </c>
      <c r="J15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762.3</v>
      </c>
      <c r="K15" s="1">
        <v>46055</v>
      </c>
      <c r="L15" t="s">
        <v>25</v>
      </c>
      <c r="M15"/>
      <c r="N15" s="1"/>
      <c r="P15" t="s">
        <v>2487</v>
      </c>
    </row>
    <row r="16" spans="1:18">
      <c r="B16" s="1"/>
      <c r="D16" s="1">
        <v>46035</v>
      </c>
      <c r="E16" s="29" t="s">
        <v>1500</v>
      </c>
      <c r="G16" t="s">
        <v>86</v>
      </c>
      <c r="H16" s="2">
        <v>647.74</v>
      </c>
      <c r="I16" s="2" t="s">
        <v>43</v>
      </c>
      <c r="J16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647.74</v>
      </c>
      <c r="K16" s="1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46035</v>
      </c>
      <c r="L16" t="s">
        <v>25</v>
      </c>
      <c r="M16" s="8" t="s">
        <v>2488</v>
      </c>
      <c r="N16" s="1"/>
    </row>
    <row r="17" spans="2:18">
      <c r="B17" s="1"/>
      <c r="D17" s="1">
        <v>46032</v>
      </c>
      <c r="E17" s="29">
        <v>22600011</v>
      </c>
      <c r="G17" t="s">
        <v>2489</v>
      </c>
      <c r="H17" s="2">
        <v>892.5</v>
      </c>
      <c r="I17" s="2" t="s">
        <v>98</v>
      </c>
      <c r="J17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892.5</v>
      </c>
      <c r="K17" s="1">
        <v>46048</v>
      </c>
      <c r="L17" t="s">
        <v>25</v>
      </c>
      <c r="M17"/>
      <c r="N17" s="1"/>
    </row>
    <row r="18" spans="2:18">
      <c r="B18" s="1"/>
      <c r="D18" s="1">
        <v>46036</v>
      </c>
      <c r="E18" s="29" t="s">
        <v>2490</v>
      </c>
      <c r="G18" t="s">
        <v>2491</v>
      </c>
      <c r="H18" s="2">
        <v>208.65</v>
      </c>
      <c r="I18" s="2" t="s">
        <v>43</v>
      </c>
      <c r="J18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208.65</v>
      </c>
      <c r="K18" s="1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46036</v>
      </c>
      <c r="L18" t="s">
        <v>25</v>
      </c>
      <c r="M18" t="s">
        <v>2492</v>
      </c>
      <c r="N18" s="1"/>
      <c r="P18" t="s">
        <v>2493</v>
      </c>
    </row>
    <row r="19" spans="2:18">
      <c r="B19" s="1"/>
      <c r="D19" s="1">
        <v>46006</v>
      </c>
      <c r="E19" s="31" t="s">
        <v>2494</v>
      </c>
      <c r="F19" s="28">
        <v>46037</v>
      </c>
      <c r="G19" t="s">
        <v>2495</v>
      </c>
      <c r="H19" s="2">
        <v>27.83</v>
      </c>
      <c r="I19" s="2" t="s">
        <v>55</v>
      </c>
      <c r="J19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27.83</v>
      </c>
      <c r="K19" s="1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46037</v>
      </c>
      <c r="L19" s="41" t="s">
        <v>25</v>
      </c>
      <c r="M19" s="2" t="s">
        <v>2496</v>
      </c>
      <c r="N19" s="1">
        <v>46037</v>
      </c>
      <c r="O19" t="s">
        <v>45</v>
      </c>
      <c r="Q19" s="1"/>
    </row>
    <row r="20" spans="2:18" ht="15" customHeight="1">
      <c r="B20" s="1"/>
      <c r="D20" s="1">
        <v>46041</v>
      </c>
      <c r="E20" s="29" t="s">
        <v>2497</v>
      </c>
      <c r="G20" t="s">
        <v>2498</v>
      </c>
      <c r="H20" s="2">
        <v>58</v>
      </c>
      <c r="I20" s="2" t="s">
        <v>98</v>
      </c>
      <c r="J20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58</v>
      </c>
      <c r="K20" s="1">
        <v>46049</v>
      </c>
      <c r="L20" t="s">
        <v>25</v>
      </c>
      <c r="M20"/>
      <c r="N20" s="1"/>
    </row>
    <row r="21" spans="2:18" ht="15" customHeight="1">
      <c r="B21" s="1"/>
      <c r="D21" s="1">
        <v>46041</v>
      </c>
      <c r="E21" s="29" t="s">
        <v>2499</v>
      </c>
      <c r="G21" t="s">
        <v>2498</v>
      </c>
      <c r="H21" s="2">
        <v>194.05</v>
      </c>
      <c r="I21" s="2" t="s">
        <v>98</v>
      </c>
      <c r="J21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194.05</v>
      </c>
      <c r="K21" s="1">
        <v>46049</v>
      </c>
      <c r="L21" t="s">
        <v>25</v>
      </c>
      <c r="M21"/>
      <c r="N21" s="1"/>
    </row>
    <row r="22" spans="2:18" ht="15" customHeight="1">
      <c r="B22" s="1"/>
      <c r="D22" s="1">
        <v>46041</v>
      </c>
      <c r="E22" s="29" t="s">
        <v>2500</v>
      </c>
      <c r="G22" t="s">
        <v>2501</v>
      </c>
      <c r="H22" s="2">
        <v>110</v>
      </c>
      <c r="I22" s="2" t="s">
        <v>55</v>
      </c>
      <c r="J22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110</v>
      </c>
      <c r="K22" s="1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22" t="s">
        <v>25</v>
      </c>
      <c r="M22"/>
      <c r="N22" s="1"/>
    </row>
    <row r="23" spans="2:18" ht="15" customHeight="1">
      <c r="B23" s="14"/>
      <c r="C23" s="15"/>
      <c r="D23" s="14">
        <v>46029</v>
      </c>
      <c r="E23" s="32" t="s">
        <v>2502</v>
      </c>
      <c r="F23" s="15"/>
      <c r="G23" s="15" t="s">
        <v>2503</v>
      </c>
      <c r="H23" s="16">
        <v>62.03</v>
      </c>
      <c r="I23" s="16" t="s">
        <v>55</v>
      </c>
      <c r="J23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62.03</v>
      </c>
      <c r="K23" s="1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23" s="15" t="s">
        <v>25</v>
      </c>
      <c r="M23" s="15"/>
      <c r="N23" s="1">
        <v>46044</v>
      </c>
      <c r="O23" t="s">
        <v>94</v>
      </c>
    </row>
    <row r="24" spans="2:18" ht="15" customHeight="1">
      <c r="B24" s="14"/>
      <c r="C24" s="15"/>
      <c r="D24" s="14">
        <v>46042</v>
      </c>
      <c r="E24" s="33" t="s">
        <v>2504</v>
      </c>
      <c r="F24" s="18"/>
      <c r="G24" s="15" t="s">
        <v>2477</v>
      </c>
      <c r="H24" s="16">
        <v>88.9</v>
      </c>
      <c r="I24" s="16" t="s">
        <v>55</v>
      </c>
      <c r="J24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88.9</v>
      </c>
      <c r="K24" s="1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24" s="15" t="s">
        <v>25</v>
      </c>
      <c r="M24" s="15"/>
      <c r="N24" s="1">
        <v>46044</v>
      </c>
      <c r="O24" t="s">
        <v>27</v>
      </c>
    </row>
    <row r="25" spans="2:18" ht="15" customHeight="1">
      <c r="B25" s="1"/>
      <c r="D25" s="1">
        <v>46034</v>
      </c>
      <c r="E25" s="29" t="s">
        <v>2505</v>
      </c>
      <c r="G25" t="s">
        <v>2506</v>
      </c>
      <c r="H25" s="11">
        <v>15.13</v>
      </c>
      <c r="I25" s="11" t="s">
        <v>98</v>
      </c>
      <c r="J25" s="1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15.13</v>
      </c>
      <c r="K25" s="1">
        <v>46034</v>
      </c>
      <c r="L25" t="s">
        <v>25</v>
      </c>
      <c r="M25"/>
      <c r="R25" t="s">
        <v>32</v>
      </c>
    </row>
    <row r="26" spans="2:18" ht="15" customHeight="1">
      <c r="B26" s="1"/>
      <c r="D26" s="1">
        <v>46034</v>
      </c>
      <c r="E26" s="29" t="s">
        <v>2507</v>
      </c>
      <c r="G26" t="s">
        <v>2508</v>
      </c>
      <c r="H26" s="2">
        <v>284.74</v>
      </c>
      <c r="I26" s="2" t="s">
        <v>55</v>
      </c>
      <c r="J26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284.74</v>
      </c>
      <c r="K26" s="1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26" t="s">
        <v>25</v>
      </c>
      <c r="M26" t="s">
        <v>2509</v>
      </c>
      <c r="N26" s="1"/>
      <c r="Q26" t="s">
        <v>2510</v>
      </c>
    </row>
    <row r="27" spans="2:18" ht="15" customHeight="1">
      <c r="B27" s="14"/>
      <c r="C27" s="15"/>
      <c r="D27" s="14">
        <v>46037</v>
      </c>
      <c r="E27" s="33" t="s">
        <v>2511</v>
      </c>
      <c r="F27" s="18"/>
      <c r="G27" s="15" t="s">
        <v>2512</v>
      </c>
      <c r="H27" s="16">
        <v>160</v>
      </c>
      <c r="I27" s="16" t="s">
        <v>55</v>
      </c>
      <c r="J27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160</v>
      </c>
      <c r="K27" s="1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27" s="15" t="s">
        <v>25</v>
      </c>
      <c r="M27" s="15"/>
      <c r="N27" s="1"/>
    </row>
    <row r="28" spans="2:18" ht="15" customHeight="1">
      <c r="B28" s="14"/>
      <c r="C28" s="15"/>
      <c r="D28" s="14">
        <v>46041</v>
      </c>
      <c r="E28" s="32" t="s">
        <v>2513</v>
      </c>
      <c r="F28" s="15"/>
      <c r="G28" s="15" t="s">
        <v>2484</v>
      </c>
      <c r="H28" s="16">
        <v>109.48</v>
      </c>
      <c r="I28" s="16" t="s">
        <v>55</v>
      </c>
      <c r="J28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109.48</v>
      </c>
      <c r="K28" s="1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28" s="15" t="s">
        <v>25</v>
      </c>
      <c r="M28" s="15"/>
      <c r="N28" s="1"/>
    </row>
    <row r="29" spans="2:18" ht="15" customHeight="1">
      <c r="B29" s="14"/>
      <c r="C29" s="15"/>
      <c r="D29" s="14">
        <v>46048</v>
      </c>
      <c r="E29" s="32" t="s">
        <v>2514</v>
      </c>
      <c r="F29" s="14">
        <v>46045</v>
      </c>
      <c r="G29" s="15" t="s">
        <v>2484</v>
      </c>
      <c r="H29" s="16">
        <v>96.53</v>
      </c>
      <c r="I29" s="16" t="s">
        <v>55</v>
      </c>
      <c r="J29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96.53</v>
      </c>
      <c r="K29" s="1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46045</v>
      </c>
      <c r="L29" s="2" t="s">
        <v>25</v>
      </c>
      <c r="M29" s="15"/>
      <c r="N29" s="1">
        <v>46045</v>
      </c>
    </row>
    <row r="30" spans="2:18" ht="15" customHeight="1">
      <c r="B30" s="1"/>
      <c r="D30" s="1">
        <v>46046</v>
      </c>
      <c r="E30" s="29" t="s">
        <v>2515</v>
      </c>
      <c r="F30" s="1"/>
      <c r="G30" s="15" t="s">
        <v>2506</v>
      </c>
      <c r="H30" s="2">
        <v>40.119999999999997</v>
      </c>
      <c r="I30" s="2" t="s">
        <v>98</v>
      </c>
      <c r="J30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40.119999999999997</v>
      </c>
      <c r="K30" s="1">
        <v>46046</v>
      </c>
      <c r="L30" s="41" t="s">
        <v>25</v>
      </c>
      <c r="M30"/>
      <c r="N30" s="1"/>
      <c r="R30" t="s">
        <v>32</v>
      </c>
    </row>
    <row r="31" spans="2:18" ht="15" customHeight="1">
      <c r="B31" s="14"/>
      <c r="C31" s="15"/>
      <c r="D31" s="14">
        <v>46048</v>
      </c>
      <c r="E31" s="32" t="s">
        <v>2516</v>
      </c>
      <c r="F31" s="14">
        <v>46048</v>
      </c>
      <c r="G31" s="15" t="s">
        <v>2491</v>
      </c>
      <c r="H31" s="16">
        <v>312.97000000000003</v>
      </c>
      <c r="I31" s="16" t="s">
        <v>55</v>
      </c>
      <c r="J31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312.97000000000003</v>
      </c>
      <c r="K31" s="1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46048</v>
      </c>
      <c r="L31" s="16" t="s">
        <v>25</v>
      </c>
      <c r="M31" s="15"/>
      <c r="N31" s="1">
        <v>46048</v>
      </c>
    </row>
    <row r="32" spans="2:18" ht="15" customHeight="1">
      <c r="B32" s="1"/>
      <c r="D32" s="1">
        <v>46053</v>
      </c>
      <c r="E32" s="29" t="s">
        <v>2517</v>
      </c>
      <c r="F32" s="1"/>
      <c r="G32" t="s">
        <v>2518</v>
      </c>
      <c r="H32" s="2">
        <v>573.54</v>
      </c>
      <c r="I32" s="2" t="s">
        <v>98</v>
      </c>
      <c r="J32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573.54</v>
      </c>
      <c r="K32" s="1">
        <v>46055</v>
      </c>
      <c r="L32" t="s">
        <v>25</v>
      </c>
      <c r="M32"/>
      <c r="N32" s="1"/>
    </row>
    <row r="33" spans="2:18" ht="15" customHeight="1">
      <c r="B33" s="1"/>
      <c r="D33" s="1">
        <v>46048</v>
      </c>
      <c r="E33" s="34" t="s">
        <v>2519</v>
      </c>
      <c r="F33" s="1"/>
      <c r="G33" s="15" t="s">
        <v>2506</v>
      </c>
      <c r="H33" s="2">
        <v>74.05</v>
      </c>
      <c r="I33" s="2" t="s">
        <v>98</v>
      </c>
      <c r="J33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74.05</v>
      </c>
      <c r="K33" s="1">
        <v>46048</v>
      </c>
      <c r="L33" t="s">
        <v>25</v>
      </c>
      <c r="M33"/>
      <c r="N33" s="1"/>
      <c r="R33" t="s">
        <v>32</v>
      </c>
    </row>
    <row r="34" spans="2:18" ht="15" customHeight="1">
      <c r="B34" s="14"/>
      <c r="C34" s="15"/>
      <c r="D34" s="14">
        <v>46044</v>
      </c>
      <c r="E34" s="32">
        <v>174</v>
      </c>
      <c r="F34" s="14">
        <v>46051</v>
      </c>
      <c r="G34" s="15" t="s">
        <v>2475</v>
      </c>
      <c r="H34" s="16">
        <v>726</v>
      </c>
      <c r="I34" s="16" t="s">
        <v>55</v>
      </c>
      <c r="J34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726</v>
      </c>
      <c r="K34" s="1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46051</v>
      </c>
      <c r="L34" s="15" t="s">
        <v>25</v>
      </c>
      <c r="M34" s="15" t="s">
        <v>2520</v>
      </c>
      <c r="N34" s="1">
        <v>46051</v>
      </c>
      <c r="O34" t="s">
        <v>94</v>
      </c>
    </row>
    <row r="35" spans="2:18" ht="15" customHeight="1">
      <c r="B35" s="14"/>
      <c r="C35" s="15"/>
      <c r="D35" s="14">
        <v>46051</v>
      </c>
      <c r="E35" s="32">
        <v>3798</v>
      </c>
      <c r="F35" s="14">
        <v>46051</v>
      </c>
      <c r="G35" s="15" t="s">
        <v>2521</v>
      </c>
      <c r="H35" s="16">
        <v>181.5</v>
      </c>
      <c r="I35" s="16" t="s">
        <v>55</v>
      </c>
      <c r="J35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181.5</v>
      </c>
      <c r="K35" s="1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46051</v>
      </c>
      <c r="L35" s="15" t="s">
        <v>25</v>
      </c>
      <c r="M35" s="15" t="s">
        <v>2522</v>
      </c>
      <c r="N35" s="1">
        <v>46051</v>
      </c>
      <c r="O35" t="s">
        <v>27</v>
      </c>
    </row>
    <row r="36" spans="2:18" ht="15" customHeight="1">
      <c r="B36" s="14"/>
      <c r="C36" s="15"/>
      <c r="D36" s="14">
        <v>46053</v>
      </c>
      <c r="E36" s="32" t="s">
        <v>2523</v>
      </c>
      <c r="F36" s="14">
        <v>46051</v>
      </c>
      <c r="G36" s="15" t="s">
        <v>2464</v>
      </c>
      <c r="H36" s="16">
        <v>775</v>
      </c>
      <c r="I36" s="16" t="s">
        <v>55</v>
      </c>
      <c r="J36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775</v>
      </c>
      <c r="K36" s="1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46051</v>
      </c>
      <c r="L36" s="15" t="s">
        <v>25</v>
      </c>
      <c r="M36" s="15" t="s">
        <v>2524</v>
      </c>
      <c r="N36" s="1">
        <v>46051</v>
      </c>
      <c r="O36" t="s">
        <v>45</v>
      </c>
    </row>
    <row r="37" spans="2:18" ht="15" customHeight="1">
      <c r="B37" s="14"/>
      <c r="C37" s="15"/>
      <c r="D37" s="14">
        <v>46027</v>
      </c>
      <c r="E37" s="32" t="s">
        <v>2525</v>
      </c>
      <c r="F37" s="14"/>
      <c r="G37" s="15" t="s">
        <v>2526</v>
      </c>
      <c r="H37" s="16">
        <v>375.41</v>
      </c>
      <c r="I37" s="16" t="s">
        <v>98</v>
      </c>
      <c r="J37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375.41</v>
      </c>
      <c r="K37" s="1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7" s="15" t="s">
        <v>25</v>
      </c>
      <c r="M37"/>
      <c r="N37" s="1">
        <v>46042</v>
      </c>
    </row>
    <row r="38" spans="2:18" ht="15" customHeight="1">
      <c r="B38" s="1"/>
      <c r="D38" s="1">
        <v>46054</v>
      </c>
      <c r="E38" s="29" t="s">
        <v>2527</v>
      </c>
      <c r="F38" s="1"/>
      <c r="G38" t="s">
        <v>2461</v>
      </c>
      <c r="H38" s="2">
        <v>60.97</v>
      </c>
      <c r="I38" s="2" t="s">
        <v>98</v>
      </c>
      <c r="J38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60.97</v>
      </c>
      <c r="K38" s="1">
        <v>46059</v>
      </c>
      <c r="L38" t="s">
        <v>25</v>
      </c>
      <c r="M38" t="s">
        <v>2528</v>
      </c>
      <c r="N38" s="1"/>
    </row>
    <row r="39" spans="2:18" ht="15" customHeight="1">
      <c r="B39" s="1"/>
      <c r="D39" s="1">
        <v>46054</v>
      </c>
      <c r="E39" s="29" t="s">
        <v>2529</v>
      </c>
      <c r="F39" s="1"/>
      <c r="G39" t="s">
        <v>2461</v>
      </c>
      <c r="H39" s="2">
        <v>58.9</v>
      </c>
      <c r="I39" s="2" t="s">
        <v>98</v>
      </c>
      <c r="J39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58.9</v>
      </c>
      <c r="K39" s="1">
        <v>46059</v>
      </c>
      <c r="L39" t="s">
        <v>25</v>
      </c>
      <c r="M39"/>
      <c r="N39" s="1"/>
    </row>
    <row r="40" spans="2:18" ht="15" customHeight="1">
      <c r="B40" s="1"/>
      <c r="D40" s="1">
        <v>46056</v>
      </c>
      <c r="E40" s="29">
        <v>1852182190</v>
      </c>
      <c r="F40" s="1"/>
      <c r="G40" t="s">
        <v>2530</v>
      </c>
      <c r="H40" s="2">
        <v>46.55</v>
      </c>
      <c r="I40" s="2" t="s">
        <v>55</v>
      </c>
      <c r="J40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46.55</v>
      </c>
      <c r="K40" s="1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40" t="s">
        <v>25</v>
      </c>
      <c r="M40"/>
      <c r="N40" s="1"/>
    </row>
    <row r="41" spans="2:18" ht="15" customHeight="1">
      <c r="B41" s="1"/>
      <c r="D41" s="1">
        <v>46053</v>
      </c>
      <c r="E41" s="31" t="s">
        <v>2531</v>
      </c>
      <c r="G41" t="s">
        <v>2532</v>
      </c>
      <c r="H41" s="2">
        <v>-924.51</v>
      </c>
      <c r="I41" s="2" t="s">
        <v>98</v>
      </c>
      <c r="J41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-924.51</v>
      </c>
      <c r="K41" s="1">
        <v>46063</v>
      </c>
      <c r="L41" t="s">
        <v>25</v>
      </c>
      <c r="M41"/>
      <c r="N41" s="1"/>
      <c r="Q41" t="s">
        <v>2533</v>
      </c>
    </row>
    <row r="42" spans="2:18" ht="15" customHeight="1">
      <c r="B42" s="1"/>
      <c r="D42" s="1">
        <v>46053</v>
      </c>
      <c r="E42" s="29"/>
      <c r="G42" t="s">
        <v>2534</v>
      </c>
      <c r="H42" s="2">
        <f>22.66+3.58</f>
        <v>26.240000000000002</v>
      </c>
      <c r="I42" s="2" t="s">
        <v>55</v>
      </c>
      <c r="J42" s="10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26.240000000000002</v>
      </c>
      <c r="K42" s="1">
        <v>46059</v>
      </c>
      <c r="L42" t="s">
        <v>25</v>
      </c>
      <c r="M42" t="s">
        <v>2535</v>
      </c>
      <c r="N42" s="1">
        <v>46058</v>
      </c>
      <c r="O42" t="s">
        <v>27</v>
      </c>
    </row>
    <row r="43" spans="2:18" ht="15" customHeight="1">
      <c r="B43" s="1"/>
      <c r="D43" s="1">
        <v>46053</v>
      </c>
      <c r="E43" s="29"/>
      <c r="G43" t="s">
        <v>2534</v>
      </c>
      <c r="H43" s="2">
        <v>180.14</v>
      </c>
      <c r="I43" s="2" t="s">
        <v>55</v>
      </c>
      <c r="J43" s="10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180.14</v>
      </c>
      <c r="K43" s="1">
        <v>46059</v>
      </c>
      <c r="L43" t="s">
        <v>25</v>
      </c>
      <c r="M43" t="s">
        <v>2536</v>
      </c>
      <c r="N43" s="1">
        <v>46058</v>
      </c>
      <c r="O43" t="s">
        <v>27</v>
      </c>
    </row>
    <row r="44" spans="2:18" ht="15" customHeight="1">
      <c r="B44" s="1"/>
      <c r="D44" s="1">
        <v>46053</v>
      </c>
      <c r="E44" s="29" t="s">
        <v>2537</v>
      </c>
      <c r="G44" t="s">
        <v>2538</v>
      </c>
      <c r="H44" s="2">
        <v>281.58999999999997</v>
      </c>
      <c r="I44" s="2" t="s">
        <v>98</v>
      </c>
      <c r="J44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281.58999999999997</v>
      </c>
      <c r="K44" s="1">
        <v>46056</v>
      </c>
      <c r="L44" t="s">
        <v>25</v>
      </c>
      <c r="M44"/>
    </row>
    <row r="45" spans="2:18" ht="15" customHeight="1">
      <c r="B45" s="1">
        <v>46056</v>
      </c>
      <c r="C45" t="s">
        <v>2539</v>
      </c>
      <c r="D45" s="1">
        <v>46072</v>
      </c>
      <c r="E45" s="29" t="s">
        <v>2540</v>
      </c>
      <c r="G45" t="s">
        <v>2541</v>
      </c>
      <c r="H45" s="2">
        <v>159.9</v>
      </c>
      <c r="I45" s="2" t="s">
        <v>55</v>
      </c>
      <c r="J45" s="10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159.9</v>
      </c>
      <c r="K45" s="1">
        <v>46059</v>
      </c>
      <c r="L45" t="s">
        <v>25</v>
      </c>
      <c r="M45" t="s">
        <v>2542</v>
      </c>
      <c r="N45" s="1">
        <v>46058</v>
      </c>
      <c r="O45" t="s">
        <v>27</v>
      </c>
    </row>
    <row r="46" spans="2:18" ht="15" customHeight="1">
      <c r="B46" s="1"/>
      <c r="D46" s="1">
        <v>46056</v>
      </c>
      <c r="E46" s="29" t="s">
        <v>2543</v>
      </c>
      <c r="G46" t="s">
        <v>2484</v>
      </c>
      <c r="H46" s="2">
        <v>87.09</v>
      </c>
      <c r="I46" s="2" t="s">
        <v>43</v>
      </c>
      <c r="J46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87.09</v>
      </c>
      <c r="K46" s="1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46056</v>
      </c>
      <c r="L46" t="s">
        <v>25</v>
      </c>
      <c r="M46"/>
      <c r="N46" s="1">
        <v>46056</v>
      </c>
    </row>
    <row r="47" spans="2:18" ht="15" customHeight="1">
      <c r="B47" s="1"/>
      <c r="D47" s="1">
        <v>46056</v>
      </c>
      <c r="E47" s="29" t="s">
        <v>2544</v>
      </c>
      <c r="G47" t="s">
        <v>2545</v>
      </c>
      <c r="H47" s="2">
        <v>89.54</v>
      </c>
      <c r="I47" s="2" t="s">
        <v>55</v>
      </c>
      <c r="J47" s="10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89.54</v>
      </c>
      <c r="K47" s="1">
        <v>46059</v>
      </c>
      <c r="L47" t="s">
        <v>25</v>
      </c>
      <c r="M47" t="s">
        <v>2546</v>
      </c>
      <c r="N47" s="1">
        <v>46058</v>
      </c>
      <c r="O47" t="s">
        <v>27</v>
      </c>
    </row>
    <row r="48" spans="2:18" ht="15" customHeight="1">
      <c r="B48" s="1"/>
      <c r="D48" s="1">
        <v>46057</v>
      </c>
      <c r="E48" s="29" t="s">
        <v>2547</v>
      </c>
      <c r="G48" t="s">
        <v>2548</v>
      </c>
      <c r="H48" s="2">
        <v>3122.1</v>
      </c>
      <c r="I48" s="2" t="s">
        <v>55</v>
      </c>
      <c r="J48" s="10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3122.1</v>
      </c>
      <c r="K48" s="1">
        <v>46059</v>
      </c>
      <c r="L48" t="s">
        <v>25</v>
      </c>
      <c r="M48" t="s">
        <v>2549</v>
      </c>
      <c r="N48" s="1">
        <v>46058</v>
      </c>
      <c r="O48" t="s">
        <v>27</v>
      </c>
    </row>
    <row r="49" spans="2:18" ht="15" customHeight="1">
      <c r="B49" s="1"/>
      <c r="D49" s="1">
        <v>46042</v>
      </c>
      <c r="E49" s="29" t="s">
        <v>2550</v>
      </c>
      <c r="G49" t="s">
        <v>2551</v>
      </c>
      <c r="H49" s="2">
        <v>15.71</v>
      </c>
      <c r="I49" s="2" t="s">
        <v>55</v>
      </c>
      <c r="J49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15.71</v>
      </c>
      <c r="K49" s="1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49" t="s">
        <v>25</v>
      </c>
      <c r="M49"/>
      <c r="N49" s="1"/>
    </row>
    <row r="50" spans="2:18" ht="15" customHeight="1">
      <c r="B50" s="1"/>
      <c r="D50" s="1">
        <v>46049</v>
      </c>
      <c r="E50" s="29" t="s">
        <v>2552</v>
      </c>
      <c r="G50" t="s">
        <v>2551</v>
      </c>
      <c r="H50" s="2">
        <v>10.89</v>
      </c>
      <c r="I50" s="2" t="s">
        <v>55</v>
      </c>
      <c r="J50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10.89</v>
      </c>
      <c r="K50" s="1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50" t="s">
        <v>25</v>
      </c>
      <c r="M50"/>
      <c r="N50" s="1"/>
    </row>
    <row r="51" spans="2:18" ht="15" customHeight="1">
      <c r="B51" s="1"/>
      <c r="D51" s="1">
        <v>45996</v>
      </c>
      <c r="E51" s="29" t="s">
        <v>2553</v>
      </c>
      <c r="F51">
        <v>46361</v>
      </c>
      <c r="G51" t="s">
        <v>2495</v>
      </c>
      <c r="H51" s="2">
        <v>53.85</v>
      </c>
      <c r="I51" s="2" t="s">
        <v>55</v>
      </c>
      <c r="J51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53.85</v>
      </c>
      <c r="K51" s="1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46361</v>
      </c>
      <c r="L51" t="s">
        <v>25</v>
      </c>
      <c r="M51"/>
      <c r="N51" s="1"/>
    </row>
    <row r="52" spans="2:18" ht="15" customHeight="1">
      <c r="B52" s="1"/>
      <c r="D52" s="1">
        <v>46057</v>
      </c>
      <c r="E52" s="29">
        <v>182</v>
      </c>
      <c r="G52" t="s">
        <v>2475</v>
      </c>
      <c r="H52" s="2">
        <v>605</v>
      </c>
      <c r="I52" s="2" t="s">
        <v>55</v>
      </c>
      <c r="J52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605</v>
      </c>
      <c r="K52" s="1">
        <v>46059</v>
      </c>
      <c r="L52" t="s">
        <v>25</v>
      </c>
      <c r="M52"/>
      <c r="N52" s="1">
        <v>46058</v>
      </c>
      <c r="O52" t="s">
        <v>94</v>
      </c>
    </row>
    <row r="53" spans="2:18" ht="15" customHeight="1">
      <c r="B53" s="1"/>
      <c r="D53" s="1">
        <v>46059</v>
      </c>
      <c r="E53" s="29">
        <v>57126</v>
      </c>
      <c r="G53" t="s">
        <v>2554</v>
      </c>
      <c r="H53" s="2">
        <v>76.7</v>
      </c>
      <c r="I53" s="2" t="s">
        <v>43</v>
      </c>
      <c r="J53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76.7</v>
      </c>
      <c r="K53" s="1">
        <v>46066</v>
      </c>
      <c r="L53" t="s">
        <v>25</v>
      </c>
      <c r="M53" t="s">
        <v>2555</v>
      </c>
      <c r="N53" s="1">
        <v>46065</v>
      </c>
      <c r="O53" t="s">
        <v>27</v>
      </c>
    </row>
    <row r="54" spans="2:18" ht="15" customHeight="1">
      <c r="B54" s="1"/>
      <c r="D54" s="1">
        <v>46058</v>
      </c>
      <c r="E54" s="29" t="s">
        <v>2556</v>
      </c>
      <c r="G54" t="s">
        <v>2526</v>
      </c>
      <c r="H54" s="2">
        <v>410.7</v>
      </c>
      <c r="I54" s="2" t="s">
        <v>98</v>
      </c>
      <c r="J54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410.7</v>
      </c>
      <c r="K54" s="1">
        <v>46058</v>
      </c>
      <c r="L54" t="s">
        <v>25</v>
      </c>
      <c r="M54"/>
      <c r="N54" s="1">
        <v>46072</v>
      </c>
    </row>
    <row r="55" spans="2:18" ht="15" customHeight="1">
      <c r="B55" s="1"/>
      <c r="D55" s="1">
        <v>46062</v>
      </c>
      <c r="E55" s="29">
        <v>202600032</v>
      </c>
      <c r="G55" t="s">
        <v>2489</v>
      </c>
      <c r="H55" s="2">
        <v>987.36</v>
      </c>
      <c r="I55" s="2" t="s">
        <v>98</v>
      </c>
      <c r="J55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987.36</v>
      </c>
      <c r="K55" s="1">
        <v>46069</v>
      </c>
      <c r="L55" t="s">
        <v>25</v>
      </c>
      <c r="M55" t="s">
        <v>2557</v>
      </c>
      <c r="N55" s="1"/>
    </row>
    <row r="56" spans="2:18" ht="15" customHeight="1">
      <c r="B56" s="1"/>
      <c r="D56" s="1">
        <v>46064</v>
      </c>
      <c r="E56" s="29" t="s">
        <v>2558</v>
      </c>
      <c r="G56" t="s">
        <v>2484</v>
      </c>
      <c r="H56" s="2">
        <v>89.27</v>
      </c>
      <c r="I56" s="2" t="s">
        <v>43</v>
      </c>
      <c r="J56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89.27</v>
      </c>
      <c r="K56" s="1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46064</v>
      </c>
      <c r="L56" t="s">
        <v>25</v>
      </c>
      <c r="M56" t="s">
        <v>2559</v>
      </c>
      <c r="N56" s="1"/>
    </row>
    <row r="57" spans="2:18" ht="15" customHeight="1">
      <c r="B57" s="1"/>
      <c r="D57" s="1">
        <v>46063</v>
      </c>
      <c r="E57" s="29">
        <v>1852196030</v>
      </c>
      <c r="G57" t="s">
        <v>2530</v>
      </c>
      <c r="H57" s="2">
        <v>53.2</v>
      </c>
      <c r="I57" s="2" t="s">
        <v>55</v>
      </c>
      <c r="J57" s="2">
        <v>53.2</v>
      </c>
      <c r="K57" s="1"/>
      <c r="L57" t="s">
        <v>25</v>
      </c>
      <c r="M57"/>
      <c r="N57" s="1"/>
    </row>
    <row r="58" spans="2:18" ht="15" customHeight="1">
      <c r="B58" s="1"/>
      <c r="D58" s="1">
        <v>46059</v>
      </c>
      <c r="E58" s="29">
        <v>2603311</v>
      </c>
      <c r="G58" t="s">
        <v>2560</v>
      </c>
      <c r="H58" s="2">
        <v>30</v>
      </c>
      <c r="I58" s="2" t="s">
        <v>43</v>
      </c>
      <c r="J58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30</v>
      </c>
      <c r="K58" s="1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46059</v>
      </c>
      <c r="L58" t="s">
        <v>25</v>
      </c>
      <c r="M58"/>
      <c r="N58" s="1"/>
    </row>
    <row r="59" spans="2:18" ht="15" customHeight="1">
      <c r="B59" s="1"/>
      <c r="D59" s="1">
        <v>46064</v>
      </c>
      <c r="E59" s="29" t="s">
        <v>2561</v>
      </c>
      <c r="G59" t="s">
        <v>2495</v>
      </c>
      <c r="H59" s="2">
        <v>90.15</v>
      </c>
      <c r="I59" s="2" t="s">
        <v>55</v>
      </c>
      <c r="J59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90.15</v>
      </c>
      <c r="K59" s="1">
        <v>46072</v>
      </c>
      <c r="L59" t="s">
        <v>25</v>
      </c>
      <c r="M59"/>
      <c r="N59" s="1">
        <v>46072</v>
      </c>
      <c r="O59" t="s">
        <v>27</v>
      </c>
      <c r="R59" t="s">
        <v>32</v>
      </c>
    </row>
    <row r="60" spans="2:18" ht="15" customHeight="1">
      <c r="B60" s="1"/>
      <c r="D60" s="1">
        <v>46062</v>
      </c>
      <c r="E60" s="29" t="s">
        <v>2562</v>
      </c>
      <c r="G60" t="s">
        <v>2538</v>
      </c>
      <c r="H60" s="2">
        <v>614.49</v>
      </c>
      <c r="I60" s="2" t="s">
        <v>98</v>
      </c>
      <c r="J60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614.49</v>
      </c>
      <c r="K60" s="1">
        <v>46065</v>
      </c>
      <c r="L60" t="s">
        <v>25</v>
      </c>
      <c r="M60"/>
      <c r="N60" s="1"/>
    </row>
    <row r="61" spans="2:18" ht="15" customHeight="1">
      <c r="B61" s="1"/>
      <c r="D61" s="1">
        <v>46029</v>
      </c>
      <c r="E61" s="31" t="s">
        <v>2563</v>
      </c>
      <c r="G61" t="s">
        <v>2538</v>
      </c>
      <c r="H61" s="2">
        <v>615.72</v>
      </c>
      <c r="I61" s="2" t="s">
        <v>98</v>
      </c>
      <c r="J61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615.72</v>
      </c>
      <c r="K61" s="3">
        <v>46031</v>
      </c>
      <c r="L61" t="s">
        <v>25</v>
      </c>
      <c r="M61"/>
      <c r="N61" s="1"/>
    </row>
    <row r="62" spans="2:18" ht="15" customHeight="1">
      <c r="B62" s="1"/>
      <c r="D62" s="1">
        <v>46043</v>
      </c>
      <c r="E62" s="29" t="s">
        <v>2564</v>
      </c>
      <c r="G62" t="s">
        <v>2565</v>
      </c>
      <c r="H62" s="2">
        <v>14.23</v>
      </c>
      <c r="I62" s="2" t="s">
        <v>98</v>
      </c>
      <c r="J62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14.23</v>
      </c>
      <c r="K62" s="3">
        <v>46047</v>
      </c>
      <c r="L62" t="s">
        <v>25</v>
      </c>
      <c r="M62"/>
      <c r="N62" s="1"/>
    </row>
    <row r="63" spans="2:18" ht="15" customHeight="1">
      <c r="B63" s="1"/>
      <c r="D63" s="1">
        <v>46049</v>
      </c>
      <c r="E63" s="29" t="s">
        <v>2566</v>
      </c>
      <c r="G63" t="s">
        <v>2484</v>
      </c>
      <c r="H63" s="2">
        <v>98.89</v>
      </c>
      <c r="I63" s="2" t="s">
        <v>43</v>
      </c>
      <c r="J63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98.89</v>
      </c>
      <c r="K63" s="3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46049</v>
      </c>
      <c r="L63" t="s">
        <v>25</v>
      </c>
      <c r="M63"/>
      <c r="N63" s="1"/>
    </row>
    <row r="64" spans="2:18" ht="15" customHeight="1">
      <c r="B64" s="1"/>
      <c r="D64" s="1">
        <v>46066</v>
      </c>
      <c r="E64" s="29" t="s">
        <v>2567</v>
      </c>
      <c r="G64" t="s">
        <v>2568</v>
      </c>
      <c r="H64" s="2">
        <v>665.5</v>
      </c>
      <c r="I64" s="2" t="s">
        <v>43</v>
      </c>
      <c r="J64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665.5</v>
      </c>
      <c r="K64" s="3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46066</v>
      </c>
      <c r="L64" t="s">
        <v>25</v>
      </c>
      <c r="M64"/>
      <c r="N64" s="1"/>
    </row>
    <row r="65" spans="2:17" ht="15" customHeight="1">
      <c r="B65" s="1"/>
      <c r="D65" s="1">
        <v>46023</v>
      </c>
      <c r="E65" s="29" t="s">
        <v>2569</v>
      </c>
      <c r="G65" t="s">
        <v>2461</v>
      </c>
      <c r="H65" s="2">
        <v>58.72</v>
      </c>
      <c r="I65" s="2" t="s">
        <v>98</v>
      </c>
      <c r="J65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58.72</v>
      </c>
      <c r="K65" s="3">
        <v>46027</v>
      </c>
      <c r="L65" t="s">
        <v>25</v>
      </c>
      <c r="M65" t="s">
        <v>2570</v>
      </c>
      <c r="N65" s="1"/>
    </row>
    <row r="66" spans="2:17" ht="15" customHeight="1">
      <c r="B66" s="1"/>
      <c r="D66" s="1">
        <v>46023</v>
      </c>
      <c r="E66" s="29" t="s">
        <v>2571</v>
      </c>
      <c r="G66" t="s">
        <v>2461</v>
      </c>
      <c r="H66" s="2">
        <v>60.97</v>
      </c>
      <c r="I66" s="2" t="s">
        <v>98</v>
      </c>
      <c r="J66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60.97</v>
      </c>
      <c r="K66" s="3">
        <v>46027</v>
      </c>
      <c r="L66" t="s">
        <v>25</v>
      </c>
      <c r="M66" t="s">
        <v>2572</v>
      </c>
      <c r="N66" s="1">
        <v>46055</v>
      </c>
    </row>
    <row r="67" spans="2:17" ht="15" customHeight="1">
      <c r="B67" s="1"/>
      <c r="D67" s="1">
        <v>46054</v>
      </c>
      <c r="E67" s="29" t="s">
        <v>2573</v>
      </c>
      <c r="G67" t="s">
        <v>2461</v>
      </c>
      <c r="H67" s="2">
        <v>58.72</v>
      </c>
      <c r="I67" s="2" t="s">
        <v>98</v>
      </c>
      <c r="J67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58.72</v>
      </c>
      <c r="K67" s="3">
        <v>46027</v>
      </c>
      <c r="L67" t="s">
        <v>25</v>
      </c>
      <c r="M67" t="s">
        <v>2570</v>
      </c>
      <c r="N67" s="1"/>
    </row>
    <row r="68" spans="2:17" ht="15" customHeight="1">
      <c r="B68" s="1"/>
      <c r="D68" s="1">
        <v>46071</v>
      </c>
      <c r="E68" s="31" t="s">
        <v>2574</v>
      </c>
      <c r="G68" t="s">
        <v>1498</v>
      </c>
      <c r="H68" s="2">
        <v>656.02</v>
      </c>
      <c r="I68" s="2" t="s">
        <v>43</v>
      </c>
      <c r="J68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656.02</v>
      </c>
      <c r="K68" s="3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46071</v>
      </c>
      <c r="L68" t="s">
        <v>25</v>
      </c>
      <c r="M68" t="s">
        <v>2575</v>
      </c>
      <c r="N68" s="1"/>
    </row>
    <row r="69" spans="2:17" ht="15" customHeight="1">
      <c r="B69" s="1"/>
      <c r="D69" s="1">
        <v>46069</v>
      </c>
      <c r="E69" s="29" t="s">
        <v>2576</v>
      </c>
      <c r="G69" t="s">
        <v>2498</v>
      </c>
      <c r="H69" s="2">
        <v>242.5</v>
      </c>
      <c r="I69" s="2" t="s">
        <v>98</v>
      </c>
      <c r="J69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242.5</v>
      </c>
      <c r="K69" s="3">
        <v>46079</v>
      </c>
      <c r="L69" t="s">
        <v>25</v>
      </c>
      <c r="M69"/>
      <c r="N69" s="1"/>
    </row>
    <row r="70" spans="2:17" ht="15" customHeight="1">
      <c r="B70" s="1"/>
      <c r="D70" s="1">
        <v>46070</v>
      </c>
      <c r="E70" s="29" t="s">
        <v>2577</v>
      </c>
      <c r="G70" t="s">
        <v>2545</v>
      </c>
      <c r="H70" s="2">
        <v>604.4</v>
      </c>
      <c r="I70" s="2" t="s">
        <v>55</v>
      </c>
      <c r="J70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604.4</v>
      </c>
      <c r="K70" s="1">
        <v>46072</v>
      </c>
      <c r="L70" t="s">
        <v>25</v>
      </c>
      <c r="M70" t="s">
        <v>2578</v>
      </c>
      <c r="N70" s="1">
        <v>46072</v>
      </c>
      <c r="O70" t="s">
        <v>27</v>
      </c>
    </row>
    <row r="71" spans="2:17" ht="15" customHeight="1">
      <c r="B71" s="1"/>
      <c r="D71" s="1">
        <v>46062</v>
      </c>
      <c r="E71" s="29" t="s">
        <v>2579</v>
      </c>
      <c r="G71" t="s">
        <v>2477</v>
      </c>
      <c r="H71" s="2">
        <v>20.95</v>
      </c>
      <c r="I71" s="2" t="s">
        <v>43</v>
      </c>
      <c r="J71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20.95</v>
      </c>
      <c r="K71" s="1">
        <v>46072</v>
      </c>
      <c r="L71" t="s">
        <v>25</v>
      </c>
      <c r="M71" t="s">
        <v>2580</v>
      </c>
      <c r="N71" s="1">
        <v>46072</v>
      </c>
      <c r="O71" t="s">
        <v>27</v>
      </c>
    </row>
    <row r="72" spans="2:17" ht="15" customHeight="1">
      <c r="B72" s="1"/>
      <c r="D72" s="1">
        <v>46071</v>
      </c>
      <c r="E72" s="29" t="s">
        <v>665</v>
      </c>
      <c r="G72" t="s">
        <v>2581</v>
      </c>
      <c r="H72" s="2">
        <v>1331</v>
      </c>
      <c r="I72" s="2" t="s">
        <v>43</v>
      </c>
      <c r="J72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1331</v>
      </c>
      <c r="K72" s="1">
        <v>46072</v>
      </c>
      <c r="L72" t="s">
        <v>25</v>
      </c>
      <c r="M72"/>
      <c r="N72" s="1">
        <v>46072</v>
      </c>
      <c r="O72" t="s">
        <v>183</v>
      </c>
    </row>
    <row r="73" spans="2:17" ht="15" customHeight="1">
      <c r="B73" s="1"/>
      <c r="D73" s="1">
        <v>46072</v>
      </c>
      <c r="E73" s="29" t="s">
        <v>2582</v>
      </c>
      <c r="G73" t="s">
        <v>2541</v>
      </c>
      <c r="H73" s="2">
        <v>43.43</v>
      </c>
      <c r="I73" s="2" t="s">
        <v>55</v>
      </c>
      <c r="J73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43.43</v>
      </c>
      <c r="K73" s="1">
        <v>46072</v>
      </c>
      <c r="L73" t="s">
        <v>25</v>
      </c>
      <c r="M73" t="s">
        <v>2583</v>
      </c>
      <c r="N73" s="1">
        <v>46072</v>
      </c>
      <c r="O73" t="s">
        <v>27</v>
      </c>
      <c r="Q73" t="s">
        <v>2584</v>
      </c>
    </row>
    <row r="74" spans="2:17" ht="15" customHeight="1">
      <c r="B74" s="1"/>
      <c r="D74" s="1">
        <v>46071</v>
      </c>
      <c r="E74" s="29">
        <v>2600046</v>
      </c>
      <c r="G74" t="s">
        <v>2585</v>
      </c>
      <c r="H74" s="2">
        <v>9.3000000000000007</v>
      </c>
      <c r="I74" s="2" t="s">
        <v>43</v>
      </c>
      <c r="J74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9.3000000000000007</v>
      </c>
      <c r="K74" s="1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46071</v>
      </c>
      <c r="L74" t="s">
        <v>25</v>
      </c>
      <c r="M74" t="s">
        <v>2586</v>
      </c>
      <c r="N74" s="1"/>
    </row>
    <row r="75" spans="2:17" ht="15" customHeight="1">
      <c r="B75" s="1"/>
      <c r="D75" s="1">
        <v>46071</v>
      </c>
      <c r="E75" s="29">
        <v>2026000106</v>
      </c>
      <c r="G75" t="s">
        <v>2587</v>
      </c>
      <c r="H75" s="2">
        <v>9.9499999999999993</v>
      </c>
      <c r="I75" s="2" t="s">
        <v>43</v>
      </c>
      <c r="J75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9.9499999999999993</v>
      </c>
      <c r="K75" s="1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46071</v>
      </c>
      <c r="L75" t="s">
        <v>25</v>
      </c>
      <c r="M75" t="s">
        <v>2586</v>
      </c>
      <c r="N75" s="1"/>
    </row>
    <row r="76" spans="2:17" ht="15" customHeight="1">
      <c r="B76" s="1"/>
      <c r="D76" s="1">
        <v>46066</v>
      </c>
      <c r="E76" s="29">
        <v>2600043</v>
      </c>
      <c r="G76" t="s">
        <v>2585</v>
      </c>
      <c r="H76" s="2">
        <v>15.41</v>
      </c>
      <c r="I76" s="2" t="s">
        <v>43</v>
      </c>
      <c r="J76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15.41</v>
      </c>
      <c r="K76" s="1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46066</v>
      </c>
      <c r="L76" t="s">
        <v>25</v>
      </c>
      <c r="M76" t="s">
        <v>2586</v>
      </c>
      <c r="N76" s="1"/>
    </row>
    <row r="77" spans="2:17" ht="15" customHeight="1">
      <c r="B77" s="1"/>
      <c r="D77" s="1">
        <v>46071</v>
      </c>
      <c r="E77" s="29">
        <v>2026000105</v>
      </c>
      <c r="G77" t="s">
        <v>2587</v>
      </c>
      <c r="H77" s="2">
        <v>60</v>
      </c>
      <c r="I77" s="2" t="s">
        <v>43</v>
      </c>
      <c r="J77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60</v>
      </c>
      <c r="K77" s="1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46071</v>
      </c>
      <c r="L77" t="s">
        <v>25</v>
      </c>
      <c r="M77" t="s">
        <v>2586</v>
      </c>
      <c r="N77" s="1"/>
    </row>
    <row r="78" spans="2:17" ht="15" customHeight="1">
      <c r="B78" s="1"/>
      <c r="D78" s="1">
        <v>46071</v>
      </c>
      <c r="E78" s="29" t="s">
        <v>2588</v>
      </c>
      <c r="G78" t="s">
        <v>2461</v>
      </c>
      <c r="H78" s="2">
        <v>177.94</v>
      </c>
      <c r="I78" s="2" t="s">
        <v>98</v>
      </c>
      <c r="J78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177.94</v>
      </c>
      <c r="K78" s="1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78" t="s">
        <v>25</v>
      </c>
      <c r="M78"/>
      <c r="N78" s="1"/>
    </row>
    <row r="79" spans="2:17" ht="15" customHeight="1">
      <c r="B79" s="1"/>
      <c r="D79" s="1">
        <v>46071</v>
      </c>
      <c r="E79" s="29">
        <v>1852205701</v>
      </c>
      <c r="G79" t="s">
        <v>2530</v>
      </c>
      <c r="H79" s="2">
        <v>49</v>
      </c>
      <c r="I79" s="2" t="s">
        <v>43</v>
      </c>
      <c r="J79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49</v>
      </c>
      <c r="K79" s="1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46071</v>
      </c>
      <c r="L79" t="s">
        <v>25</v>
      </c>
      <c r="M79"/>
      <c r="N79" s="1"/>
    </row>
    <row r="80" spans="2:17" ht="15" customHeight="1">
      <c r="B80" s="1"/>
      <c r="D80" s="1">
        <v>46072</v>
      </c>
      <c r="E80" s="29" t="s">
        <v>2589</v>
      </c>
      <c r="G80" t="s">
        <v>2568</v>
      </c>
      <c r="H80" s="2">
        <v>446.49</v>
      </c>
      <c r="I80" s="2" t="s">
        <v>43</v>
      </c>
      <c r="J80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446.49</v>
      </c>
      <c r="K80" s="1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46072</v>
      </c>
      <c r="L80" t="s">
        <v>25</v>
      </c>
      <c r="M80"/>
      <c r="N80" s="1"/>
    </row>
    <row r="81" spans="1:18" ht="15" customHeight="1">
      <c r="B81" s="48"/>
      <c r="C81" s="49"/>
      <c r="D81" s="48">
        <v>46073</v>
      </c>
      <c r="E81" s="50" t="s">
        <v>2590</v>
      </c>
      <c r="F81" s="49"/>
      <c r="G81" s="49" t="s">
        <v>2484</v>
      </c>
      <c r="H81" s="51">
        <v>149</v>
      </c>
      <c r="I81" s="51" t="s">
        <v>43</v>
      </c>
      <c r="J8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149</v>
      </c>
      <c r="K81" s="48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46073</v>
      </c>
      <c r="L81" s="49" t="s">
        <v>25</v>
      </c>
      <c r="M81" s="49" t="s">
        <v>2559</v>
      </c>
      <c r="N81" s="48"/>
      <c r="O81" s="49"/>
      <c r="P81" s="49"/>
      <c r="Q81" s="49"/>
      <c r="R81" s="49"/>
    </row>
    <row r="82" spans="1:18" s="49" customFormat="1" ht="15" customHeight="1">
      <c r="B82" s="48"/>
      <c r="D82" s="48">
        <v>46077</v>
      </c>
      <c r="E82" s="50" t="s">
        <v>2591</v>
      </c>
      <c r="G82" s="49" t="s">
        <v>2592</v>
      </c>
      <c r="H82" s="51">
        <v>61.78</v>
      </c>
      <c r="I82" s="51" t="s">
        <v>55</v>
      </c>
      <c r="J82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61.78</v>
      </c>
      <c r="K82" s="48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82" s="49" t="s">
        <v>25</v>
      </c>
      <c r="N82" s="48">
        <v>46079</v>
      </c>
      <c r="O82" s="49" t="s">
        <v>27</v>
      </c>
    </row>
    <row r="83" spans="1:18" s="49" customFormat="1" ht="15" customHeight="1">
      <c r="B83" s="48"/>
      <c r="D83" s="48">
        <v>46073</v>
      </c>
      <c r="E83" s="50" t="s">
        <v>2593</v>
      </c>
      <c r="G83" s="49" t="s">
        <v>2594</v>
      </c>
      <c r="H83" s="51">
        <v>242</v>
      </c>
      <c r="I83" s="51" t="s">
        <v>55</v>
      </c>
      <c r="J8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242</v>
      </c>
      <c r="K83" s="48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83" s="49" t="s">
        <v>25</v>
      </c>
      <c r="N83" s="48">
        <v>46079</v>
      </c>
      <c r="O83" s="49" t="s">
        <v>27</v>
      </c>
    </row>
    <row r="84" spans="1:18" s="60" customFormat="1" ht="15" customHeight="1">
      <c r="A84" s="49"/>
      <c r="B84" s="48">
        <v>46076</v>
      </c>
      <c r="C84" s="49" t="s">
        <v>2595</v>
      </c>
      <c r="D84" s="48">
        <v>46084</v>
      </c>
      <c r="E84" s="50">
        <v>144164</v>
      </c>
      <c r="F84" s="49"/>
      <c r="G84" s="49" t="s">
        <v>2596</v>
      </c>
      <c r="H84" s="51">
        <v>386.89</v>
      </c>
      <c r="I84" s="51" t="s">
        <v>55</v>
      </c>
      <c r="J8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386.89</v>
      </c>
      <c r="K84" s="48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84" s="49" t="s">
        <v>25</v>
      </c>
      <c r="M84" s="49"/>
      <c r="N84" s="48">
        <v>46079</v>
      </c>
      <c r="O84" s="49" t="s">
        <v>27</v>
      </c>
      <c r="P84" s="49"/>
      <c r="Q84" s="49"/>
    </row>
    <row r="85" spans="1:18" s="63" customFormat="1" ht="15" customHeight="1">
      <c r="A85" s="49"/>
      <c r="B85" s="48"/>
      <c r="C85" s="49"/>
      <c r="D85" s="48">
        <v>46054</v>
      </c>
      <c r="E85" s="50"/>
      <c r="F85" s="49"/>
      <c r="G85" s="49" t="s">
        <v>2597</v>
      </c>
      <c r="H85" s="51">
        <v>23.08</v>
      </c>
      <c r="I85" s="51" t="s">
        <v>98</v>
      </c>
      <c r="J85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23.08</v>
      </c>
      <c r="K85" s="48">
        <v>46055</v>
      </c>
      <c r="L85" s="49" t="s">
        <v>25</v>
      </c>
      <c r="M85" s="49" t="str">
        <f>"Mes de " &amp; TEXT(Tabla14[[#This Row],[Fecha Factura]], "[$-es-ES]mmmm")</f>
        <v>Mes de febrero</v>
      </c>
      <c r="N85" s="48">
        <v>46055</v>
      </c>
      <c r="O85" s="49"/>
      <c r="P85" s="49"/>
      <c r="Q85" s="49"/>
    </row>
    <row r="86" spans="1:18" s="49" customFormat="1" ht="15" customHeight="1">
      <c r="B86" s="48"/>
      <c r="D86" s="48">
        <v>46076</v>
      </c>
      <c r="E86" s="50" t="s">
        <v>2598</v>
      </c>
      <c r="G86" s="49" t="s">
        <v>2495</v>
      </c>
      <c r="H86" s="51">
        <v>53.85</v>
      </c>
      <c r="I86" s="51" t="s">
        <v>55</v>
      </c>
      <c r="J86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53.85</v>
      </c>
      <c r="K86" s="48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86" s="49" t="s">
        <v>25</v>
      </c>
      <c r="N86" s="48">
        <v>46079</v>
      </c>
      <c r="O86" s="49" t="s">
        <v>45</v>
      </c>
      <c r="R86" s="49" t="s">
        <v>32</v>
      </c>
    </row>
    <row r="87" spans="1:18" s="49" customFormat="1" ht="15" customHeight="1">
      <c r="B87" s="48"/>
      <c r="D87" s="48">
        <v>46072</v>
      </c>
      <c r="E87" s="50" t="s">
        <v>2599</v>
      </c>
      <c r="G87" s="49" t="s">
        <v>2477</v>
      </c>
      <c r="H87" s="51">
        <v>9.6999999999999993</v>
      </c>
      <c r="I87" s="51" t="s">
        <v>43</v>
      </c>
      <c r="J8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9.6999999999999993</v>
      </c>
      <c r="K87" s="48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46072</v>
      </c>
      <c r="L87" s="49" t="s">
        <v>25</v>
      </c>
      <c r="N87" s="48">
        <v>46079</v>
      </c>
      <c r="O87" s="49" t="s">
        <v>27</v>
      </c>
    </row>
    <row r="88" spans="1:18" s="49" customFormat="1" ht="15" customHeight="1">
      <c r="B88" s="48"/>
      <c r="D88" s="48">
        <v>46078</v>
      </c>
      <c r="E88" s="50" t="s">
        <v>2600</v>
      </c>
      <c r="G88" s="49" t="s">
        <v>2477</v>
      </c>
      <c r="H88" s="51">
        <v>88.65</v>
      </c>
      <c r="I88" s="51" t="s">
        <v>43</v>
      </c>
      <c r="J8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88.65</v>
      </c>
      <c r="K88" s="48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46078</v>
      </c>
      <c r="L88" s="49" t="s">
        <v>25</v>
      </c>
      <c r="M88" s="49" t="s">
        <v>2601</v>
      </c>
      <c r="N88" s="48">
        <v>46079</v>
      </c>
      <c r="O88" s="49" t="s">
        <v>27</v>
      </c>
    </row>
    <row r="89" spans="1:18" s="49" customFormat="1" ht="15" customHeight="1">
      <c r="B89" s="48"/>
      <c r="D89" s="48">
        <v>46377</v>
      </c>
      <c r="E89" s="50" t="s">
        <v>2602</v>
      </c>
      <c r="G89" s="49" t="s">
        <v>2603</v>
      </c>
      <c r="H89" s="51">
        <v>367.85</v>
      </c>
      <c r="I89" s="51" t="s">
        <v>43</v>
      </c>
      <c r="J89" s="51">
        <v>367.85</v>
      </c>
      <c r="K89" s="48"/>
      <c r="L89" s="49" t="s">
        <v>25</v>
      </c>
      <c r="N89" s="48">
        <v>45877</v>
      </c>
    </row>
    <row r="90" spans="1:18" s="49" customFormat="1" ht="15" customHeight="1">
      <c r="B90" s="48"/>
      <c r="D90" s="48">
        <v>46077</v>
      </c>
      <c r="E90" s="50">
        <v>2600037</v>
      </c>
      <c r="G90" s="49" t="s">
        <v>2585</v>
      </c>
      <c r="H90" s="51">
        <v>26.84</v>
      </c>
      <c r="I90" s="51" t="s">
        <v>43</v>
      </c>
      <c r="J90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26.84</v>
      </c>
      <c r="K90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46077</v>
      </c>
      <c r="L90" s="49" t="s">
        <v>25</v>
      </c>
      <c r="M90" s="49" t="s">
        <v>2586</v>
      </c>
      <c r="N90" s="48"/>
    </row>
    <row r="91" spans="1:18" s="49" customFormat="1" ht="15" customHeight="1">
      <c r="B91" s="48"/>
      <c r="D91" s="48">
        <v>46078</v>
      </c>
      <c r="E91" s="50" t="s">
        <v>2604</v>
      </c>
      <c r="G91" s="49" t="s">
        <v>2605</v>
      </c>
      <c r="H91" s="51">
        <v>108</v>
      </c>
      <c r="I91" s="51" t="s">
        <v>43</v>
      </c>
      <c r="J9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108</v>
      </c>
      <c r="K91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46078</v>
      </c>
      <c r="L91" s="49" t="s">
        <v>25</v>
      </c>
      <c r="N91" s="48"/>
    </row>
    <row r="92" spans="1:18" s="49" customFormat="1" ht="15" customHeight="1">
      <c r="B92" s="48"/>
      <c r="D92" s="48">
        <v>46076</v>
      </c>
      <c r="E92" s="50" t="s">
        <v>2606</v>
      </c>
      <c r="G92" s="49" t="s">
        <v>2551</v>
      </c>
      <c r="H92" s="51">
        <v>15.35</v>
      </c>
      <c r="I92" s="51" t="s">
        <v>55</v>
      </c>
      <c r="J92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15.35</v>
      </c>
      <c r="K92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92" s="49" t="s">
        <v>25</v>
      </c>
      <c r="N92" s="48"/>
    </row>
    <row r="93" spans="1:18" s="49" customFormat="1" ht="15" customHeight="1">
      <c r="B93" s="48"/>
      <c r="D93" s="48">
        <v>46080</v>
      </c>
      <c r="E93" s="50" t="s">
        <v>2607</v>
      </c>
      <c r="G93" s="49" t="s">
        <v>2608</v>
      </c>
      <c r="H93" s="51">
        <v>7.85</v>
      </c>
      <c r="I93" s="51" t="s">
        <v>43</v>
      </c>
      <c r="J9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7.85</v>
      </c>
      <c r="K93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46080</v>
      </c>
      <c r="L93" s="49" t="s">
        <v>25</v>
      </c>
      <c r="N93" s="48"/>
    </row>
    <row r="94" spans="1:18" s="60" customFormat="1" ht="15" customHeight="1">
      <c r="A94" s="49"/>
      <c r="B94" s="48"/>
      <c r="C94" s="49"/>
      <c r="D94" s="48">
        <v>46082</v>
      </c>
      <c r="E94" s="50">
        <v>538164587</v>
      </c>
      <c r="F94" s="49"/>
      <c r="G94" s="49" t="s">
        <v>2609</v>
      </c>
      <c r="H94" s="51">
        <v>6.12</v>
      </c>
      <c r="I94" s="51" t="s">
        <v>43</v>
      </c>
      <c r="J9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6.12</v>
      </c>
      <c r="K94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46082</v>
      </c>
      <c r="L94" s="49" t="s">
        <v>25</v>
      </c>
      <c r="M94" s="49" t="s">
        <v>2610</v>
      </c>
      <c r="N94" s="48"/>
      <c r="O94" s="49"/>
      <c r="P94" s="49"/>
      <c r="Q94" s="49"/>
      <c r="R94" s="49"/>
    </row>
    <row r="95" spans="1:18" s="49" customFormat="1" ht="15" customHeight="1">
      <c r="B95" s="48"/>
      <c r="D95" s="48">
        <v>46070</v>
      </c>
      <c r="E95" s="50" t="s">
        <v>2611</v>
      </c>
      <c r="G95" s="49" t="s">
        <v>2612</v>
      </c>
      <c r="H95" s="51">
        <v>980.2</v>
      </c>
      <c r="I95" s="51" t="s">
        <v>43</v>
      </c>
      <c r="J95" s="51">
        <v>980.2</v>
      </c>
      <c r="K95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46070</v>
      </c>
      <c r="L95" s="49" t="s">
        <v>25</v>
      </c>
      <c r="N95" s="48"/>
    </row>
    <row r="96" spans="1:18" ht="15" customHeight="1">
      <c r="B96" s="1"/>
      <c r="D96" s="1">
        <v>46082</v>
      </c>
      <c r="E96" s="29"/>
      <c r="G96" t="s">
        <v>2597</v>
      </c>
      <c r="H96" s="2">
        <v>23.08</v>
      </c>
      <c r="I96" s="2" t="s">
        <v>98</v>
      </c>
      <c r="J96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23.08</v>
      </c>
      <c r="K96" s="3">
        <v>46083</v>
      </c>
      <c r="L96" t="s">
        <v>25</v>
      </c>
      <c r="M96" t="str">
        <f>"Mes de " &amp; TEXT(Tabla14[[#This Row],[Fecha Factura]], "[$-es-ES]mmmm")</f>
        <v>Mes de marzo</v>
      </c>
      <c r="N96" s="1">
        <v>46083</v>
      </c>
    </row>
    <row r="97" spans="2:18" s="49" customFormat="1" ht="15" customHeight="1">
      <c r="B97" s="48"/>
      <c r="D97" s="48">
        <v>46076</v>
      </c>
      <c r="E97" s="50" t="s">
        <v>2613</v>
      </c>
      <c r="G97" s="49" t="s">
        <v>2491</v>
      </c>
      <c r="H97" s="51">
        <v>346.5</v>
      </c>
      <c r="I97" s="51" t="s">
        <v>43</v>
      </c>
      <c r="J9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346.5</v>
      </c>
      <c r="K97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46076</v>
      </c>
      <c r="L97" s="49" t="s">
        <v>25</v>
      </c>
      <c r="N97" s="48"/>
    </row>
    <row r="98" spans="2:18" s="49" customFormat="1" ht="15" customHeight="1">
      <c r="B98" s="48"/>
      <c r="D98" s="48">
        <v>46077</v>
      </c>
      <c r="E98" s="50" t="s">
        <v>2614</v>
      </c>
      <c r="G98" s="49" t="s">
        <v>2615</v>
      </c>
      <c r="H98" s="51">
        <v>290.91000000000003</v>
      </c>
      <c r="I98" s="51" t="s">
        <v>43</v>
      </c>
      <c r="J9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290.91000000000003</v>
      </c>
      <c r="K98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46077</v>
      </c>
      <c r="L98" s="49" t="s">
        <v>25</v>
      </c>
      <c r="N98" s="48"/>
    </row>
    <row r="99" spans="2:18" s="49" customFormat="1" ht="15" customHeight="1">
      <c r="B99" s="48"/>
      <c r="D99" s="48">
        <v>46077</v>
      </c>
      <c r="E99" s="50" t="s">
        <v>2616</v>
      </c>
      <c r="G99" s="49" t="s">
        <v>2484</v>
      </c>
      <c r="H99" s="51">
        <v>93.49</v>
      </c>
      <c r="I99" s="51" t="s">
        <v>43</v>
      </c>
      <c r="J99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93.49</v>
      </c>
      <c r="K99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46077</v>
      </c>
      <c r="L99" s="49" t="s">
        <v>25</v>
      </c>
      <c r="M99" s="49" t="s">
        <v>2559</v>
      </c>
      <c r="N99" s="48">
        <v>46077</v>
      </c>
    </row>
    <row r="100" spans="2:18" s="49" customFormat="1" ht="15" customHeight="1">
      <c r="B100" s="48"/>
      <c r="D100" s="48">
        <v>46079</v>
      </c>
      <c r="E100" s="50" t="s">
        <v>2617</v>
      </c>
      <c r="G100" s="49" t="s">
        <v>2495</v>
      </c>
      <c r="H100" s="51">
        <v>27.83</v>
      </c>
      <c r="I100" s="51" t="s">
        <v>55</v>
      </c>
      <c r="J100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27.83</v>
      </c>
      <c r="K100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100" s="49" t="s">
        <v>25</v>
      </c>
      <c r="N100" s="48">
        <v>46086</v>
      </c>
      <c r="O100" s="49" t="s">
        <v>45</v>
      </c>
      <c r="R100" s="49" t="s">
        <v>32</v>
      </c>
    </row>
    <row r="101" spans="2:18" s="49" customFormat="1" ht="15" customHeight="1">
      <c r="B101" s="48"/>
      <c r="D101" s="48">
        <v>46078</v>
      </c>
      <c r="E101" s="50" t="s">
        <v>2618</v>
      </c>
      <c r="G101" s="49" t="s">
        <v>2619</v>
      </c>
      <c r="H101" s="51">
        <v>16</v>
      </c>
      <c r="I101" s="51" t="s">
        <v>55</v>
      </c>
      <c r="J10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16</v>
      </c>
      <c r="K101" s="52">
        <v>46078</v>
      </c>
      <c r="L101" s="49" t="s">
        <v>25</v>
      </c>
      <c r="N101" s="48"/>
    </row>
    <row r="102" spans="2:18" s="49" customFormat="1" ht="15" customHeight="1">
      <c r="B102" s="48"/>
      <c r="D102" s="48">
        <v>46081</v>
      </c>
      <c r="E102" s="50" t="s">
        <v>2620</v>
      </c>
      <c r="G102" s="49" t="s">
        <v>2464</v>
      </c>
      <c r="H102" s="51">
        <v>775</v>
      </c>
      <c r="I102" s="51" t="s">
        <v>55</v>
      </c>
      <c r="J102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775</v>
      </c>
      <c r="K102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102" s="49" t="s">
        <v>25</v>
      </c>
      <c r="M102" s="49" t="s">
        <v>2621</v>
      </c>
      <c r="N102" s="48">
        <v>46086</v>
      </c>
      <c r="O102" s="49" t="s">
        <v>45</v>
      </c>
    </row>
    <row r="103" spans="2:18" s="49" customFormat="1" ht="15" customHeight="1">
      <c r="B103" s="48"/>
      <c r="D103" s="48">
        <v>46080</v>
      </c>
      <c r="E103" s="50" t="s">
        <v>2622</v>
      </c>
      <c r="G103" s="49" t="s">
        <v>2623</v>
      </c>
      <c r="H103" s="51">
        <v>3315.4</v>
      </c>
      <c r="I103" s="51" t="s">
        <v>55</v>
      </c>
      <c r="J103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3315.4</v>
      </c>
      <c r="K103" s="52">
        <v>46086</v>
      </c>
      <c r="L103" s="49" t="s">
        <v>25</v>
      </c>
      <c r="N103" s="48">
        <v>46086</v>
      </c>
      <c r="O103" s="49" t="s">
        <v>2624</v>
      </c>
      <c r="Q103" s="49" t="s">
        <v>2625</v>
      </c>
    </row>
    <row r="104" spans="2:18" s="49" customFormat="1" ht="15" customHeight="1">
      <c r="B104" s="48"/>
      <c r="D104" s="48">
        <v>46082</v>
      </c>
      <c r="E104" s="50" t="s">
        <v>2626</v>
      </c>
      <c r="G104" s="49" t="s">
        <v>2461</v>
      </c>
      <c r="H104" s="51">
        <v>58.9</v>
      </c>
      <c r="I104" s="51" t="s">
        <v>98</v>
      </c>
      <c r="J10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58.9</v>
      </c>
      <c r="K104" s="52">
        <v>46087</v>
      </c>
      <c r="L104" s="49" t="s">
        <v>25</v>
      </c>
      <c r="M104" s="49" t="s">
        <v>2627</v>
      </c>
      <c r="N104" s="48"/>
    </row>
    <row r="105" spans="2:18" s="49" customFormat="1" ht="15" customHeight="1">
      <c r="B105" s="48"/>
      <c r="D105" s="48">
        <v>46080</v>
      </c>
      <c r="E105" s="50" t="s">
        <v>2628</v>
      </c>
      <c r="G105" s="49" t="s">
        <v>2629</v>
      </c>
      <c r="H105" s="51">
        <v>3747.97</v>
      </c>
      <c r="I105" s="51" t="s">
        <v>55</v>
      </c>
      <c r="J105" s="62">
        <v>3747.97</v>
      </c>
      <c r="K105" s="52">
        <v>46086</v>
      </c>
      <c r="L105" s="49" t="s">
        <v>25</v>
      </c>
      <c r="M105" s="49" t="s">
        <v>2630</v>
      </c>
      <c r="N105" s="48">
        <v>46086</v>
      </c>
      <c r="O105" s="49" t="s">
        <v>183</v>
      </c>
    </row>
    <row r="106" spans="2:18" s="49" customFormat="1" ht="15" customHeight="1">
      <c r="B106" s="48"/>
      <c r="D106" s="48">
        <v>46080</v>
      </c>
      <c r="E106" s="50" t="s">
        <v>2628</v>
      </c>
      <c r="G106" s="49" t="s">
        <v>2629</v>
      </c>
      <c r="H106" s="51">
        <v>3276.08</v>
      </c>
      <c r="I106" s="51" t="s">
        <v>55</v>
      </c>
      <c r="J106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3276.08</v>
      </c>
      <c r="K106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106" s="49" t="s">
        <v>25</v>
      </c>
      <c r="M106" s="49" t="s">
        <v>2631</v>
      </c>
      <c r="N106" s="48">
        <v>46073</v>
      </c>
    </row>
    <row r="107" spans="2:18" s="49" customFormat="1" ht="15" customHeight="1">
      <c r="B107" s="48"/>
      <c r="D107" s="48">
        <v>46082</v>
      </c>
      <c r="E107" s="50" t="s">
        <v>2632</v>
      </c>
      <c r="G107" s="49" t="s">
        <v>2461</v>
      </c>
      <c r="H107" s="51">
        <v>60.97</v>
      </c>
      <c r="I107" s="51" t="s">
        <v>98</v>
      </c>
      <c r="J10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60.97</v>
      </c>
      <c r="K107" s="52">
        <v>46087</v>
      </c>
      <c r="L107" s="49" t="s">
        <v>25</v>
      </c>
      <c r="M107" s="49" t="s">
        <v>2633</v>
      </c>
      <c r="N107" s="48"/>
    </row>
    <row r="108" spans="2:18" s="49" customFormat="1" ht="15" customHeight="1">
      <c r="B108" s="48"/>
      <c r="D108" s="48">
        <v>46082</v>
      </c>
      <c r="E108" s="50" t="s">
        <v>2634</v>
      </c>
      <c r="G108" s="49" t="s">
        <v>2461</v>
      </c>
      <c r="H108" s="51">
        <v>58.72</v>
      </c>
      <c r="I108" s="51" t="s">
        <v>98</v>
      </c>
      <c r="J10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58.72</v>
      </c>
      <c r="K108" s="52">
        <v>46087</v>
      </c>
      <c r="L108" s="49" t="s">
        <v>25</v>
      </c>
      <c r="M108" s="49" t="s">
        <v>2635</v>
      </c>
      <c r="N108" s="48"/>
    </row>
    <row r="109" spans="2:18" s="49" customFormat="1" ht="15" customHeight="1">
      <c r="B109" s="48"/>
      <c r="D109" s="48">
        <v>46081</v>
      </c>
      <c r="E109" s="50">
        <v>2600761</v>
      </c>
      <c r="G109" s="49" t="s">
        <v>2636</v>
      </c>
      <c r="H109" s="51">
        <v>667.6</v>
      </c>
      <c r="I109" s="51" t="s">
        <v>55</v>
      </c>
      <c r="J109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667.6</v>
      </c>
      <c r="K109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109" s="49" t="s">
        <v>25</v>
      </c>
      <c r="M109" s="49" t="s">
        <v>2637</v>
      </c>
      <c r="N109" s="48">
        <v>46086</v>
      </c>
      <c r="O109" s="49" t="s">
        <v>27</v>
      </c>
    </row>
    <row r="110" spans="2:18" s="49" customFormat="1" ht="15" customHeight="1">
      <c r="B110" s="48"/>
      <c r="D110" s="48">
        <v>46083</v>
      </c>
      <c r="E110" s="50">
        <v>12603635</v>
      </c>
      <c r="G110" s="49" t="s">
        <v>2638</v>
      </c>
      <c r="H110" s="51">
        <v>116</v>
      </c>
      <c r="I110" s="51" t="s">
        <v>43</v>
      </c>
      <c r="J110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116</v>
      </c>
      <c r="K110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46083</v>
      </c>
      <c r="L110" s="49" t="s">
        <v>25</v>
      </c>
      <c r="M110" s="49" t="s">
        <v>2639</v>
      </c>
      <c r="N110" s="48">
        <v>46083</v>
      </c>
      <c r="Q110" s="49" t="s">
        <v>2639</v>
      </c>
    </row>
    <row r="111" spans="2:18" s="49" customFormat="1" ht="15" customHeight="1">
      <c r="B111" s="48"/>
      <c r="D111" s="48">
        <v>46081</v>
      </c>
      <c r="E111" s="50" t="s">
        <v>2640</v>
      </c>
      <c r="G111" s="49" t="s">
        <v>2538</v>
      </c>
      <c r="H111" s="51">
        <v>281.58999999999997</v>
      </c>
      <c r="I111" s="51" t="s">
        <v>98</v>
      </c>
      <c r="J11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281.58999999999997</v>
      </c>
      <c r="K111" s="52">
        <v>46084</v>
      </c>
      <c r="L111" s="49" t="s">
        <v>25</v>
      </c>
      <c r="N111" s="48"/>
    </row>
    <row r="112" spans="2:18" s="49" customFormat="1" ht="15" customHeight="1">
      <c r="B112" s="48"/>
      <c r="D112" s="48">
        <v>46081</v>
      </c>
      <c r="E112" s="50" t="s">
        <v>2641</v>
      </c>
      <c r="G112" s="49" t="s">
        <v>2532</v>
      </c>
      <c r="H112" s="51">
        <v>-1647.16</v>
      </c>
      <c r="I112" s="51" t="s">
        <v>98</v>
      </c>
      <c r="J112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-1647.16</v>
      </c>
      <c r="K112" s="52"/>
      <c r="M112" s="49" t="s">
        <v>2642</v>
      </c>
      <c r="N112" s="48"/>
    </row>
    <row r="113" spans="2:18" s="49" customFormat="1" ht="15" customHeight="1">
      <c r="B113" s="48"/>
      <c r="D113" s="48">
        <v>46084</v>
      </c>
      <c r="E113" s="50" t="s">
        <v>2643</v>
      </c>
      <c r="G113" s="49" t="s">
        <v>2484</v>
      </c>
      <c r="H113" s="51">
        <v>81.63</v>
      </c>
      <c r="I113" s="51" t="s">
        <v>43</v>
      </c>
      <c r="J11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81.63</v>
      </c>
      <c r="K113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46084</v>
      </c>
      <c r="L113" s="49" t="s">
        <v>25</v>
      </c>
      <c r="M113" s="49" t="s">
        <v>2559</v>
      </c>
      <c r="N113" s="48">
        <v>46084</v>
      </c>
    </row>
    <row r="114" spans="2:18" s="49" customFormat="1" ht="15" customHeight="1">
      <c r="B114" s="48"/>
      <c r="D114" s="48">
        <v>46083</v>
      </c>
      <c r="E114" s="50">
        <v>15</v>
      </c>
      <c r="G114" s="49" t="s">
        <v>2644</v>
      </c>
      <c r="H114" s="51">
        <v>47.8</v>
      </c>
      <c r="I114" s="51" t="s">
        <v>43</v>
      </c>
      <c r="J114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47.8</v>
      </c>
      <c r="K114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46083</v>
      </c>
      <c r="L114" s="49" t="s">
        <v>25</v>
      </c>
      <c r="M114" s="49" t="s">
        <v>2645</v>
      </c>
      <c r="N114" s="48">
        <v>46086</v>
      </c>
      <c r="O114" s="49" t="s">
        <v>27</v>
      </c>
    </row>
    <row r="115" spans="2:18" s="49" customFormat="1" ht="15" customHeight="1">
      <c r="B115" s="48"/>
      <c r="D115" s="48">
        <v>46082</v>
      </c>
      <c r="E115" s="50" t="s">
        <v>2646</v>
      </c>
      <c r="G115" s="49" t="s">
        <v>2481</v>
      </c>
      <c r="H115" s="51">
        <v>1635.32</v>
      </c>
      <c r="I115" s="51" t="s">
        <v>98</v>
      </c>
      <c r="J115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1635.32</v>
      </c>
      <c r="K115" s="52">
        <v>46058</v>
      </c>
      <c r="L115" t="s">
        <v>25</v>
      </c>
      <c r="M115" s="49" t="s">
        <v>2647</v>
      </c>
      <c r="N115" s="48">
        <v>46058</v>
      </c>
    </row>
    <row r="116" spans="2:18" s="49" customFormat="1" ht="15" customHeight="1">
      <c r="B116" s="48"/>
      <c r="D116" s="48">
        <v>46076</v>
      </c>
      <c r="E116" s="50">
        <v>206</v>
      </c>
      <c r="G116" s="49" t="s">
        <v>2475</v>
      </c>
      <c r="H116" s="51">
        <v>1101.0999999999999</v>
      </c>
      <c r="I116" s="51" t="s">
        <v>43</v>
      </c>
      <c r="J116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1101.0999999999999</v>
      </c>
      <c r="K116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46076</v>
      </c>
      <c r="L116" s="49" t="s">
        <v>25</v>
      </c>
      <c r="M116" s="49" t="s">
        <v>2648</v>
      </c>
      <c r="N116" s="48">
        <v>46086</v>
      </c>
      <c r="O116" s="49" t="s">
        <v>94</v>
      </c>
    </row>
    <row r="117" spans="2:18" s="49" customFormat="1" ht="15" customHeight="1">
      <c r="B117" s="48">
        <v>46086</v>
      </c>
      <c r="C117" s="49" t="s">
        <v>2649</v>
      </c>
      <c r="D117" s="48" t="s">
        <v>1832</v>
      </c>
      <c r="E117" s="50"/>
      <c r="G117" s="49" t="s">
        <v>2650</v>
      </c>
      <c r="H117" s="51">
        <v>79.94</v>
      </c>
      <c r="I117" s="51" t="s">
        <v>43</v>
      </c>
      <c r="J11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79.94</v>
      </c>
      <c r="K117" s="52"/>
      <c r="L117" s="49" t="s">
        <v>25</v>
      </c>
      <c r="M117" s="49" t="s">
        <v>2651</v>
      </c>
      <c r="N117" s="48"/>
    </row>
    <row r="118" spans="2:18" s="49" customFormat="1" ht="15" customHeight="1">
      <c r="B118" s="48"/>
      <c r="D118" s="48">
        <v>46054</v>
      </c>
      <c r="E118" s="50" t="s">
        <v>2652</v>
      </c>
      <c r="G118" s="49" t="s">
        <v>2481</v>
      </c>
      <c r="H118" s="51">
        <v>1635.32</v>
      </c>
      <c r="I118" s="51" t="s">
        <v>98</v>
      </c>
      <c r="J11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1635.32</v>
      </c>
      <c r="K118" s="52">
        <v>46087</v>
      </c>
      <c r="L118" t="s">
        <v>25</v>
      </c>
      <c r="M118" s="49" t="s">
        <v>2653</v>
      </c>
      <c r="N118" s="48">
        <v>46087</v>
      </c>
    </row>
    <row r="119" spans="2:18" s="49" customFormat="1" ht="15" customHeight="1">
      <c r="B119" s="48"/>
      <c r="D119" s="48">
        <v>46087</v>
      </c>
      <c r="E119" s="50">
        <v>202600053</v>
      </c>
      <c r="G119" s="49" t="s">
        <v>2489</v>
      </c>
      <c r="H119" s="51">
        <v>892.5</v>
      </c>
      <c r="I119" s="51" t="s">
        <v>98</v>
      </c>
      <c r="J119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892.5</v>
      </c>
      <c r="K119" s="52">
        <v>46098</v>
      </c>
      <c r="L119" s="49" t="s">
        <v>25</v>
      </c>
      <c r="M119" s="49" t="s">
        <v>2654</v>
      </c>
      <c r="N119" s="48"/>
    </row>
    <row r="120" spans="2:18" s="49" customFormat="1" ht="15" customHeight="1">
      <c r="B120" s="48"/>
      <c r="D120" s="48">
        <v>46088</v>
      </c>
      <c r="E120" s="50" t="s">
        <v>2655</v>
      </c>
      <c r="G120" s="49" t="s">
        <v>2484</v>
      </c>
      <c r="H120" s="51">
        <v>68.31</v>
      </c>
      <c r="I120" s="51" t="s">
        <v>43</v>
      </c>
      <c r="J120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68.31</v>
      </c>
      <c r="K120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46088</v>
      </c>
      <c r="L120" s="49" t="s">
        <v>25</v>
      </c>
      <c r="M120" s="49" t="s">
        <v>2559</v>
      </c>
      <c r="N120" s="48">
        <v>46088</v>
      </c>
    </row>
    <row r="121" spans="2:18" s="49" customFormat="1" ht="15" customHeight="1">
      <c r="B121" s="150">
        <v>46087</v>
      </c>
      <c r="C121" s="151"/>
      <c r="D121" s="150"/>
      <c r="E121" s="152"/>
      <c r="F121" s="151"/>
      <c r="G121" s="151" t="s">
        <v>1067</v>
      </c>
      <c r="H121" s="153">
        <v>1.79</v>
      </c>
      <c r="I121" s="153" t="s">
        <v>43</v>
      </c>
      <c r="J121" s="153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1.79</v>
      </c>
      <c r="K121" s="154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121" s="151" t="s">
        <v>25</v>
      </c>
      <c r="M121" s="155" t="s">
        <v>2656</v>
      </c>
      <c r="N121" s="150">
        <v>46087</v>
      </c>
      <c r="O121" s="151"/>
      <c r="P121" s="151"/>
      <c r="Q121" s="151"/>
      <c r="R121" s="151"/>
    </row>
    <row r="122" spans="2:18" s="151" customFormat="1" ht="15" customHeight="1">
      <c r="B122" s="150">
        <v>46087</v>
      </c>
      <c r="D122" s="150"/>
      <c r="E122" s="152"/>
      <c r="G122" s="151" t="s">
        <v>1067</v>
      </c>
      <c r="H122" s="153">
        <v>2.39</v>
      </c>
      <c r="I122" s="153" t="s">
        <v>43</v>
      </c>
      <c r="J122" s="153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2.39</v>
      </c>
      <c r="K122" s="154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122" s="151" t="s">
        <v>25</v>
      </c>
      <c r="M122" s="155" t="s">
        <v>2657</v>
      </c>
      <c r="N122" s="150">
        <v>46087</v>
      </c>
    </row>
    <row r="123" spans="2:18" s="63" customFormat="1" ht="15" customHeight="1">
      <c r="B123" s="48">
        <v>46203</v>
      </c>
      <c r="C123" s="49"/>
      <c r="D123" s="48">
        <v>46203</v>
      </c>
      <c r="E123" s="50" t="s">
        <v>2658</v>
      </c>
      <c r="F123" s="49"/>
      <c r="G123" s="49" t="s">
        <v>1067</v>
      </c>
      <c r="H123" s="51">
        <v>2.96</v>
      </c>
      <c r="I123" s="51" t="s">
        <v>43</v>
      </c>
      <c r="J12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2.96</v>
      </c>
      <c r="K123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46203</v>
      </c>
      <c r="L123" s="49" t="s">
        <v>25</v>
      </c>
      <c r="M123" s="59" t="s">
        <v>2659</v>
      </c>
      <c r="N123" s="48">
        <v>46203</v>
      </c>
      <c r="O123" s="49"/>
      <c r="P123" s="49"/>
      <c r="Q123" s="49"/>
      <c r="R123" s="49"/>
    </row>
    <row r="124" spans="2:18" s="49" customFormat="1" ht="15" customHeight="1">
      <c r="B124" s="76">
        <v>46162</v>
      </c>
      <c r="C124" s="63"/>
      <c r="D124" s="76">
        <v>46163</v>
      </c>
      <c r="E124" s="78" t="s">
        <v>2660</v>
      </c>
      <c r="F124" s="63"/>
      <c r="G124" s="63" t="s">
        <v>1067</v>
      </c>
      <c r="H124" s="79">
        <v>3.61</v>
      </c>
      <c r="I124" s="79" t="s">
        <v>43</v>
      </c>
      <c r="J124" s="79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3.61</v>
      </c>
      <c r="K124" s="80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46163</v>
      </c>
      <c r="L124" s="63" t="s">
        <v>25</v>
      </c>
      <c r="M124" s="82" t="s">
        <v>2661</v>
      </c>
      <c r="N124" s="76">
        <v>46162</v>
      </c>
      <c r="O124" s="63"/>
      <c r="P124" s="63"/>
      <c r="Q124" s="63"/>
      <c r="R124" s="63"/>
    </row>
    <row r="125" spans="2:18" s="49" customFormat="1" ht="15" customHeight="1">
      <c r="B125" s="48"/>
      <c r="D125" s="48">
        <v>46173</v>
      </c>
      <c r="E125" s="50" t="s">
        <v>2662</v>
      </c>
      <c r="G125" s="49" t="s">
        <v>1067</v>
      </c>
      <c r="H125" s="51">
        <v>4.95</v>
      </c>
      <c r="I125" s="51" t="s">
        <v>43</v>
      </c>
      <c r="J125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4.95</v>
      </c>
      <c r="K125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46173</v>
      </c>
      <c r="L125" s="49" t="s">
        <v>25</v>
      </c>
      <c r="M125" s="59" t="s">
        <v>2663</v>
      </c>
      <c r="N125" s="48">
        <v>46171</v>
      </c>
    </row>
    <row r="126" spans="2:18" s="49" customFormat="1" ht="15" customHeight="1">
      <c r="B126" s="48">
        <v>46108</v>
      </c>
      <c r="D126" s="48">
        <v>46110</v>
      </c>
      <c r="E126" s="50" t="s">
        <v>2664</v>
      </c>
      <c r="G126" s="49" t="s">
        <v>1067</v>
      </c>
      <c r="H126" s="51">
        <v>4.99</v>
      </c>
      <c r="I126" s="51" t="s">
        <v>43</v>
      </c>
      <c r="J126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4.99</v>
      </c>
      <c r="K126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46110</v>
      </c>
      <c r="L126" s="49" t="s">
        <v>25</v>
      </c>
      <c r="M126" s="49" t="s">
        <v>2665</v>
      </c>
      <c r="N126" s="48">
        <v>46108</v>
      </c>
    </row>
    <row r="127" spans="2:18" s="201" customFormat="1" ht="15" customHeight="1">
      <c r="B127" s="48">
        <v>46090</v>
      </c>
      <c r="C127" s="49"/>
      <c r="D127" s="48">
        <v>46090</v>
      </c>
      <c r="E127" s="50" t="s">
        <v>2666</v>
      </c>
      <c r="F127" s="49"/>
      <c r="G127" s="49" t="s">
        <v>1067</v>
      </c>
      <c r="H127" s="51">
        <v>5.78</v>
      </c>
      <c r="I127" s="51" t="s">
        <v>43</v>
      </c>
      <c r="J12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5.78</v>
      </c>
      <c r="K127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46090</v>
      </c>
      <c r="L127" s="49" t="s">
        <v>25</v>
      </c>
      <c r="M127" s="49" t="s">
        <v>2667</v>
      </c>
      <c r="N127" s="48">
        <v>46090</v>
      </c>
      <c r="O127" s="49"/>
      <c r="P127" s="49"/>
      <c r="Q127" s="49"/>
      <c r="R127" s="49"/>
    </row>
    <row r="128" spans="2:18" s="49" customFormat="1" ht="15" customHeight="1">
      <c r="B128" s="48">
        <v>46087</v>
      </c>
      <c r="D128" s="48">
        <v>46089</v>
      </c>
      <c r="E128" s="50" t="s">
        <v>2668</v>
      </c>
      <c r="G128" s="49" t="s">
        <v>1067</v>
      </c>
      <c r="H128" s="51">
        <v>5.99</v>
      </c>
      <c r="I128" s="51" t="s">
        <v>43</v>
      </c>
      <c r="J12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5.99</v>
      </c>
      <c r="K128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46089</v>
      </c>
      <c r="L128" s="49" t="s">
        <v>25</v>
      </c>
      <c r="M128" s="49" t="s">
        <v>2669</v>
      </c>
      <c r="N128" s="48">
        <v>46087</v>
      </c>
    </row>
    <row r="129" spans="2:18" s="151" customFormat="1" ht="15" customHeight="1">
      <c r="B129" s="48">
        <v>46133</v>
      </c>
      <c r="C129" s="49"/>
      <c r="D129" s="48">
        <v>46134</v>
      </c>
      <c r="E129" s="50" t="s">
        <v>2670</v>
      </c>
      <c r="F129" s="49"/>
      <c r="G129" s="49" t="s">
        <v>1067</v>
      </c>
      <c r="H129" s="51">
        <v>6.45</v>
      </c>
      <c r="I129" s="51" t="s">
        <v>43</v>
      </c>
      <c r="J129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6.45</v>
      </c>
      <c r="K129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46134</v>
      </c>
      <c r="L129" s="49" t="s">
        <v>25</v>
      </c>
      <c r="M129" s="59" t="s">
        <v>2671</v>
      </c>
      <c r="N129" s="48">
        <v>46133</v>
      </c>
      <c r="O129" s="49"/>
      <c r="P129" s="49"/>
      <c r="Q129" s="49"/>
      <c r="R129" s="49"/>
    </row>
    <row r="130" spans="2:18" s="151" customFormat="1" ht="15" customHeight="1">
      <c r="B130" s="48">
        <v>46094</v>
      </c>
      <c r="C130" s="49"/>
      <c r="D130" s="48">
        <v>46094</v>
      </c>
      <c r="E130" s="50" t="s">
        <v>2672</v>
      </c>
      <c r="F130" s="49"/>
      <c r="G130" s="49" t="s">
        <v>1067</v>
      </c>
      <c r="H130" s="51">
        <v>6.5</v>
      </c>
      <c r="I130" s="51" t="s">
        <v>43</v>
      </c>
      <c r="J130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6.5</v>
      </c>
      <c r="K130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46094</v>
      </c>
      <c r="L130" s="49" t="s">
        <v>25</v>
      </c>
      <c r="M130" s="49" t="s">
        <v>2673</v>
      </c>
      <c r="N130" s="48">
        <v>46094</v>
      </c>
      <c r="O130" s="49"/>
      <c r="P130" s="49"/>
      <c r="Q130" s="49"/>
      <c r="R130" s="49"/>
    </row>
    <row r="131" spans="2:18" s="49" customFormat="1" ht="15" customHeight="1">
      <c r="B131" s="48">
        <v>46142</v>
      </c>
      <c r="D131" s="48">
        <v>46146</v>
      </c>
      <c r="E131" s="50" t="s">
        <v>2674</v>
      </c>
      <c r="G131" s="49" t="s">
        <v>1067</v>
      </c>
      <c r="H131" s="51">
        <v>7.13</v>
      </c>
      <c r="I131" s="51" t="s">
        <v>43</v>
      </c>
      <c r="J13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7.13</v>
      </c>
      <c r="K131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46146</v>
      </c>
      <c r="L131" s="49" t="s">
        <v>25</v>
      </c>
      <c r="M131" s="59" t="s">
        <v>2675</v>
      </c>
      <c r="N131" s="48">
        <v>46142</v>
      </c>
    </row>
    <row r="132" spans="2:18" s="49" customFormat="1" ht="15" customHeight="1">
      <c r="B132" s="48">
        <v>46140</v>
      </c>
      <c r="D132" s="48">
        <v>46140</v>
      </c>
      <c r="E132" s="50" t="s">
        <v>2676</v>
      </c>
      <c r="G132" s="49" t="s">
        <v>1067</v>
      </c>
      <c r="H132" s="51">
        <v>7.37</v>
      </c>
      <c r="I132" s="51" t="s">
        <v>43</v>
      </c>
      <c r="J132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7.37</v>
      </c>
      <c r="K132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46140</v>
      </c>
      <c r="L132" s="49" t="s">
        <v>25</v>
      </c>
      <c r="M132" s="59" t="s">
        <v>2677</v>
      </c>
      <c r="N132" s="48">
        <v>46140</v>
      </c>
    </row>
    <row r="133" spans="2:18" s="151" customFormat="1" ht="15" customHeight="1">
      <c r="B133" s="48">
        <v>46171</v>
      </c>
      <c r="C133" s="49"/>
      <c r="D133" s="48">
        <v>46171</v>
      </c>
      <c r="E133" s="50" t="s">
        <v>2678</v>
      </c>
      <c r="F133" s="49"/>
      <c r="G133" s="49" t="s">
        <v>1067</v>
      </c>
      <c r="H133" s="51">
        <v>7.5</v>
      </c>
      <c r="I133" s="51" t="s">
        <v>43</v>
      </c>
      <c r="J13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7.5</v>
      </c>
      <c r="K133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46171</v>
      </c>
      <c r="L133" s="49" t="s">
        <v>25</v>
      </c>
      <c r="M133" s="59" t="s">
        <v>2679</v>
      </c>
      <c r="N133" s="48">
        <v>46171</v>
      </c>
      <c r="O133" s="49"/>
      <c r="P133" s="49"/>
      <c r="Q133" s="49"/>
      <c r="R133" s="49"/>
    </row>
    <row r="134" spans="2:18" s="49" customFormat="1" ht="15" customHeight="1">
      <c r="B134" s="48">
        <v>46090</v>
      </c>
      <c r="C134" s="49">
        <v>11456</v>
      </c>
      <c r="D134" s="48">
        <v>46093</v>
      </c>
      <c r="E134" s="50">
        <v>110883</v>
      </c>
      <c r="G134" s="49" t="s">
        <v>2680</v>
      </c>
      <c r="H134" s="51">
        <v>224</v>
      </c>
      <c r="I134" s="51" t="s">
        <v>55</v>
      </c>
      <c r="J134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224</v>
      </c>
      <c r="K134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134" s="49" t="s">
        <v>25</v>
      </c>
      <c r="M134" s="49" t="s">
        <v>2681</v>
      </c>
      <c r="N134" s="48">
        <v>46093</v>
      </c>
      <c r="O134" s="49" t="s">
        <v>27</v>
      </c>
    </row>
    <row r="135" spans="2:18" s="63" customFormat="1" ht="15" customHeight="1">
      <c r="B135" s="76"/>
      <c r="D135" s="76">
        <v>46028</v>
      </c>
      <c r="E135" s="78" t="s">
        <v>2682</v>
      </c>
      <c r="G135" s="63" t="s">
        <v>2683</v>
      </c>
      <c r="H135" s="79">
        <v>35.090000000000003</v>
      </c>
      <c r="I135" s="79" t="s">
        <v>98</v>
      </c>
      <c r="J135" s="79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35.090000000000003</v>
      </c>
      <c r="K135" s="80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135" s="63" t="s">
        <v>25</v>
      </c>
      <c r="M135" s="63" t="s">
        <v>2684</v>
      </c>
      <c r="N135" s="76"/>
    </row>
    <row r="136" spans="2:18" s="63" customFormat="1" ht="15" customHeight="1">
      <c r="B136" s="76"/>
      <c r="D136" s="76">
        <v>46059</v>
      </c>
      <c r="E136" s="78" t="s">
        <v>2685</v>
      </c>
      <c r="G136" s="63" t="s">
        <v>2683</v>
      </c>
      <c r="H136" s="79">
        <v>35.090000000000003</v>
      </c>
      <c r="I136" s="79" t="s">
        <v>98</v>
      </c>
      <c r="J136" s="79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35.090000000000003</v>
      </c>
      <c r="K136" s="80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136" s="63" t="s">
        <v>25</v>
      </c>
      <c r="M136" s="63" t="s">
        <v>2686</v>
      </c>
      <c r="N136" s="76">
        <v>46076</v>
      </c>
    </row>
    <row r="137" spans="2:18" s="63" customFormat="1" ht="15" customHeight="1">
      <c r="B137" s="76"/>
      <c r="D137" s="76">
        <v>46087</v>
      </c>
      <c r="E137" s="78" t="s">
        <v>2687</v>
      </c>
      <c r="G137" s="63" t="s">
        <v>2683</v>
      </c>
      <c r="H137" s="79">
        <v>35.090000000000003</v>
      </c>
      <c r="I137" s="79" t="s">
        <v>98</v>
      </c>
      <c r="J137" s="79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35.090000000000003</v>
      </c>
      <c r="K137" s="80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137" s="63" t="s">
        <v>25</v>
      </c>
      <c r="M137" s="63" t="s">
        <v>2688</v>
      </c>
      <c r="N137" s="76"/>
    </row>
    <row r="138" spans="2:18" s="49" customFormat="1" ht="15" customHeight="1">
      <c r="B138" s="48"/>
      <c r="D138" s="48">
        <v>46087</v>
      </c>
      <c r="E138" s="50" t="s">
        <v>2689</v>
      </c>
      <c r="G138" s="49" t="s">
        <v>2545</v>
      </c>
      <c r="H138" s="51">
        <v>406.08</v>
      </c>
      <c r="I138" s="51" t="s">
        <v>55</v>
      </c>
      <c r="J138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406.08</v>
      </c>
      <c r="K138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138" s="49" t="s">
        <v>25</v>
      </c>
      <c r="M138" s="49" t="s">
        <v>2690</v>
      </c>
      <c r="N138" s="48">
        <v>46093</v>
      </c>
      <c r="O138" s="49" t="s">
        <v>27</v>
      </c>
    </row>
    <row r="139" spans="2:18" s="49" customFormat="1" ht="15" customHeight="1">
      <c r="B139" s="48"/>
      <c r="D139" s="48">
        <v>46087</v>
      </c>
      <c r="E139" s="50" t="s">
        <v>2691</v>
      </c>
      <c r="G139" s="49" t="s">
        <v>2545</v>
      </c>
      <c r="H139" s="51">
        <v>2008.6</v>
      </c>
      <c r="I139" s="51" t="s">
        <v>55</v>
      </c>
      <c r="J139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2008.6</v>
      </c>
      <c r="K139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139" s="49" t="s">
        <v>25</v>
      </c>
      <c r="M139" s="49" t="s">
        <v>2692</v>
      </c>
      <c r="N139" s="48">
        <v>46093</v>
      </c>
      <c r="O139" s="49" t="s">
        <v>27</v>
      </c>
    </row>
    <row r="140" spans="2:18" s="49" customFormat="1" ht="15" customHeight="1">
      <c r="B140" s="48"/>
      <c r="D140" s="48">
        <v>46066</v>
      </c>
      <c r="E140" s="50" t="s">
        <v>2693</v>
      </c>
      <c r="G140" s="49" t="s">
        <v>2545</v>
      </c>
      <c r="H140" s="51">
        <v>1050.28</v>
      </c>
      <c r="I140" s="51" t="s">
        <v>55</v>
      </c>
      <c r="J140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1050.28</v>
      </c>
      <c r="K140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140" s="49" t="s">
        <v>25</v>
      </c>
      <c r="M140" s="49" t="s">
        <v>2694</v>
      </c>
      <c r="N140" s="48">
        <v>46093</v>
      </c>
      <c r="O140" s="49" t="s">
        <v>27</v>
      </c>
    </row>
    <row r="141" spans="2:18" s="49" customFormat="1" ht="15" customHeight="1">
      <c r="B141" s="48"/>
      <c r="D141" s="48">
        <v>46088</v>
      </c>
      <c r="E141" s="50" t="s">
        <v>2059</v>
      </c>
      <c r="G141" s="49" t="s">
        <v>2477</v>
      </c>
      <c r="H141" s="51">
        <v>176.65</v>
      </c>
      <c r="I141" s="51" t="s">
        <v>43</v>
      </c>
      <c r="J141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176.65</v>
      </c>
      <c r="K141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46088</v>
      </c>
      <c r="L141" s="49" t="s">
        <v>25</v>
      </c>
      <c r="M141" s="49" t="s">
        <v>2695</v>
      </c>
      <c r="N141" s="48">
        <v>46093</v>
      </c>
      <c r="O141" s="49" t="s">
        <v>27</v>
      </c>
    </row>
    <row r="142" spans="2:18" s="49" customFormat="1" ht="15" customHeight="1">
      <c r="B142" s="48"/>
      <c r="D142" s="48">
        <v>46090</v>
      </c>
      <c r="E142" s="50" t="s">
        <v>2696</v>
      </c>
      <c r="G142" s="49" t="s">
        <v>2477</v>
      </c>
      <c r="H142" s="51">
        <v>86.75</v>
      </c>
      <c r="I142" s="51" t="s">
        <v>43</v>
      </c>
      <c r="J142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86.75</v>
      </c>
      <c r="K142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46090</v>
      </c>
      <c r="L142" s="49" t="s">
        <v>25</v>
      </c>
      <c r="M142" s="49" t="s">
        <v>2697</v>
      </c>
      <c r="N142" s="48">
        <v>46093</v>
      </c>
      <c r="O142" s="49" t="s">
        <v>27</v>
      </c>
    </row>
    <row r="143" spans="2:18" s="151" customFormat="1" ht="15" customHeight="1">
      <c r="B143" s="48">
        <v>46147</v>
      </c>
      <c r="C143" s="49"/>
      <c r="D143" s="48"/>
      <c r="E143" s="50"/>
      <c r="F143" s="49"/>
      <c r="G143" s="49" t="s">
        <v>1067</v>
      </c>
      <c r="H143" s="51">
        <v>7.59</v>
      </c>
      <c r="I143" s="51" t="s">
        <v>43</v>
      </c>
      <c r="J14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7.59</v>
      </c>
      <c r="K143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143" s="49" t="s">
        <v>25</v>
      </c>
      <c r="M143" s="59" t="s">
        <v>2698</v>
      </c>
      <c r="N143" s="48">
        <v>46140</v>
      </c>
      <c r="O143" s="49"/>
      <c r="P143" s="49"/>
      <c r="Q143" s="49"/>
      <c r="R143" s="49"/>
    </row>
    <row r="144" spans="2:18" s="151" customFormat="1" ht="15" customHeight="1">
      <c r="B144" s="48">
        <v>46209</v>
      </c>
      <c r="C144" s="49"/>
      <c r="D144" s="48">
        <v>46211</v>
      </c>
      <c r="E144" s="50" t="s">
        <v>2699</v>
      </c>
      <c r="F144" s="49"/>
      <c r="G144" s="49" t="s">
        <v>1067</v>
      </c>
      <c r="H144" s="51">
        <v>7.95</v>
      </c>
      <c r="I144" s="51" t="s">
        <v>43</v>
      </c>
      <c r="J14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7.95</v>
      </c>
      <c r="K144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46211</v>
      </c>
      <c r="L144" s="49" t="s">
        <v>25</v>
      </c>
      <c r="M144" s="59" t="s">
        <v>2700</v>
      </c>
      <c r="N144" s="48">
        <v>46209</v>
      </c>
      <c r="O144" s="49"/>
      <c r="P144" s="49"/>
      <c r="Q144" s="49"/>
      <c r="R144" s="49"/>
    </row>
    <row r="145" spans="2:18" s="49" customFormat="1" ht="15" customHeight="1">
      <c r="B145" s="150">
        <v>46153</v>
      </c>
      <c r="C145" s="151"/>
      <c r="D145" s="150">
        <v>46154</v>
      </c>
      <c r="E145" s="212" t="s">
        <v>2701</v>
      </c>
      <c r="F145" s="151"/>
      <c r="G145" s="151" t="s">
        <v>1067</v>
      </c>
      <c r="H145" s="153">
        <v>7.99</v>
      </c>
      <c r="I145" s="153" t="s">
        <v>43</v>
      </c>
      <c r="J145" s="153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7.99</v>
      </c>
      <c r="K145" s="154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46154</v>
      </c>
      <c r="L145" s="151" t="s">
        <v>25</v>
      </c>
      <c r="M145" s="155" t="s">
        <v>2702</v>
      </c>
      <c r="N145" s="150">
        <v>46153</v>
      </c>
      <c r="O145" s="151"/>
      <c r="P145" s="151"/>
      <c r="Q145" s="151"/>
      <c r="R145" s="151"/>
    </row>
    <row r="146" spans="2:18" s="63" customFormat="1" ht="15" customHeight="1">
      <c r="B146" s="150">
        <v>46087</v>
      </c>
      <c r="C146" s="151"/>
      <c r="D146" s="150">
        <v>46089</v>
      </c>
      <c r="E146" s="152" t="s">
        <v>2703</v>
      </c>
      <c r="F146" s="151"/>
      <c r="G146" s="151" t="s">
        <v>1067</v>
      </c>
      <c r="H146" s="153">
        <v>8.2200000000000006</v>
      </c>
      <c r="I146" s="153" t="s">
        <v>43</v>
      </c>
      <c r="J146" s="153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8.2200000000000006</v>
      </c>
      <c r="K146" s="154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46089</v>
      </c>
      <c r="L146" s="151" t="s">
        <v>25</v>
      </c>
      <c r="M146" s="151" t="s">
        <v>2704</v>
      </c>
      <c r="N146" s="150">
        <v>46087</v>
      </c>
      <c r="O146" s="151"/>
      <c r="P146" s="151"/>
      <c r="Q146" s="151"/>
      <c r="R146" s="151"/>
    </row>
    <row r="147" spans="2:18" s="49" customFormat="1" ht="15" customHeight="1">
      <c r="B147" s="48">
        <v>46091</v>
      </c>
      <c r="D147" s="48">
        <v>46091</v>
      </c>
      <c r="E147" s="50" t="s">
        <v>2705</v>
      </c>
      <c r="G147" s="49" t="s">
        <v>1067</v>
      </c>
      <c r="H147" s="58">
        <v>8.3800000000000008</v>
      </c>
      <c r="I147" s="58" t="s">
        <v>43</v>
      </c>
      <c r="J147" s="58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8.3800000000000008</v>
      </c>
      <c r="K147" s="90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46091</v>
      </c>
      <c r="L147" s="49" t="s">
        <v>25</v>
      </c>
      <c r="M147" s="49" t="s">
        <v>2706</v>
      </c>
      <c r="N147" s="48">
        <v>46091</v>
      </c>
    </row>
    <row r="148" spans="2:18" s="49" customFormat="1" ht="15" customHeight="1">
      <c r="B148" s="48">
        <v>46142</v>
      </c>
      <c r="D148" s="48">
        <v>46146</v>
      </c>
      <c r="E148" s="50" t="s">
        <v>2707</v>
      </c>
      <c r="G148" s="49" t="s">
        <v>1067</v>
      </c>
      <c r="H148" s="51">
        <v>8.4</v>
      </c>
      <c r="I148" s="51" t="s">
        <v>43</v>
      </c>
      <c r="J14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8.4</v>
      </c>
      <c r="K148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46146</v>
      </c>
      <c r="L148" s="49" t="s">
        <v>25</v>
      </c>
      <c r="M148" s="59" t="s">
        <v>2708</v>
      </c>
      <c r="N148" s="48">
        <v>46142</v>
      </c>
    </row>
    <row r="149" spans="2:18" s="49" customFormat="1" ht="15" customHeight="1">
      <c r="B149" s="48"/>
      <c r="D149" s="48">
        <v>46086</v>
      </c>
      <c r="E149" s="50" t="s">
        <v>2709</v>
      </c>
      <c r="G149" s="49" t="s">
        <v>2526</v>
      </c>
      <c r="H149" s="51">
        <v>568.62</v>
      </c>
      <c r="I149" s="51" t="s">
        <v>98</v>
      </c>
      <c r="J149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568.62</v>
      </c>
      <c r="K149" s="52">
        <v>46101</v>
      </c>
      <c r="L149" s="49" t="s">
        <v>25</v>
      </c>
      <c r="M149" s="49" t="s">
        <v>2710</v>
      </c>
      <c r="N149" s="48">
        <v>46101</v>
      </c>
    </row>
    <row r="150" spans="2:18" s="49" customFormat="1" ht="15" customHeight="1">
      <c r="B150" s="48">
        <v>46092</v>
      </c>
      <c r="D150" s="48">
        <v>46099</v>
      </c>
      <c r="E150" s="50" t="s">
        <v>2711</v>
      </c>
      <c r="G150" s="49" t="s">
        <v>2712</v>
      </c>
      <c r="H150" s="51">
        <v>734.65</v>
      </c>
      <c r="I150" s="51" t="s">
        <v>43</v>
      </c>
      <c r="J150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734.65</v>
      </c>
      <c r="K150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46099</v>
      </c>
      <c r="L150" s="49" t="s">
        <v>25</v>
      </c>
      <c r="M150" s="49" t="s">
        <v>2713</v>
      </c>
      <c r="N150" s="48"/>
    </row>
    <row r="151" spans="2:18" s="49" customFormat="1" ht="15" customHeight="1">
      <c r="B151" s="48"/>
      <c r="D151" s="48">
        <v>46090</v>
      </c>
      <c r="E151" s="50" t="s">
        <v>2714</v>
      </c>
      <c r="G151" s="49" t="s">
        <v>2538</v>
      </c>
      <c r="H151" s="51">
        <v>729.7</v>
      </c>
      <c r="I151" s="51" t="s">
        <v>98</v>
      </c>
      <c r="J15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729.7</v>
      </c>
      <c r="K151" s="52">
        <v>46092</v>
      </c>
      <c r="L151" s="49" t="s">
        <v>25</v>
      </c>
      <c r="M151" s="49" t="s">
        <v>2715</v>
      </c>
      <c r="N151" s="48"/>
    </row>
    <row r="152" spans="2:18" s="49" customFormat="1" ht="15" customHeight="1">
      <c r="B152" s="48"/>
      <c r="D152" s="48">
        <v>46091</v>
      </c>
      <c r="E152" s="50" t="s">
        <v>2716</v>
      </c>
      <c r="G152" s="49" t="s">
        <v>2717</v>
      </c>
      <c r="H152" s="51">
        <v>883.96</v>
      </c>
      <c r="I152" s="51" t="s">
        <v>55</v>
      </c>
      <c r="J152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883.96</v>
      </c>
      <c r="K152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152" s="49" t="s">
        <v>25</v>
      </c>
      <c r="M152" s="49" t="s">
        <v>2718</v>
      </c>
      <c r="N152" s="48">
        <v>46093</v>
      </c>
      <c r="O152" s="49" t="s">
        <v>94</v>
      </c>
    </row>
    <row r="153" spans="2:18" s="49" customFormat="1" ht="15" customHeight="1">
      <c r="B153" s="48"/>
      <c r="D153" s="48">
        <v>46086</v>
      </c>
      <c r="E153" s="50" t="s">
        <v>2719</v>
      </c>
      <c r="G153" s="49" t="s">
        <v>2503</v>
      </c>
      <c r="H153" s="51">
        <v>16.149999999999999</v>
      </c>
      <c r="I153" s="51" t="s">
        <v>55</v>
      </c>
      <c r="J153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16.149999999999999</v>
      </c>
      <c r="K153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153" s="49" t="s">
        <v>25</v>
      </c>
      <c r="M153" s="49" t="s">
        <v>2720</v>
      </c>
      <c r="N153" s="48">
        <v>46093</v>
      </c>
      <c r="O153" s="49" t="s">
        <v>94</v>
      </c>
    </row>
    <row r="154" spans="2:18" s="49" customFormat="1" ht="15" customHeight="1">
      <c r="B154" s="48"/>
      <c r="D154" s="48">
        <v>46090</v>
      </c>
      <c r="E154" s="50" t="s">
        <v>2721</v>
      </c>
      <c r="G154" s="49" t="s">
        <v>2722</v>
      </c>
      <c r="H154" s="51">
        <v>23.32</v>
      </c>
      <c r="I154" s="51" t="s">
        <v>55</v>
      </c>
      <c r="J154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23.32</v>
      </c>
      <c r="K154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154" s="49" t="s">
        <v>25</v>
      </c>
      <c r="M154" s="49" t="s">
        <v>2720</v>
      </c>
      <c r="N154" s="48">
        <v>46093</v>
      </c>
      <c r="O154" s="49" t="s">
        <v>94</v>
      </c>
    </row>
    <row r="155" spans="2:18" s="49" customFormat="1" ht="15" customHeight="1">
      <c r="B155" s="48"/>
      <c r="D155" s="48">
        <v>46069</v>
      </c>
      <c r="E155" s="50">
        <v>2600063332</v>
      </c>
      <c r="G155" s="49" t="s">
        <v>2723</v>
      </c>
      <c r="H155" s="51">
        <v>125.65</v>
      </c>
      <c r="I155" s="51" t="s">
        <v>98</v>
      </c>
      <c r="J155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125.65</v>
      </c>
      <c r="K155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155" s="49" t="s">
        <v>25</v>
      </c>
      <c r="M155" s="49" t="s">
        <v>2724</v>
      </c>
      <c r="N155" s="48"/>
    </row>
    <row r="156" spans="2:18" s="49" customFormat="1" ht="15" customHeight="1">
      <c r="B156" s="48"/>
      <c r="D156" s="48">
        <v>46069</v>
      </c>
      <c r="E156" s="50">
        <v>2600061500</v>
      </c>
      <c r="G156" s="49" t="s">
        <v>2723</v>
      </c>
      <c r="H156" s="51">
        <v>272.26</v>
      </c>
      <c r="I156" s="51" t="s">
        <v>98</v>
      </c>
      <c r="J156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272.26</v>
      </c>
      <c r="K156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156" s="49" t="s">
        <v>25</v>
      </c>
      <c r="M156" s="49" t="s">
        <v>2725</v>
      </c>
      <c r="N156" s="48"/>
    </row>
    <row r="157" spans="2:18" s="49" customFormat="1" ht="15" customHeight="1">
      <c r="B157" s="48"/>
      <c r="D157" s="48">
        <v>46069</v>
      </c>
      <c r="E157" s="50">
        <v>2600063857</v>
      </c>
      <c r="G157" s="49" t="s">
        <v>2723</v>
      </c>
      <c r="H157" s="51">
        <v>225.01</v>
      </c>
      <c r="I157" s="51" t="s">
        <v>98</v>
      </c>
      <c r="J15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225.01</v>
      </c>
      <c r="K157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157" s="49" t="s">
        <v>25</v>
      </c>
      <c r="M157" s="49" t="s">
        <v>2726</v>
      </c>
      <c r="N157" s="48"/>
    </row>
    <row r="158" spans="2:18" s="49" customFormat="1" ht="15" customHeight="1">
      <c r="B158" s="48"/>
      <c r="D158" s="48">
        <v>46082</v>
      </c>
      <c r="E158" s="50">
        <v>2600101252</v>
      </c>
      <c r="G158" s="49" t="s">
        <v>2723</v>
      </c>
      <c r="H158" s="51">
        <v>225.01</v>
      </c>
      <c r="I158" s="51" t="s">
        <v>98</v>
      </c>
      <c r="J15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225.01</v>
      </c>
      <c r="K158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158" s="49" t="s">
        <v>25</v>
      </c>
      <c r="M158" s="49" t="s">
        <v>2727</v>
      </c>
      <c r="N158" s="48"/>
    </row>
    <row r="159" spans="2:18" s="49" customFormat="1" ht="15" customHeight="1">
      <c r="B159" s="48">
        <v>46093</v>
      </c>
      <c r="C159" s="49">
        <v>11467</v>
      </c>
      <c r="D159" s="48">
        <v>46101</v>
      </c>
      <c r="E159" s="50">
        <v>110948</v>
      </c>
      <c r="G159" s="49" t="s">
        <v>2680</v>
      </c>
      <c r="H159" s="51">
        <v>448</v>
      </c>
      <c r="I159" s="51" t="s">
        <v>55</v>
      </c>
      <c r="J159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448</v>
      </c>
      <c r="K159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159" s="49" t="s">
        <v>25</v>
      </c>
      <c r="M159" s="49" t="s">
        <v>2728</v>
      </c>
      <c r="N159" s="48">
        <v>46097</v>
      </c>
      <c r="O159" s="49" t="s">
        <v>27</v>
      </c>
    </row>
    <row r="160" spans="2:18" s="49" customFormat="1" ht="15" customHeight="1">
      <c r="B160" s="48"/>
      <c r="D160" s="48">
        <v>46093</v>
      </c>
      <c r="E160" s="50" t="s">
        <v>2729</v>
      </c>
      <c r="G160" s="49" t="s">
        <v>2495</v>
      </c>
      <c r="H160" s="58">
        <v>57.11</v>
      </c>
      <c r="I160" s="51" t="s">
        <v>55</v>
      </c>
      <c r="J160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57.11</v>
      </c>
      <c r="K160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160" s="103" t="s">
        <v>25</v>
      </c>
      <c r="M160" s="49" t="s">
        <v>2730</v>
      </c>
      <c r="N160" s="48">
        <v>46100</v>
      </c>
      <c r="O160" s="49" t="s">
        <v>45</v>
      </c>
    </row>
    <row r="161" spans="2:18" s="63" customFormat="1" ht="15" customHeight="1">
      <c r="B161" s="76"/>
      <c r="D161" s="76">
        <v>46092</v>
      </c>
      <c r="E161" s="78" t="s">
        <v>2731</v>
      </c>
      <c r="G161" s="63" t="s">
        <v>2732</v>
      </c>
      <c r="H161" s="79">
        <v>2.2999999999999998</v>
      </c>
      <c r="I161" s="79" t="s">
        <v>55</v>
      </c>
      <c r="J161" s="79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2.2999999999999998</v>
      </c>
      <c r="K161" s="80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161" s="104" t="s">
        <v>25</v>
      </c>
      <c r="M161" s="63" t="s">
        <v>2733</v>
      </c>
      <c r="N161" s="76">
        <v>46092</v>
      </c>
    </row>
    <row r="162" spans="2:18" s="49" customFormat="1" ht="15" customHeight="1">
      <c r="B162" s="48"/>
      <c r="D162" s="48">
        <v>46094</v>
      </c>
      <c r="E162" s="50" t="s">
        <v>2734</v>
      </c>
      <c r="G162" s="49" t="s">
        <v>2484</v>
      </c>
      <c r="H162" s="51">
        <v>84.75</v>
      </c>
      <c r="I162" s="51" t="s">
        <v>43</v>
      </c>
      <c r="J162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84.75</v>
      </c>
      <c r="K162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46094</v>
      </c>
      <c r="L162" s="105" t="s">
        <v>25</v>
      </c>
      <c r="M162" s="49" t="s">
        <v>2559</v>
      </c>
      <c r="N162" s="48">
        <v>46094</v>
      </c>
    </row>
    <row r="163" spans="2:18" s="49" customFormat="1" ht="15" customHeight="1">
      <c r="B163" s="48"/>
      <c r="D163" s="48">
        <v>46093</v>
      </c>
      <c r="E163" s="50" t="s">
        <v>2735</v>
      </c>
      <c r="G163" s="49" t="s">
        <v>2568</v>
      </c>
      <c r="H163" s="51">
        <v>665.5</v>
      </c>
      <c r="I163" s="51" t="s">
        <v>43</v>
      </c>
      <c r="J16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665.5</v>
      </c>
      <c r="K163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46093</v>
      </c>
      <c r="L163" s="49" t="s">
        <v>25</v>
      </c>
      <c r="N163" s="48"/>
    </row>
    <row r="164" spans="2:18" s="49" customFormat="1" ht="15" customHeight="1">
      <c r="B164" s="48"/>
      <c r="D164" s="48">
        <v>46093</v>
      </c>
      <c r="E164" s="50" t="s">
        <v>2736</v>
      </c>
      <c r="G164" s="49" t="s">
        <v>2581</v>
      </c>
      <c r="H164" s="51">
        <v>2021</v>
      </c>
      <c r="I164" s="51" t="s">
        <v>43</v>
      </c>
      <c r="J16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2021</v>
      </c>
      <c r="K164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46093</v>
      </c>
      <c r="L164" s="49" t="s">
        <v>25</v>
      </c>
      <c r="N164" s="48">
        <v>46093</v>
      </c>
    </row>
    <row r="165" spans="2:18" s="49" customFormat="1" ht="15" customHeight="1">
      <c r="B165" s="48">
        <v>46093</v>
      </c>
      <c r="C165" s="49">
        <v>11469</v>
      </c>
      <c r="D165" s="48">
        <v>46101</v>
      </c>
      <c r="E165" s="50">
        <v>110949</v>
      </c>
      <c r="G165" s="49" t="s">
        <v>2680</v>
      </c>
      <c r="H165" s="51">
        <v>56</v>
      </c>
      <c r="I165" s="51" t="s">
        <v>55</v>
      </c>
      <c r="J165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56</v>
      </c>
      <c r="K165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165" s="49" t="s">
        <v>25</v>
      </c>
      <c r="M165" s="49" t="s">
        <v>2737</v>
      </c>
      <c r="N165" s="48">
        <v>46097</v>
      </c>
      <c r="O165" s="49" t="s">
        <v>27</v>
      </c>
    </row>
    <row r="166" spans="2:18" s="49" customFormat="1" ht="15" customHeight="1">
      <c r="B166" s="48"/>
      <c r="D166" s="48">
        <v>46095</v>
      </c>
      <c r="E166" s="50" t="s">
        <v>2738</v>
      </c>
      <c r="G166" s="149" t="s">
        <v>2506</v>
      </c>
      <c r="H166" s="51">
        <v>19.72</v>
      </c>
      <c r="I166" s="51" t="s">
        <v>98</v>
      </c>
      <c r="J166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19.72</v>
      </c>
      <c r="K166" s="52">
        <v>46095</v>
      </c>
      <c r="L166" s="49" t="s">
        <v>25</v>
      </c>
      <c r="N166" s="48"/>
      <c r="R166" s="49" t="s">
        <v>32</v>
      </c>
    </row>
    <row r="167" spans="2:18" s="49" customFormat="1" ht="15" customHeight="1">
      <c r="B167" s="48"/>
      <c r="D167" s="48">
        <v>46094</v>
      </c>
      <c r="E167" s="50">
        <v>300152942</v>
      </c>
      <c r="G167" s="49" t="s">
        <v>2739</v>
      </c>
      <c r="H167" s="51">
        <v>35.17</v>
      </c>
      <c r="I167" s="51" t="s">
        <v>43</v>
      </c>
      <c r="J16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35.17</v>
      </c>
      <c r="K167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46094</v>
      </c>
      <c r="L167" s="49" t="s">
        <v>25</v>
      </c>
      <c r="M167" s="49" t="s">
        <v>2740</v>
      </c>
      <c r="N167" s="48"/>
    </row>
    <row r="168" spans="2:18" s="49" customFormat="1" ht="15" customHeight="1">
      <c r="B168" s="48">
        <v>46209</v>
      </c>
      <c r="D168" s="48"/>
      <c r="E168" s="50"/>
      <c r="G168" s="49" t="s">
        <v>1067</v>
      </c>
      <c r="H168" s="51">
        <v>8.44</v>
      </c>
      <c r="I168" s="51" t="s">
        <v>43</v>
      </c>
      <c r="J16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8.44</v>
      </c>
      <c r="K168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168" s="49" t="s">
        <v>25</v>
      </c>
      <c r="M168" s="59" t="s">
        <v>2741</v>
      </c>
      <c r="N168" s="48">
        <v>46209</v>
      </c>
    </row>
    <row r="169" spans="2:18" s="49" customFormat="1" ht="15" customHeight="1">
      <c r="B169" s="150">
        <v>46094</v>
      </c>
      <c r="C169" s="151"/>
      <c r="D169" s="150">
        <v>46096</v>
      </c>
      <c r="E169" s="152" t="s">
        <v>2742</v>
      </c>
      <c r="F169" s="151"/>
      <c r="G169" s="151" t="s">
        <v>1067</v>
      </c>
      <c r="H169" s="153">
        <v>9.49</v>
      </c>
      <c r="I169" s="153" t="s">
        <v>43</v>
      </c>
      <c r="J169" s="153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9.49</v>
      </c>
      <c r="K169" s="154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46096</v>
      </c>
      <c r="L169" s="151" t="s">
        <v>25</v>
      </c>
      <c r="M169" s="151" t="s">
        <v>2743</v>
      </c>
      <c r="N169" s="150">
        <v>46094</v>
      </c>
      <c r="O169" s="151"/>
      <c r="P169" s="151"/>
      <c r="Q169" s="151"/>
      <c r="R169" s="151"/>
    </row>
    <row r="170" spans="2:18" s="49" customFormat="1" ht="15" customHeight="1">
      <c r="B170" s="150">
        <v>46133</v>
      </c>
      <c r="C170" s="151"/>
      <c r="D170" s="150">
        <v>46133</v>
      </c>
      <c r="E170" s="152" t="s">
        <v>2744</v>
      </c>
      <c r="F170" s="151"/>
      <c r="G170" s="151" t="s">
        <v>1067</v>
      </c>
      <c r="H170" s="153">
        <v>9.49</v>
      </c>
      <c r="I170" s="153" t="s">
        <v>43</v>
      </c>
      <c r="J170" s="153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9.49</v>
      </c>
      <c r="K170" s="154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46133</v>
      </c>
      <c r="L170" s="151" t="s">
        <v>25</v>
      </c>
      <c r="M170" s="155" t="s">
        <v>2745</v>
      </c>
      <c r="N170" s="150">
        <v>46133</v>
      </c>
      <c r="O170" s="151"/>
      <c r="P170" s="151"/>
      <c r="Q170" s="151"/>
      <c r="R170" s="151"/>
    </row>
    <row r="171" spans="2:18" s="49" customFormat="1" ht="15" customHeight="1">
      <c r="B171" s="48">
        <v>46188</v>
      </c>
      <c r="D171" s="48"/>
      <c r="E171" s="50"/>
      <c r="G171" s="49" t="s">
        <v>1067</v>
      </c>
      <c r="H171" s="51">
        <v>10.07</v>
      </c>
      <c r="I171" s="51" t="s">
        <v>43</v>
      </c>
      <c r="J17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10.07</v>
      </c>
      <c r="K171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171" s="49" t="s">
        <v>25</v>
      </c>
      <c r="M171" s="59" t="s">
        <v>2746</v>
      </c>
      <c r="N171" s="48">
        <v>46188</v>
      </c>
    </row>
    <row r="172" spans="2:18" s="49" customFormat="1" ht="15" customHeight="1">
      <c r="B172" s="48">
        <v>46209</v>
      </c>
      <c r="D172" s="48">
        <v>46210</v>
      </c>
      <c r="E172" s="50" t="s">
        <v>2747</v>
      </c>
      <c r="G172" s="49" t="s">
        <v>1067</v>
      </c>
      <c r="H172" s="51">
        <v>10.199999999999999</v>
      </c>
      <c r="I172" s="51" t="s">
        <v>43</v>
      </c>
      <c r="J172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10.199999999999999</v>
      </c>
      <c r="K172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46210</v>
      </c>
      <c r="L172" s="49" t="s">
        <v>25</v>
      </c>
      <c r="M172" s="59" t="s">
        <v>2748</v>
      </c>
      <c r="N172" s="48">
        <v>46209</v>
      </c>
    </row>
    <row r="173" spans="2:18" s="49" customFormat="1" ht="15" customHeight="1">
      <c r="B173" s="48"/>
      <c r="D173" s="48">
        <v>46082</v>
      </c>
      <c r="E173" s="50"/>
      <c r="G173" s="49" t="s">
        <v>2749</v>
      </c>
      <c r="H173" s="51">
        <v>107.82</v>
      </c>
      <c r="I173" s="51" t="s">
        <v>55</v>
      </c>
      <c r="J173" s="62">
        <v>107.82</v>
      </c>
      <c r="K173" s="52"/>
      <c r="L173" s="103" t="s">
        <v>25</v>
      </c>
      <c r="M173" s="49" t="s">
        <v>2750</v>
      </c>
      <c r="N173" s="48">
        <v>46100</v>
      </c>
      <c r="O173" s="49" t="s">
        <v>27</v>
      </c>
    </row>
    <row r="174" spans="2:18" ht="15" customHeight="1">
      <c r="B174" s="1"/>
      <c r="D174" s="1">
        <v>46082</v>
      </c>
      <c r="E174" s="29"/>
      <c r="G174" t="s">
        <v>2749</v>
      </c>
      <c r="H174" s="2">
        <v>249.87</v>
      </c>
      <c r="I174" s="2" t="s">
        <v>55</v>
      </c>
      <c r="J174" s="10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249.87</v>
      </c>
      <c r="K174" s="3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174" s="104" t="s">
        <v>25</v>
      </c>
      <c r="M174" t="s">
        <v>2751</v>
      </c>
      <c r="N174" s="1">
        <v>46100</v>
      </c>
      <c r="O174" t="s">
        <v>27</v>
      </c>
      <c r="R174" s="49"/>
    </row>
    <row r="175" spans="2:18" s="49" customFormat="1" ht="15" customHeight="1">
      <c r="B175" s="48"/>
      <c r="D175" s="48">
        <v>46097</v>
      </c>
      <c r="E175" s="65" t="s">
        <v>2752</v>
      </c>
      <c r="G175" s="49" t="s">
        <v>2461</v>
      </c>
      <c r="H175" s="51">
        <v>84.7</v>
      </c>
      <c r="I175" s="51" t="s">
        <v>98</v>
      </c>
      <c r="J175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84.7</v>
      </c>
      <c r="K175" s="52">
        <v>46099</v>
      </c>
      <c r="L175" s="105" t="s">
        <v>25</v>
      </c>
      <c r="M175" s="49" t="s">
        <v>2635</v>
      </c>
      <c r="N175" s="48"/>
    </row>
    <row r="176" spans="2:18" s="49" customFormat="1" ht="15" customHeight="1">
      <c r="B176" s="48">
        <v>46098</v>
      </c>
      <c r="D176" s="48">
        <v>46098</v>
      </c>
      <c r="E176" s="50">
        <v>300153006</v>
      </c>
      <c r="G176" s="49" t="s">
        <v>2739</v>
      </c>
      <c r="H176" s="51">
        <v>43.56</v>
      </c>
      <c r="I176" s="51" t="s">
        <v>43</v>
      </c>
      <c r="J176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43.56</v>
      </c>
      <c r="K176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46098</v>
      </c>
      <c r="L176" s="49" t="s">
        <v>25</v>
      </c>
      <c r="M176" s="49" t="s">
        <v>2753</v>
      </c>
      <c r="N176" s="48">
        <v>46098</v>
      </c>
    </row>
    <row r="177" spans="2:18" s="49" customFormat="1" ht="15" customHeight="1">
      <c r="B177" s="76">
        <v>46162</v>
      </c>
      <c r="C177" s="63"/>
      <c r="D177" s="76">
        <v>46163</v>
      </c>
      <c r="E177" s="78" t="s">
        <v>2754</v>
      </c>
      <c r="F177" s="63"/>
      <c r="G177" s="63" t="s">
        <v>1067</v>
      </c>
      <c r="H177" s="79">
        <v>10.65</v>
      </c>
      <c r="I177" s="79" t="s">
        <v>43</v>
      </c>
      <c r="J177" s="79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10.65</v>
      </c>
      <c r="K177" s="80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46163</v>
      </c>
      <c r="L177" s="63" t="s">
        <v>25</v>
      </c>
      <c r="M177" s="82" t="s">
        <v>1581</v>
      </c>
      <c r="N177" s="76">
        <v>46162</v>
      </c>
      <c r="O177" s="63"/>
      <c r="P177" s="63"/>
      <c r="Q177" s="63"/>
      <c r="R177" s="63"/>
    </row>
    <row r="178" spans="2:18" s="49" customFormat="1" ht="15" customHeight="1">
      <c r="B178" s="48"/>
      <c r="D178" s="48">
        <v>46097</v>
      </c>
      <c r="E178" s="50" t="s">
        <v>2755</v>
      </c>
      <c r="G178" s="49" t="s">
        <v>2756</v>
      </c>
      <c r="H178" s="51">
        <v>240.19</v>
      </c>
      <c r="I178" s="51" t="s">
        <v>98</v>
      </c>
      <c r="J17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240.19</v>
      </c>
      <c r="K178" s="52">
        <v>46105</v>
      </c>
      <c r="L178" s="49" t="s">
        <v>25</v>
      </c>
      <c r="M178" s="49" t="s">
        <v>2757</v>
      </c>
      <c r="N178" s="48"/>
    </row>
    <row r="179" spans="2:18" s="63" customFormat="1" ht="15" customHeight="1">
      <c r="B179" s="76"/>
      <c r="D179" s="76">
        <v>46098</v>
      </c>
      <c r="E179" s="78" t="s">
        <v>2758</v>
      </c>
      <c r="G179" s="63" t="s">
        <v>2759</v>
      </c>
      <c r="H179" s="79">
        <v>60</v>
      </c>
      <c r="I179" s="79" t="s">
        <v>43</v>
      </c>
      <c r="J179" s="79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60</v>
      </c>
      <c r="K179" s="80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46098</v>
      </c>
      <c r="L179" s="63" t="s">
        <v>25</v>
      </c>
      <c r="M179" s="106" t="s">
        <v>2760</v>
      </c>
      <c r="N179" s="76">
        <v>46098</v>
      </c>
    </row>
    <row r="180" spans="2:18" s="49" customFormat="1" ht="15" customHeight="1">
      <c r="B180" s="48">
        <v>46108</v>
      </c>
      <c r="D180" s="48">
        <v>46110</v>
      </c>
      <c r="E180" s="50" t="s">
        <v>2761</v>
      </c>
      <c r="G180" s="49" t="s">
        <v>1067</v>
      </c>
      <c r="H180" s="51">
        <v>10.99</v>
      </c>
      <c r="I180" s="51" t="s">
        <v>43</v>
      </c>
      <c r="J180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10.99</v>
      </c>
      <c r="K180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46110</v>
      </c>
      <c r="L180" s="49" t="s">
        <v>25</v>
      </c>
      <c r="M180" s="49" t="s">
        <v>2762</v>
      </c>
      <c r="N180" s="48">
        <v>46108</v>
      </c>
    </row>
    <row r="181" spans="2:18" s="49" customFormat="1" ht="15" customHeight="1">
      <c r="B181" s="48"/>
      <c r="D181" s="48">
        <v>46099</v>
      </c>
      <c r="E181" s="50" t="s">
        <v>2763</v>
      </c>
      <c r="G181" s="49" t="s">
        <v>2484</v>
      </c>
      <c r="H181" s="51">
        <v>110.19</v>
      </c>
      <c r="I181" s="51" t="s">
        <v>43</v>
      </c>
      <c r="J18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110.19</v>
      </c>
      <c r="K181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46099</v>
      </c>
      <c r="L181" s="49" t="s">
        <v>25</v>
      </c>
      <c r="M181" s="49" t="s">
        <v>2559</v>
      </c>
      <c r="N181" s="48">
        <v>46099</v>
      </c>
    </row>
    <row r="182" spans="2:18" s="49" customFormat="1" ht="15" customHeight="1">
      <c r="B182" s="48">
        <v>46101</v>
      </c>
      <c r="D182" s="48"/>
      <c r="E182" s="50" t="s">
        <v>2764</v>
      </c>
      <c r="G182" s="49" t="s">
        <v>2765</v>
      </c>
      <c r="H182" s="51">
        <v>65.2</v>
      </c>
      <c r="I182" s="51" t="s">
        <v>43</v>
      </c>
      <c r="J182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65.2</v>
      </c>
      <c r="K182" s="52">
        <v>46101</v>
      </c>
      <c r="L182" s="49" t="s">
        <v>25</v>
      </c>
      <c r="M182" s="49" t="s">
        <v>2766</v>
      </c>
      <c r="N182" s="48"/>
    </row>
    <row r="183" spans="2:18" s="49" customFormat="1" ht="15" customHeight="1">
      <c r="B183" s="48">
        <v>46093</v>
      </c>
      <c r="D183" s="48">
        <v>46099</v>
      </c>
      <c r="E183" s="50" t="s">
        <v>2767</v>
      </c>
      <c r="G183" s="49" t="s">
        <v>2712</v>
      </c>
      <c r="H183" s="51">
        <v>209.9</v>
      </c>
      <c r="I183" s="51" t="s">
        <v>43</v>
      </c>
      <c r="J18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209.9</v>
      </c>
      <c r="K183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46099</v>
      </c>
      <c r="L183" s="49" t="s">
        <v>25</v>
      </c>
      <c r="M183" s="49" t="s">
        <v>2713</v>
      </c>
      <c r="N183" s="48"/>
    </row>
    <row r="184" spans="2:18" s="49" customFormat="1" ht="15" customHeight="1">
      <c r="B184" s="48"/>
      <c r="D184" s="48">
        <v>46052</v>
      </c>
      <c r="E184" s="50" t="s">
        <v>2768</v>
      </c>
      <c r="G184" s="49" t="s">
        <v>2769</v>
      </c>
      <c r="H184" s="51">
        <v>58.72</v>
      </c>
      <c r="I184" s="51" t="s">
        <v>43</v>
      </c>
      <c r="J18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58.72</v>
      </c>
      <c r="K184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46052</v>
      </c>
      <c r="L184" s="49" t="s">
        <v>25</v>
      </c>
      <c r="M184" s="49" t="s">
        <v>2770</v>
      </c>
      <c r="N184" s="48">
        <v>46091</v>
      </c>
    </row>
    <row r="185" spans="2:18" s="49" customFormat="1" ht="15" customHeight="1">
      <c r="B185" s="48"/>
      <c r="D185" s="48">
        <v>46094</v>
      </c>
      <c r="E185" s="50" t="s">
        <v>2500</v>
      </c>
      <c r="G185" s="49" t="s">
        <v>2477</v>
      </c>
      <c r="H185" s="62">
        <v>21</v>
      </c>
      <c r="I185" s="51" t="s">
        <v>43</v>
      </c>
      <c r="J185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21</v>
      </c>
      <c r="K185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46094</v>
      </c>
      <c r="L185" s="49" t="s">
        <v>25</v>
      </c>
      <c r="M185" s="49" t="s">
        <v>2771</v>
      </c>
      <c r="N185" s="48">
        <v>46107</v>
      </c>
      <c r="O185" s="49" t="s">
        <v>27</v>
      </c>
    </row>
    <row r="186" spans="2:18" s="49" customFormat="1" ht="15" customHeight="1">
      <c r="B186" s="48"/>
      <c r="D186" s="48">
        <v>46098</v>
      </c>
      <c r="E186" s="50" t="s">
        <v>2772</v>
      </c>
      <c r="G186" s="49" t="s">
        <v>2477</v>
      </c>
      <c r="H186" s="62">
        <v>85.65</v>
      </c>
      <c r="I186" s="51" t="s">
        <v>43</v>
      </c>
      <c r="J186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85.65</v>
      </c>
      <c r="K186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46098</v>
      </c>
      <c r="L186" s="49" t="s">
        <v>25</v>
      </c>
      <c r="M186" s="49" t="s">
        <v>2773</v>
      </c>
      <c r="N186" s="48">
        <v>46107</v>
      </c>
      <c r="O186" s="49" t="s">
        <v>27</v>
      </c>
    </row>
    <row r="187" spans="2:18" s="49" customFormat="1" ht="15" customHeight="1">
      <c r="B187" s="48"/>
      <c r="D187" s="48">
        <v>46100</v>
      </c>
      <c r="E187" s="50" t="s">
        <v>2774</v>
      </c>
      <c r="G187" s="49" t="s">
        <v>2477</v>
      </c>
      <c r="H187" s="62">
        <v>10.050000000000001</v>
      </c>
      <c r="I187" s="51" t="s">
        <v>43</v>
      </c>
      <c r="J18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10.050000000000001</v>
      </c>
      <c r="K187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46100</v>
      </c>
      <c r="L187" s="49" t="s">
        <v>25</v>
      </c>
      <c r="M187" s="49" t="s">
        <v>2771</v>
      </c>
      <c r="N187" s="48">
        <v>46107</v>
      </c>
      <c r="O187" s="49" t="s">
        <v>27</v>
      </c>
    </row>
    <row r="188" spans="2:18" s="49" customFormat="1" ht="15" customHeight="1">
      <c r="B188" s="48"/>
      <c r="D188" s="48">
        <v>46104</v>
      </c>
      <c r="E188" s="50" t="s">
        <v>2775</v>
      </c>
      <c r="G188" s="49" t="s">
        <v>2491</v>
      </c>
      <c r="H188" s="51">
        <v>231</v>
      </c>
      <c r="I188" s="51" t="s">
        <v>43</v>
      </c>
      <c r="J18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231</v>
      </c>
      <c r="K188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46104</v>
      </c>
      <c r="L188" s="49" t="s">
        <v>25</v>
      </c>
      <c r="M188" s="49" t="s">
        <v>2492</v>
      </c>
      <c r="N188" s="48">
        <v>46104</v>
      </c>
    </row>
    <row r="189" spans="2:18" s="49" customFormat="1" ht="15" customHeight="1">
      <c r="B189" s="48"/>
      <c r="D189" s="48">
        <v>46094</v>
      </c>
      <c r="E189" s="50">
        <v>29</v>
      </c>
      <c r="G189" s="49" t="s">
        <v>2776</v>
      </c>
      <c r="H189" s="62">
        <v>78.760000000000005</v>
      </c>
      <c r="I189" s="51" t="s">
        <v>43</v>
      </c>
      <c r="J189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78.760000000000005</v>
      </c>
      <c r="K189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46094</v>
      </c>
      <c r="L189" s="49" t="s">
        <v>25</v>
      </c>
      <c r="M189" s="49" t="s">
        <v>2777</v>
      </c>
      <c r="N189" s="48">
        <v>46107</v>
      </c>
      <c r="O189" s="49" t="s">
        <v>27</v>
      </c>
    </row>
    <row r="190" spans="2:18" s="49" customFormat="1" ht="15" customHeight="1">
      <c r="B190" s="48"/>
      <c r="D190" s="48">
        <v>46106</v>
      </c>
      <c r="E190" s="50" t="s">
        <v>2778</v>
      </c>
      <c r="G190" s="49" t="s">
        <v>2484</v>
      </c>
      <c r="H190" s="51">
        <v>24.6</v>
      </c>
      <c r="I190" s="51" t="s">
        <v>43</v>
      </c>
      <c r="J190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24.6</v>
      </c>
      <c r="K190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46106</v>
      </c>
      <c r="L190" s="49" t="s">
        <v>25</v>
      </c>
      <c r="M190" s="49" t="s">
        <v>2492</v>
      </c>
      <c r="N190" s="48">
        <v>46106</v>
      </c>
    </row>
    <row r="191" spans="2:18" s="49" customFormat="1" ht="15" customHeight="1">
      <c r="B191" s="48"/>
      <c r="D191" s="48">
        <v>46106</v>
      </c>
      <c r="E191" s="50" t="s">
        <v>2779</v>
      </c>
      <c r="G191" s="49" t="s">
        <v>2506</v>
      </c>
      <c r="H191" s="51">
        <v>80.16</v>
      </c>
      <c r="I191" s="51" t="s">
        <v>98</v>
      </c>
      <c r="J19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80.16</v>
      </c>
      <c r="K191" s="52">
        <v>46106</v>
      </c>
      <c r="L191" s="49" t="s">
        <v>25</v>
      </c>
      <c r="N191" s="48"/>
      <c r="R191" s="49" t="s">
        <v>32</v>
      </c>
    </row>
    <row r="192" spans="2:18" s="49" customFormat="1" ht="15" customHeight="1">
      <c r="B192" s="48">
        <v>46100</v>
      </c>
      <c r="C192" s="49" t="s">
        <v>2780</v>
      </c>
      <c r="D192" s="48">
        <v>46108</v>
      </c>
      <c r="E192" s="50" t="s">
        <v>2781</v>
      </c>
      <c r="G192" s="49" t="s">
        <v>2782</v>
      </c>
      <c r="H192" s="62">
        <v>254.4</v>
      </c>
      <c r="I192" s="51" t="s">
        <v>43</v>
      </c>
      <c r="J192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254.4</v>
      </c>
      <c r="K192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46108</v>
      </c>
      <c r="L192" s="49" t="s">
        <v>25</v>
      </c>
      <c r="M192" s="49" t="s">
        <v>2783</v>
      </c>
      <c r="N192" s="48">
        <v>46107</v>
      </c>
      <c r="O192" s="49" t="s">
        <v>94</v>
      </c>
    </row>
    <row r="193" spans="2:18" s="49" customFormat="1" ht="15" customHeight="1">
      <c r="B193" s="48"/>
      <c r="D193" s="48">
        <v>46101</v>
      </c>
      <c r="E193" s="50" t="s">
        <v>2784</v>
      </c>
      <c r="G193" s="49" t="s">
        <v>2612</v>
      </c>
      <c r="H193" s="62">
        <v>4686.5</v>
      </c>
      <c r="I193" s="51" t="s">
        <v>43</v>
      </c>
      <c r="J19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4686.5</v>
      </c>
      <c r="K193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46101</v>
      </c>
      <c r="L193" s="49" t="s">
        <v>25</v>
      </c>
      <c r="M193" s="49" t="s">
        <v>2785</v>
      </c>
      <c r="N193" s="48">
        <v>46107</v>
      </c>
      <c r="O193" s="49" t="s">
        <v>27</v>
      </c>
    </row>
    <row r="194" spans="2:18" ht="15" customHeight="1">
      <c r="B194" s="1">
        <v>46106</v>
      </c>
      <c r="D194" s="1">
        <v>46106</v>
      </c>
      <c r="E194" s="29">
        <v>3</v>
      </c>
      <c r="G194" t="s">
        <v>2749</v>
      </c>
      <c r="H194" s="11">
        <v>40.630000000000003</v>
      </c>
      <c r="I194" s="2" t="s">
        <v>43</v>
      </c>
      <c r="J194" s="10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40.630000000000003</v>
      </c>
      <c r="K194" s="3"/>
      <c r="L194" t="s">
        <v>25</v>
      </c>
      <c r="M194" s="24" t="s">
        <v>2786</v>
      </c>
      <c r="N194" s="1">
        <v>46128</v>
      </c>
      <c r="O194" t="s">
        <v>27</v>
      </c>
      <c r="R194" s="49"/>
    </row>
    <row r="195" spans="2:18" s="49" customFormat="1" ht="15" customHeight="1">
      <c r="B195" s="48"/>
      <c r="D195" s="48">
        <v>46101</v>
      </c>
      <c r="E195" s="50" t="s">
        <v>2784</v>
      </c>
      <c r="G195" s="49" t="s">
        <v>2612</v>
      </c>
      <c r="H195" s="51">
        <v>500</v>
      </c>
      <c r="I195" s="51" t="s">
        <v>43</v>
      </c>
      <c r="J195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500</v>
      </c>
      <c r="K195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46101</v>
      </c>
      <c r="L195" s="49" t="s">
        <v>25</v>
      </c>
      <c r="M195" s="49" t="s">
        <v>2787</v>
      </c>
      <c r="N195" s="48">
        <v>46093</v>
      </c>
      <c r="O195" s="49" t="s">
        <v>27</v>
      </c>
    </row>
    <row r="196" spans="2:18" ht="15" customHeight="1">
      <c r="B196" s="1"/>
      <c r="D196" s="1">
        <v>46105</v>
      </c>
      <c r="E196" s="29"/>
      <c r="G196" t="s">
        <v>2749</v>
      </c>
      <c r="H196" s="11">
        <v>10</v>
      </c>
      <c r="I196" s="2" t="s">
        <v>43</v>
      </c>
      <c r="J196" s="10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10</v>
      </c>
      <c r="K196" s="3"/>
      <c r="L196" t="s">
        <v>25</v>
      </c>
      <c r="M196" s="24" t="s">
        <v>2788</v>
      </c>
      <c r="N196" s="1">
        <v>46128</v>
      </c>
      <c r="O196" t="s">
        <v>27</v>
      </c>
      <c r="R196" s="49"/>
    </row>
    <row r="197" spans="2:18" s="49" customFormat="1" ht="15" customHeight="1">
      <c r="B197" s="48"/>
      <c r="D197" s="48">
        <v>46106</v>
      </c>
      <c r="E197" s="49" t="s">
        <v>2789</v>
      </c>
      <c r="G197" s="49" t="s">
        <v>2790</v>
      </c>
      <c r="H197" s="51">
        <v>75.63</v>
      </c>
      <c r="I197" s="51" t="s">
        <v>98</v>
      </c>
      <c r="J19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75.63</v>
      </c>
      <c r="K197" s="52">
        <v>46111</v>
      </c>
      <c r="L197" s="49" t="s">
        <v>25</v>
      </c>
      <c r="M197" s="49" t="s">
        <v>2791</v>
      </c>
      <c r="N197" s="48"/>
    </row>
    <row r="198" spans="2:18" s="49" customFormat="1" ht="15" customHeight="1">
      <c r="B198" s="48"/>
      <c r="D198" s="48">
        <v>46106</v>
      </c>
      <c r="E198" s="50" t="s">
        <v>2792</v>
      </c>
      <c r="G198" s="49" t="s">
        <v>2484</v>
      </c>
      <c r="H198" s="51">
        <v>104</v>
      </c>
      <c r="I198" s="51" t="s">
        <v>43</v>
      </c>
      <c r="J19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104</v>
      </c>
      <c r="K198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46106</v>
      </c>
      <c r="L198" s="49" t="s">
        <v>25</v>
      </c>
      <c r="M198" s="49" t="s">
        <v>2559</v>
      </c>
      <c r="N198" s="48">
        <v>46106</v>
      </c>
    </row>
    <row r="199" spans="2:18" s="49" customFormat="1" ht="15" customHeight="1">
      <c r="B199" s="48"/>
      <c r="D199" s="48">
        <v>46107</v>
      </c>
      <c r="E199" s="50" t="s">
        <v>2793</v>
      </c>
      <c r="G199" s="49" t="s">
        <v>2506</v>
      </c>
      <c r="H199" s="51">
        <v>14.51</v>
      </c>
      <c r="I199" s="51" t="s">
        <v>98</v>
      </c>
      <c r="J199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14.51</v>
      </c>
      <c r="K199" s="52">
        <v>46107</v>
      </c>
      <c r="L199" s="49" t="s">
        <v>25</v>
      </c>
      <c r="N199" s="48"/>
      <c r="R199" s="49" t="s">
        <v>32</v>
      </c>
    </row>
    <row r="200" spans="2:18" s="49" customFormat="1" ht="15" customHeight="1">
      <c r="B200" s="48"/>
      <c r="D200" s="48">
        <v>46105</v>
      </c>
      <c r="E200" s="50" t="s">
        <v>2794</v>
      </c>
      <c r="G200" s="49" t="s">
        <v>2795</v>
      </c>
      <c r="H200" s="51">
        <v>50</v>
      </c>
      <c r="I200" s="51" t="s">
        <v>43</v>
      </c>
      <c r="J200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50</v>
      </c>
      <c r="K200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46105</v>
      </c>
      <c r="L200" s="49" t="s">
        <v>25</v>
      </c>
      <c r="M200" s="49" t="s">
        <v>2796</v>
      </c>
      <c r="N200" s="48">
        <v>46105</v>
      </c>
    </row>
    <row r="201" spans="2:18" s="49" customFormat="1" ht="15" customHeight="1">
      <c r="B201" s="48"/>
      <c r="D201" s="48">
        <v>46100</v>
      </c>
      <c r="E201" s="50" t="s">
        <v>2797</v>
      </c>
      <c r="G201" s="49" t="s">
        <v>2608</v>
      </c>
      <c r="H201" s="51">
        <v>7.57</v>
      </c>
      <c r="I201" s="51" t="s">
        <v>43</v>
      </c>
      <c r="J20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7.57</v>
      </c>
      <c r="K201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46100</v>
      </c>
      <c r="L201" s="49" t="s">
        <v>25</v>
      </c>
      <c r="M201" s="49" t="s">
        <v>2798</v>
      </c>
      <c r="N201" s="48">
        <v>46100</v>
      </c>
    </row>
    <row r="202" spans="2:18" s="49" customFormat="1" ht="15" customHeight="1">
      <c r="B202" s="48">
        <v>46205</v>
      </c>
      <c r="D202" s="48">
        <v>46205</v>
      </c>
      <c r="E202" s="50" t="s">
        <v>2799</v>
      </c>
      <c r="G202" s="49" t="s">
        <v>1067</v>
      </c>
      <c r="H202" s="51">
        <v>10.99</v>
      </c>
      <c r="I202" s="51" t="s">
        <v>43</v>
      </c>
      <c r="J202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10.99</v>
      </c>
      <c r="K202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46205</v>
      </c>
      <c r="L202" s="49" t="s">
        <v>25</v>
      </c>
      <c r="M202" s="59" t="s">
        <v>2800</v>
      </c>
      <c r="N202" s="48">
        <v>46205</v>
      </c>
    </row>
    <row r="203" spans="2:18" s="49" customFormat="1" ht="15" customHeight="1">
      <c r="B203" s="48">
        <v>46129</v>
      </c>
      <c r="D203" s="48">
        <v>46131</v>
      </c>
      <c r="E203" s="50" t="s">
        <v>2801</v>
      </c>
      <c r="G203" s="49" t="s">
        <v>1067</v>
      </c>
      <c r="H203" s="51">
        <v>11.22</v>
      </c>
      <c r="I203" s="51" t="s">
        <v>43</v>
      </c>
      <c r="J20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11.22</v>
      </c>
      <c r="K203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46131</v>
      </c>
      <c r="L203" s="49" t="s">
        <v>25</v>
      </c>
      <c r="M203" s="59" t="s">
        <v>2802</v>
      </c>
      <c r="N203" s="48">
        <v>46129</v>
      </c>
    </row>
    <row r="204" spans="2:18" s="49" customFormat="1" ht="15" customHeight="1">
      <c r="B204" s="48">
        <v>46094</v>
      </c>
      <c r="D204" s="48">
        <v>46096</v>
      </c>
      <c r="E204" s="50" t="s">
        <v>2803</v>
      </c>
      <c r="G204" s="49" t="s">
        <v>1067</v>
      </c>
      <c r="H204" s="51">
        <v>11.56</v>
      </c>
      <c r="I204" s="51" t="s">
        <v>43</v>
      </c>
      <c r="J20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11.56</v>
      </c>
      <c r="K204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46096</v>
      </c>
      <c r="L204" s="49" t="s">
        <v>25</v>
      </c>
      <c r="M204" s="49" t="s">
        <v>2804</v>
      </c>
      <c r="N204" s="48">
        <v>46094</v>
      </c>
    </row>
    <row r="205" spans="2:18" s="49" customFormat="1" ht="15" customHeight="1">
      <c r="B205" s="48">
        <v>46169</v>
      </c>
      <c r="C205" s="49" t="s">
        <v>2805</v>
      </c>
      <c r="D205" s="48">
        <v>46204</v>
      </c>
      <c r="E205" s="50" t="s">
        <v>2806</v>
      </c>
      <c r="G205" s="49" t="s">
        <v>2807</v>
      </c>
      <c r="H205" s="51">
        <v>646.14</v>
      </c>
      <c r="I205" s="51" t="s">
        <v>43</v>
      </c>
      <c r="J205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646.14</v>
      </c>
      <c r="K205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46204</v>
      </c>
      <c r="L205" s="49" t="s">
        <v>25</v>
      </c>
      <c r="M205" s="59" t="s">
        <v>2808</v>
      </c>
      <c r="N205" s="48">
        <v>46170</v>
      </c>
      <c r="O205" s="49" t="s">
        <v>45</v>
      </c>
    </row>
    <row r="206" spans="2:18" s="49" customFormat="1" ht="15" customHeight="1">
      <c r="B206" s="48"/>
      <c r="D206" s="48">
        <v>46108</v>
      </c>
      <c r="E206" s="50" t="s">
        <v>2809</v>
      </c>
      <c r="G206" s="49" t="s">
        <v>2810</v>
      </c>
      <c r="H206" s="51">
        <v>326.69</v>
      </c>
      <c r="I206" s="51" t="s">
        <v>98</v>
      </c>
      <c r="J206" s="58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326.69</v>
      </c>
      <c r="K206" s="52">
        <v>46122</v>
      </c>
      <c r="L206" s="49" t="s">
        <v>25</v>
      </c>
      <c r="M206" s="49" t="s">
        <v>2811</v>
      </c>
      <c r="N206" s="48"/>
      <c r="O206" s="49" t="s">
        <v>27</v>
      </c>
    </row>
    <row r="207" spans="2:18" s="49" customFormat="1" ht="15" customHeight="1">
      <c r="B207" s="48"/>
      <c r="D207" s="48">
        <v>46113</v>
      </c>
      <c r="E207" s="50" t="s">
        <v>2812</v>
      </c>
      <c r="G207" s="49" t="s">
        <v>2597</v>
      </c>
      <c r="H207" s="51">
        <v>23.08</v>
      </c>
      <c r="I207" s="51" t="s">
        <v>98</v>
      </c>
      <c r="J20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23.08</v>
      </c>
      <c r="K207" s="52">
        <v>46113</v>
      </c>
      <c r="L207" s="49" t="s">
        <v>25</v>
      </c>
      <c r="M207" s="49" t="str">
        <f>"Mes de " &amp; TEXT(Tabla14[[#This Row],[Fecha Factura]], "[$-es-ES]mmmm")</f>
        <v>Mes de abril</v>
      </c>
      <c r="N207" s="48">
        <v>46113</v>
      </c>
    </row>
    <row r="208" spans="2:18" s="49" customFormat="1" ht="15" customHeight="1">
      <c r="B208" s="48"/>
      <c r="D208" s="48">
        <v>46101</v>
      </c>
      <c r="E208" s="50" t="s">
        <v>2813</v>
      </c>
      <c r="G208" s="49" t="s">
        <v>2814</v>
      </c>
      <c r="H208" s="51">
        <v>226.9</v>
      </c>
      <c r="I208" s="51" t="s">
        <v>55</v>
      </c>
      <c r="J20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226.9</v>
      </c>
      <c r="K208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208" s="49" t="s">
        <v>25</v>
      </c>
      <c r="M208" s="49" t="s">
        <v>2815</v>
      </c>
      <c r="N208" s="48">
        <v>46112</v>
      </c>
    </row>
    <row r="209" spans="1:18" s="49" customFormat="1" ht="15" customHeight="1">
      <c r="B209" s="48"/>
      <c r="D209" s="48">
        <v>46113</v>
      </c>
      <c r="E209" s="50">
        <v>542421316</v>
      </c>
      <c r="G209" s="49" t="s">
        <v>2609</v>
      </c>
      <c r="H209" s="51">
        <v>27.75</v>
      </c>
      <c r="I209" s="51" t="s">
        <v>43</v>
      </c>
      <c r="J209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27.75</v>
      </c>
      <c r="K209" s="52">
        <v>46115</v>
      </c>
      <c r="L209" s="49" t="s">
        <v>25</v>
      </c>
      <c r="M209" s="49" t="s">
        <v>2816</v>
      </c>
      <c r="N209" s="48"/>
    </row>
    <row r="210" spans="1:18" s="49" customFormat="1" ht="15" customHeight="1">
      <c r="B210" s="48"/>
      <c r="D210" s="48">
        <v>46108</v>
      </c>
      <c r="E210" s="50" t="s">
        <v>2817</v>
      </c>
      <c r="G210" s="49" t="s">
        <v>2818</v>
      </c>
      <c r="H210" s="51">
        <v>16.95</v>
      </c>
      <c r="I210" s="51" t="s">
        <v>43</v>
      </c>
      <c r="J210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16.95</v>
      </c>
      <c r="K210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46108</v>
      </c>
      <c r="L210" s="49" t="s">
        <v>25</v>
      </c>
      <c r="M210" s="49" t="s">
        <v>2819</v>
      </c>
      <c r="N210" s="48">
        <v>46108</v>
      </c>
    </row>
    <row r="211" spans="1:18" s="49" customFormat="1" ht="15" customHeight="1">
      <c r="B211" s="48"/>
      <c r="D211" s="48">
        <v>46098</v>
      </c>
      <c r="E211" s="50" t="s">
        <v>2820</v>
      </c>
      <c r="G211" s="49" t="s">
        <v>2712</v>
      </c>
      <c r="H211" s="51">
        <v>764.55</v>
      </c>
      <c r="I211" s="51" t="s">
        <v>43</v>
      </c>
      <c r="J21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764.55</v>
      </c>
      <c r="K211" s="52">
        <v>46098</v>
      </c>
      <c r="L211" s="49" t="s">
        <v>25</v>
      </c>
      <c r="M211" s="49" t="s">
        <v>2821</v>
      </c>
      <c r="N211" s="48"/>
    </row>
    <row r="212" spans="1:18" s="49" customFormat="1" ht="15" customHeight="1">
      <c r="B212" s="48"/>
      <c r="D212" s="48">
        <v>46113</v>
      </c>
      <c r="E212" s="50" t="s">
        <v>2822</v>
      </c>
      <c r="G212" s="49" t="s">
        <v>2461</v>
      </c>
      <c r="H212" s="51">
        <v>58.9</v>
      </c>
      <c r="I212" s="51" t="s">
        <v>98</v>
      </c>
      <c r="J212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58.9</v>
      </c>
      <c r="K212" s="52">
        <v>46119</v>
      </c>
      <c r="L212" s="49" t="s">
        <v>25</v>
      </c>
      <c r="M212" s="49" t="s">
        <v>2627</v>
      </c>
      <c r="N212" s="48"/>
    </row>
    <row r="213" spans="1:18" s="49" customFormat="1" ht="15" customHeight="1">
      <c r="B213" s="48"/>
      <c r="D213" s="48">
        <v>46113</v>
      </c>
      <c r="E213" s="50" t="s">
        <v>2823</v>
      </c>
      <c r="G213" s="49" t="s">
        <v>2824</v>
      </c>
      <c r="H213" s="51">
        <v>712.49</v>
      </c>
      <c r="I213" s="51" t="s">
        <v>43</v>
      </c>
      <c r="J21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712.49</v>
      </c>
      <c r="K213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46113</v>
      </c>
      <c r="L213" s="49" t="s">
        <v>25</v>
      </c>
      <c r="M213" s="49" t="s">
        <v>2825</v>
      </c>
      <c r="N213" s="48">
        <v>46113</v>
      </c>
      <c r="O213" s="49" t="s">
        <v>2826</v>
      </c>
    </row>
    <row r="214" spans="1:18" s="49" customFormat="1" ht="15" customHeight="1">
      <c r="B214" s="48">
        <v>46121</v>
      </c>
      <c r="D214" s="48">
        <v>46121</v>
      </c>
      <c r="E214" s="50" t="s">
        <v>2827</v>
      </c>
      <c r="G214" s="49" t="s">
        <v>1067</v>
      </c>
      <c r="H214" s="51">
        <v>11.56</v>
      </c>
      <c r="I214" s="51" t="s">
        <v>43</v>
      </c>
      <c r="J21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11.56</v>
      </c>
      <c r="K214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46121</v>
      </c>
      <c r="L214" s="49" t="s">
        <v>25</v>
      </c>
      <c r="M214" s="49" t="s">
        <v>2804</v>
      </c>
      <c r="N214" s="48">
        <v>46121</v>
      </c>
    </row>
    <row r="215" spans="1:18" s="49" customFormat="1" ht="15" customHeight="1">
      <c r="A215" s="49" t="s">
        <v>453</v>
      </c>
      <c r="B215" s="48"/>
      <c r="D215" s="48">
        <v>46117</v>
      </c>
      <c r="E215" s="50" t="s">
        <v>2828</v>
      </c>
      <c r="G215" s="49" t="s">
        <v>2506</v>
      </c>
      <c r="H215" s="51">
        <v>72.599999999999994</v>
      </c>
      <c r="I215" s="51" t="s">
        <v>98</v>
      </c>
      <c r="J215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72.599999999999994</v>
      </c>
      <c r="K215" s="52">
        <v>46117</v>
      </c>
      <c r="L215" s="49" t="s">
        <v>25</v>
      </c>
      <c r="M215" s="49" t="s">
        <v>2829</v>
      </c>
      <c r="N215" s="48"/>
      <c r="R215" s="49" t="s">
        <v>32</v>
      </c>
    </row>
    <row r="216" spans="1:18" s="49" customFormat="1" ht="15" customHeight="1">
      <c r="B216" s="48"/>
      <c r="D216" s="48">
        <v>46119</v>
      </c>
      <c r="E216" s="50" t="s">
        <v>2830</v>
      </c>
      <c r="G216" s="49" t="s">
        <v>2506</v>
      </c>
      <c r="H216" s="51">
        <v>18.09</v>
      </c>
      <c r="I216" s="51" t="s">
        <v>98</v>
      </c>
      <c r="J216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18.09</v>
      </c>
      <c r="K216" s="52">
        <v>46119</v>
      </c>
      <c r="L216" s="49" t="s">
        <v>25</v>
      </c>
      <c r="M216" s="49" t="s">
        <v>2831</v>
      </c>
      <c r="N216" s="48"/>
      <c r="R216" s="49" t="s">
        <v>32</v>
      </c>
    </row>
    <row r="217" spans="1:18" s="49" customFormat="1" ht="15" customHeight="1">
      <c r="B217" s="48"/>
      <c r="D217" s="48">
        <v>46112</v>
      </c>
      <c r="E217" s="50">
        <v>2601200</v>
      </c>
      <c r="G217" s="49" t="s">
        <v>2636</v>
      </c>
      <c r="H217" s="51">
        <v>667.6</v>
      </c>
      <c r="I217" s="51" t="s">
        <v>55</v>
      </c>
      <c r="J217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667.6</v>
      </c>
      <c r="K217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217" s="49" t="s">
        <v>25</v>
      </c>
      <c r="M217" s="49" t="s">
        <v>2832</v>
      </c>
      <c r="N217" s="48">
        <v>46121</v>
      </c>
      <c r="O217" s="49" t="s">
        <v>27</v>
      </c>
    </row>
    <row r="218" spans="1:18" s="49" customFormat="1" ht="15" customHeight="1">
      <c r="B218" s="48"/>
      <c r="D218" s="48">
        <v>46113</v>
      </c>
      <c r="E218" s="50" t="s">
        <v>2833</v>
      </c>
      <c r="G218" s="49" t="s">
        <v>2481</v>
      </c>
      <c r="H218" s="51">
        <v>1635.32</v>
      </c>
      <c r="I218" s="51" t="s">
        <v>98</v>
      </c>
      <c r="J21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1635.32</v>
      </c>
      <c r="K218" s="52">
        <v>46121</v>
      </c>
      <c r="L218" t="s">
        <v>25</v>
      </c>
      <c r="M218" s="49" t="s">
        <v>2834</v>
      </c>
      <c r="N218" s="48">
        <v>46121</v>
      </c>
    </row>
    <row r="219" spans="1:18" s="49" customFormat="1" ht="15" customHeight="1">
      <c r="B219" s="48"/>
      <c r="D219" s="48">
        <v>46117</v>
      </c>
      <c r="E219" s="50" t="s">
        <v>2835</v>
      </c>
      <c r="G219" s="49" t="s">
        <v>2526</v>
      </c>
      <c r="H219" s="51">
        <v>776.17</v>
      </c>
      <c r="I219" s="51" t="s">
        <v>98</v>
      </c>
      <c r="J219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776.17</v>
      </c>
      <c r="K219" s="52">
        <v>46118</v>
      </c>
      <c r="L219" s="49" t="s">
        <v>25</v>
      </c>
      <c r="M219" s="49" t="s">
        <v>2836</v>
      </c>
      <c r="N219" s="48">
        <v>46133</v>
      </c>
    </row>
    <row r="220" spans="1:18" s="49" customFormat="1" ht="15" customHeight="1">
      <c r="B220" s="48">
        <v>46119</v>
      </c>
      <c r="C220" s="49" t="s">
        <v>2837</v>
      </c>
      <c r="D220" s="48">
        <v>46126</v>
      </c>
      <c r="E220" s="50" t="s">
        <v>2838</v>
      </c>
      <c r="G220" s="49" t="s">
        <v>2782</v>
      </c>
      <c r="H220" s="51">
        <v>212</v>
      </c>
      <c r="I220" s="51" t="s">
        <v>43</v>
      </c>
      <c r="J220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212</v>
      </c>
      <c r="K220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46126</v>
      </c>
      <c r="L220" s="49" t="s">
        <v>25</v>
      </c>
      <c r="M220" s="49" t="s">
        <v>2839</v>
      </c>
      <c r="N220" s="48">
        <v>46121</v>
      </c>
      <c r="O220" s="49" t="s">
        <v>94</v>
      </c>
    </row>
    <row r="221" spans="1:18" s="49" customFormat="1" ht="15" customHeight="1">
      <c r="B221" s="48"/>
      <c r="D221" s="48">
        <v>46111</v>
      </c>
      <c r="E221" s="50" t="s">
        <v>2840</v>
      </c>
      <c r="G221" s="49" t="s">
        <v>2503</v>
      </c>
      <c r="H221" s="51">
        <v>25.22</v>
      </c>
      <c r="I221" s="51" t="s">
        <v>55</v>
      </c>
      <c r="J221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25.22</v>
      </c>
      <c r="K221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221" s="49" t="s">
        <v>25</v>
      </c>
      <c r="M221" s="49" t="s">
        <v>2841</v>
      </c>
      <c r="N221" s="48">
        <v>46121</v>
      </c>
      <c r="O221" s="49" t="s">
        <v>94</v>
      </c>
    </row>
    <row r="222" spans="1:18" s="49" customFormat="1" ht="15" customHeight="1">
      <c r="B222" s="48"/>
      <c r="D222" s="48">
        <v>46112</v>
      </c>
      <c r="E222" s="50" t="s">
        <v>2842</v>
      </c>
      <c r="G222" s="49" t="s">
        <v>2722</v>
      </c>
      <c r="H222" s="58">
        <v>46.64</v>
      </c>
      <c r="I222" s="51" t="s">
        <v>55</v>
      </c>
      <c r="J222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46.64</v>
      </c>
      <c r="K222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222" s="49" t="s">
        <v>25</v>
      </c>
      <c r="M222" s="49" t="s">
        <v>2843</v>
      </c>
      <c r="N222" s="48">
        <v>46121</v>
      </c>
      <c r="O222" s="49" t="s">
        <v>94</v>
      </c>
    </row>
    <row r="223" spans="1:18" s="49" customFormat="1" ht="15" customHeight="1">
      <c r="B223" s="48"/>
      <c r="D223" s="48">
        <v>46094</v>
      </c>
      <c r="E223" s="50" t="s">
        <v>2844</v>
      </c>
      <c r="G223" s="49" t="s">
        <v>2503</v>
      </c>
      <c r="H223" s="51">
        <v>270.72000000000003</v>
      </c>
      <c r="I223" s="51" t="s">
        <v>55</v>
      </c>
      <c r="J223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270.72000000000003</v>
      </c>
      <c r="K223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223" s="49" t="s">
        <v>25</v>
      </c>
      <c r="M223" s="49" t="s">
        <v>2845</v>
      </c>
      <c r="N223" s="48">
        <v>46121</v>
      </c>
      <c r="O223" s="49" t="s">
        <v>94</v>
      </c>
    </row>
    <row r="224" spans="1:18" s="49" customFormat="1" ht="15" customHeight="1">
      <c r="B224" s="48"/>
      <c r="D224" s="48">
        <v>46101</v>
      </c>
      <c r="E224" s="50" t="s">
        <v>2846</v>
      </c>
      <c r="G224" s="49" t="s">
        <v>2847</v>
      </c>
      <c r="H224" s="51">
        <v>145.47</v>
      </c>
      <c r="I224" s="51" t="s">
        <v>55</v>
      </c>
      <c r="J224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145.47</v>
      </c>
      <c r="K224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224" s="49" t="s">
        <v>25</v>
      </c>
      <c r="M224" s="49" t="s">
        <v>2848</v>
      </c>
      <c r="N224" s="48">
        <v>46121</v>
      </c>
      <c r="O224" s="49" t="s">
        <v>94</v>
      </c>
    </row>
    <row r="225" spans="2:18" s="49" customFormat="1" ht="15" customHeight="1">
      <c r="B225" s="48"/>
      <c r="D225" s="48">
        <v>46111</v>
      </c>
      <c r="E225" s="50" t="s">
        <v>2849</v>
      </c>
      <c r="G225" s="49" t="s">
        <v>2850</v>
      </c>
      <c r="H225" s="51">
        <v>775</v>
      </c>
      <c r="I225" s="51" t="s">
        <v>55</v>
      </c>
      <c r="J225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775</v>
      </c>
      <c r="K225" s="52">
        <v>46128</v>
      </c>
      <c r="L225" s="49" t="s">
        <v>25</v>
      </c>
      <c r="M225" s="49" t="s">
        <v>2851</v>
      </c>
      <c r="N225" s="48">
        <v>46128</v>
      </c>
      <c r="O225" s="49" t="s">
        <v>45</v>
      </c>
    </row>
    <row r="226" spans="2:18" s="49" customFormat="1" ht="15" customHeight="1">
      <c r="B226" s="48">
        <v>46153</v>
      </c>
      <c r="D226" s="48">
        <v>46154</v>
      </c>
      <c r="E226" s="50" t="s">
        <v>2852</v>
      </c>
      <c r="G226" s="49" t="s">
        <v>1067</v>
      </c>
      <c r="H226" s="51">
        <v>11.99</v>
      </c>
      <c r="I226" s="51" t="s">
        <v>43</v>
      </c>
      <c r="J226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11.99</v>
      </c>
      <c r="K226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46154</v>
      </c>
      <c r="L226" s="49" t="s">
        <v>25</v>
      </c>
      <c r="M226" s="59" t="s">
        <v>2853</v>
      </c>
      <c r="N226" s="48">
        <v>46153</v>
      </c>
    </row>
    <row r="227" spans="2:18" s="49" customFormat="1" ht="15" customHeight="1">
      <c r="B227" s="48">
        <v>46169</v>
      </c>
      <c r="D227" s="48">
        <v>46169</v>
      </c>
      <c r="E227" s="50" t="s">
        <v>2854</v>
      </c>
      <c r="G227" s="49" t="s">
        <v>1067</v>
      </c>
      <c r="H227" s="51">
        <v>12.2</v>
      </c>
      <c r="I227" s="51" t="s">
        <v>43</v>
      </c>
      <c r="J22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12.2</v>
      </c>
      <c r="K227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46169</v>
      </c>
      <c r="L227" s="49" t="s">
        <v>25</v>
      </c>
      <c r="M227" s="59" t="s">
        <v>2855</v>
      </c>
      <c r="N227" s="48">
        <v>46169</v>
      </c>
    </row>
    <row r="228" spans="2:18" s="49" customFormat="1" ht="15" customHeight="1">
      <c r="B228" s="48"/>
      <c r="D228" s="48">
        <v>46113</v>
      </c>
      <c r="E228" s="50" t="s">
        <v>2856</v>
      </c>
      <c r="G228" s="49" t="s">
        <v>2461</v>
      </c>
      <c r="H228" s="51">
        <v>58.72</v>
      </c>
      <c r="I228" s="51" t="s">
        <v>98</v>
      </c>
      <c r="J22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58.72</v>
      </c>
      <c r="K228" s="52">
        <v>46119</v>
      </c>
      <c r="L228" s="49" t="s">
        <v>25</v>
      </c>
      <c r="M228" s="49" t="s">
        <v>2635</v>
      </c>
      <c r="N228" s="48">
        <v>46119</v>
      </c>
    </row>
    <row r="229" spans="2:18" s="49" customFormat="1" ht="15" customHeight="1">
      <c r="B229" s="48"/>
      <c r="D229" s="48">
        <v>46113</v>
      </c>
      <c r="E229" s="50" t="s">
        <v>2857</v>
      </c>
      <c r="G229" s="49" t="s">
        <v>2461</v>
      </c>
      <c r="H229" s="51">
        <v>60.97</v>
      </c>
      <c r="I229" s="51" t="s">
        <v>98</v>
      </c>
      <c r="J229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60.97</v>
      </c>
      <c r="K229" s="52">
        <v>46119</v>
      </c>
      <c r="L229" s="49" t="s">
        <v>25</v>
      </c>
      <c r="M229" s="49" t="s">
        <v>2633</v>
      </c>
      <c r="N229" s="48">
        <v>46119</v>
      </c>
    </row>
    <row r="230" spans="2:18" s="49" customFormat="1" ht="15" customHeight="1">
      <c r="B230" s="48">
        <v>46121</v>
      </c>
      <c r="C230" s="49">
        <v>11528</v>
      </c>
      <c r="D230" s="48">
        <v>46129</v>
      </c>
      <c r="E230" s="50">
        <v>111338</v>
      </c>
      <c r="G230" s="49" t="s">
        <v>2680</v>
      </c>
      <c r="H230" s="51">
        <v>224</v>
      </c>
      <c r="I230" s="51" t="s">
        <v>55</v>
      </c>
      <c r="J230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224</v>
      </c>
      <c r="K230" s="52">
        <v>46128</v>
      </c>
      <c r="L230" s="49" t="s">
        <v>25</v>
      </c>
      <c r="M230" s="59" t="s">
        <v>2858</v>
      </c>
      <c r="N230" s="48">
        <v>46128</v>
      </c>
      <c r="O230" s="49" t="s">
        <v>27</v>
      </c>
    </row>
    <row r="231" spans="2:18" s="49" customFormat="1" ht="15" customHeight="1">
      <c r="B231" s="48"/>
      <c r="D231" s="48">
        <v>46121</v>
      </c>
      <c r="E231" s="50" t="s">
        <v>2859</v>
      </c>
      <c r="G231" s="49" t="s">
        <v>2484</v>
      </c>
      <c r="H231" s="51">
        <v>70.69</v>
      </c>
      <c r="I231" s="51" t="s">
        <v>43</v>
      </c>
      <c r="J23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70.69</v>
      </c>
      <c r="K231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46121</v>
      </c>
      <c r="L231" s="49" t="s">
        <v>25</v>
      </c>
      <c r="M231" s="49" t="s">
        <v>2559</v>
      </c>
      <c r="N231" s="48">
        <v>46121</v>
      </c>
    </row>
    <row r="232" spans="2:18" s="49" customFormat="1" ht="15" customHeight="1">
      <c r="B232" s="48"/>
      <c r="D232" s="48">
        <v>46122</v>
      </c>
      <c r="E232" s="50">
        <v>202600074</v>
      </c>
      <c r="G232" s="49" t="s">
        <v>2489</v>
      </c>
      <c r="H232" s="51">
        <v>892.5</v>
      </c>
      <c r="I232" s="51" t="s">
        <v>98</v>
      </c>
      <c r="J232" s="58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892.5</v>
      </c>
      <c r="K232" s="52">
        <v>46132</v>
      </c>
      <c r="L232" s="49" t="s">
        <v>25</v>
      </c>
      <c r="M232" s="49" t="s">
        <v>2860</v>
      </c>
      <c r="N232" s="48"/>
    </row>
    <row r="233" spans="2:18" s="49" customFormat="1" ht="15" customHeight="1">
      <c r="B233" s="48"/>
      <c r="D233" s="48">
        <v>46112</v>
      </c>
      <c r="E233" s="50" t="s">
        <v>2861</v>
      </c>
      <c r="G233" s="49" t="s">
        <v>2532</v>
      </c>
      <c r="H233" s="51">
        <v>119.05</v>
      </c>
      <c r="I233" s="51" t="s">
        <v>98</v>
      </c>
      <c r="J23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119.05</v>
      </c>
      <c r="K233" s="52">
        <v>46114</v>
      </c>
      <c r="L233" s="49" t="s">
        <v>25</v>
      </c>
      <c r="M233" s="49" t="s">
        <v>2642</v>
      </c>
      <c r="N233" s="48">
        <v>46114</v>
      </c>
    </row>
    <row r="234" spans="2:18" s="49" customFormat="1" ht="15" customHeight="1">
      <c r="B234" s="48"/>
      <c r="D234" s="48">
        <v>46118</v>
      </c>
      <c r="E234" s="50" t="s">
        <v>2862</v>
      </c>
      <c r="G234" s="49" t="s">
        <v>2484</v>
      </c>
      <c r="H234" s="51">
        <v>90.65</v>
      </c>
      <c r="I234" s="51" t="s">
        <v>43</v>
      </c>
      <c r="J23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90.65</v>
      </c>
      <c r="K234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46118</v>
      </c>
      <c r="L234" s="49" t="s">
        <v>25</v>
      </c>
      <c r="M234" s="49" t="s">
        <v>2559</v>
      </c>
      <c r="N234" s="48">
        <v>46118</v>
      </c>
    </row>
    <row r="235" spans="2:18" s="49" customFormat="1" ht="15" customHeight="1">
      <c r="B235" s="48"/>
      <c r="D235" s="48">
        <v>46109</v>
      </c>
      <c r="E235" s="50">
        <v>1852256827</v>
      </c>
      <c r="G235" s="49" t="s">
        <v>2530</v>
      </c>
      <c r="H235" s="51">
        <v>39.9</v>
      </c>
      <c r="I235" s="51" t="s">
        <v>43</v>
      </c>
      <c r="J235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39.9</v>
      </c>
      <c r="K235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46109</v>
      </c>
      <c r="L235" s="49" t="s">
        <v>25</v>
      </c>
      <c r="N235" s="48"/>
    </row>
    <row r="236" spans="2:18" s="151" customFormat="1" ht="15" customHeight="1">
      <c r="B236" s="48">
        <v>46091</v>
      </c>
      <c r="C236" s="49"/>
      <c r="D236" s="48">
        <v>46093</v>
      </c>
      <c r="E236" s="50" t="s">
        <v>2863</v>
      </c>
      <c r="F236" s="49"/>
      <c r="G236" s="49" t="s">
        <v>1067</v>
      </c>
      <c r="H236" s="58">
        <v>12.42</v>
      </c>
      <c r="I236" s="58" t="s">
        <v>43</v>
      </c>
      <c r="J236" s="58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12.42</v>
      </c>
      <c r="K236" s="90"/>
      <c r="L236" s="49" t="s">
        <v>25</v>
      </c>
      <c r="M236" s="49" t="s">
        <v>2864</v>
      </c>
      <c r="N236" s="48">
        <v>46091</v>
      </c>
      <c r="O236" s="49"/>
      <c r="P236" s="49"/>
      <c r="Q236" s="49"/>
      <c r="R236" s="49"/>
    </row>
    <row r="237" spans="2:18" s="49" customFormat="1" ht="15" customHeight="1">
      <c r="B237" s="48">
        <v>46182</v>
      </c>
      <c r="D237" s="48">
        <v>46182</v>
      </c>
      <c r="E237" s="50" t="s">
        <v>2865</v>
      </c>
      <c r="G237" s="49" t="s">
        <v>1067</v>
      </c>
      <c r="H237" s="51">
        <v>13.56</v>
      </c>
      <c r="I237" s="51" t="s">
        <v>43</v>
      </c>
      <c r="J23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13.56</v>
      </c>
      <c r="K237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46182</v>
      </c>
      <c r="L237" s="49" t="s">
        <v>25</v>
      </c>
      <c r="M237" s="59" t="s">
        <v>2866</v>
      </c>
      <c r="N237" s="48">
        <v>46182</v>
      </c>
    </row>
    <row r="238" spans="2:18" s="49" customFormat="1" ht="15" customHeight="1">
      <c r="B238" s="48"/>
      <c r="D238" s="48">
        <v>46125</v>
      </c>
      <c r="E238" s="50" t="s">
        <v>2867</v>
      </c>
      <c r="G238" s="49" t="s">
        <v>2868</v>
      </c>
      <c r="H238" s="51">
        <v>50</v>
      </c>
      <c r="I238" s="51" t="s">
        <v>43</v>
      </c>
      <c r="J23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50</v>
      </c>
      <c r="K238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46125</v>
      </c>
      <c r="L238" s="49" t="s">
        <v>25</v>
      </c>
      <c r="M238" s="49" t="s">
        <v>2869</v>
      </c>
      <c r="N238" s="48">
        <v>46125</v>
      </c>
    </row>
    <row r="239" spans="2:18" s="49" customFormat="1" ht="15" customHeight="1">
      <c r="B239" s="48"/>
      <c r="D239" s="48">
        <v>46125</v>
      </c>
      <c r="E239" s="50">
        <v>26164012355</v>
      </c>
      <c r="G239" s="49" t="s">
        <v>2530</v>
      </c>
      <c r="H239" s="51">
        <v>2.35</v>
      </c>
      <c r="I239" s="51" t="s">
        <v>43</v>
      </c>
      <c r="J239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2.35</v>
      </c>
      <c r="K239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46125</v>
      </c>
      <c r="L239" s="49" t="s">
        <v>25</v>
      </c>
      <c r="M239" s="49" t="s">
        <v>2870</v>
      </c>
      <c r="N239" s="48">
        <v>46125</v>
      </c>
    </row>
    <row r="240" spans="2:18" s="49" customFormat="1" ht="15" customHeight="1">
      <c r="B240" s="48"/>
      <c r="D240" s="48">
        <v>46122</v>
      </c>
      <c r="E240" s="50" t="s">
        <v>2871</v>
      </c>
      <c r="G240" s="49" t="s">
        <v>2506</v>
      </c>
      <c r="H240" s="51">
        <v>12.1</v>
      </c>
      <c r="I240" s="51" t="s">
        <v>98</v>
      </c>
      <c r="J240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12.1</v>
      </c>
      <c r="K240" s="52">
        <v>46122</v>
      </c>
      <c r="L240" s="49" t="s">
        <v>25</v>
      </c>
      <c r="M240" s="49" t="s">
        <v>2872</v>
      </c>
      <c r="N240" s="48"/>
      <c r="R240" s="49" t="s">
        <v>32</v>
      </c>
    </row>
    <row r="241" spans="2:18" s="49" customFormat="1" ht="15" customHeight="1">
      <c r="B241" s="48"/>
      <c r="D241" s="48">
        <v>46125</v>
      </c>
      <c r="E241" s="50" t="s">
        <v>2873</v>
      </c>
      <c r="G241" s="49" t="s">
        <v>2545</v>
      </c>
      <c r="H241" s="51">
        <v>4204.75</v>
      </c>
      <c r="I241" s="51" t="s">
        <v>55</v>
      </c>
      <c r="J241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4204.75</v>
      </c>
      <c r="K241" s="52">
        <v>46128</v>
      </c>
      <c r="L241" s="49" t="s">
        <v>25</v>
      </c>
      <c r="M241" s="59" t="s">
        <v>2874</v>
      </c>
      <c r="N241" s="48">
        <v>46128</v>
      </c>
      <c r="O241" s="49" t="s">
        <v>27</v>
      </c>
    </row>
    <row r="242" spans="2:18" s="49" customFormat="1" ht="15" customHeight="1">
      <c r="B242" s="48"/>
      <c r="D242" s="48">
        <v>46058</v>
      </c>
      <c r="E242" s="50">
        <v>2026494272</v>
      </c>
      <c r="G242" s="49" t="s">
        <v>2603</v>
      </c>
      <c r="H242" s="51">
        <v>1148.46</v>
      </c>
      <c r="I242" s="51" t="s">
        <v>43</v>
      </c>
      <c r="J242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1148.46</v>
      </c>
      <c r="K242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46058</v>
      </c>
      <c r="L242" s="49" t="s">
        <v>25</v>
      </c>
      <c r="M242" s="49" t="s">
        <v>2875</v>
      </c>
      <c r="N242" s="48"/>
    </row>
    <row r="243" spans="2:18" s="49" customFormat="1" ht="15" customHeight="1">
      <c r="B243" s="48"/>
      <c r="D243" s="48">
        <v>46125</v>
      </c>
      <c r="E243" s="50" t="s">
        <v>2876</v>
      </c>
      <c r="G243" s="49" t="s">
        <v>2506</v>
      </c>
      <c r="H243" s="51">
        <v>7.56</v>
      </c>
      <c r="I243" s="51" t="s">
        <v>98</v>
      </c>
      <c r="J24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7.56</v>
      </c>
      <c r="K243" s="52">
        <v>46125</v>
      </c>
      <c r="L243" s="49" t="s">
        <v>25</v>
      </c>
      <c r="M243" s="49" t="s">
        <v>2877</v>
      </c>
      <c r="N243" s="48"/>
      <c r="R243" s="49" t="s">
        <v>32</v>
      </c>
    </row>
    <row r="244" spans="2:18" s="49" customFormat="1" ht="15" customHeight="1">
      <c r="B244" s="48"/>
      <c r="D244" s="48">
        <v>46125</v>
      </c>
      <c r="E244" s="50" t="s">
        <v>2878</v>
      </c>
      <c r="G244" s="49" t="s">
        <v>2506</v>
      </c>
      <c r="H244" s="51">
        <v>20.350000000000001</v>
      </c>
      <c r="I244" s="51" t="s">
        <v>98</v>
      </c>
      <c r="J24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20.350000000000001</v>
      </c>
      <c r="K244" s="52">
        <v>46125</v>
      </c>
      <c r="L244" s="49" t="s">
        <v>25</v>
      </c>
      <c r="M244" s="49" t="s">
        <v>2877</v>
      </c>
      <c r="N244" s="48"/>
      <c r="R244" s="49" t="s">
        <v>32</v>
      </c>
    </row>
    <row r="245" spans="2:18" s="63" customFormat="1" ht="15" customHeight="1">
      <c r="B245" s="48"/>
      <c r="C245" s="49"/>
      <c r="D245" s="48">
        <v>46075</v>
      </c>
      <c r="E245" s="50" t="s">
        <v>2879</v>
      </c>
      <c r="F245" s="49"/>
      <c r="G245" s="49" t="s">
        <v>2565</v>
      </c>
      <c r="H245" s="51">
        <v>13.21</v>
      </c>
      <c r="I245" s="51" t="s">
        <v>98</v>
      </c>
      <c r="J245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13.21</v>
      </c>
      <c r="K245" s="52">
        <v>46075</v>
      </c>
      <c r="L245" s="49" t="s">
        <v>25</v>
      </c>
      <c r="M245" s="49"/>
      <c r="N245" s="48">
        <v>46074</v>
      </c>
      <c r="O245" s="49"/>
      <c r="P245" s="49"/>
      <c r="Q245" s="49"/>
      <c r="R245" s="49"/>
    </row>
    <row r="246" spans="2:18" s="49" customFormat="1" ht="15" customHeight="1">
      <c r="B246" s="48"/>
      <c r="D246" s="48">
        <v>46103</v>
      </c>
      <c r="E246" s="50" t="s">
        <v>2880</v>
      </c>
      <c r="G246" s="49" t="s">
        <v>2565</v>
      </c>
      <c r="H246" s="51">
        <v>13.21</v>
      </c>
      <c r="I246" s="51" t="s">
        <v>98</v>
      </c>
      <c r="J246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13.21</v>
      </c>
      <c r="K246" s="52">
        <v>46103</v>
      </c>
      <c r="L246" s="49" t="s">
        <v>25</v>
      </c>
      <c r="N246" s="48">
        <v>46106</v>
      </c>
    </row>
    <row r="247" spans="2:18" s="49" customFormat="1" ht="15" customHeight="1">
      <c r="B247" s="48"/>
      <c r="D247" s="48">
        <v>46126</v>
      </c>
      <c r="E247" s="50">
        <v>544</v>
      </c>
      <c r="G247" s="49" t="s">
        <v>2475</v>
      </c>
      <c r="H247" s="51">
        <v>1101.0999999999999</v>
      </c>
      <c r="I247" s="51" t="s">
        <v>55</v>
      </c>
      <c r="J247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1101.0999999999999</v>
      </c>
      <c r="K247" s="52">
        <v>46128</v>
      </c>
      <c r="L247" s="49" t="s">
        <v>25</v>
      </c>
      <c r="M247" s="59" t="s">
        <v>2881</v>
      </c>
      <c r="N247" s="48">
        <v>46128</v>
      </c>
      <c r="O247" s="49" t="s">
        <v>94</v>
      </c>
    </row>
    <row r="248" spans="2:18" ht="15" customHeight="1">
      <c r="B248" s="1"/>
      <c r="D248" s="1">
        <v>46108</v>
      </c>
      <c r="E248" s="29"/>
      <c r="G248" t="s">
        <v>2749</v>
      </c>
      <c r="H248" s="2">
        <f>47+45+8</f>
        <v>100</v>
      </c>
      <c r="I248" s="2" t="s">
        <v>43</v>
      </c>
      <c r="J248" s="10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100</v>
      </c>
      <c r="K248" s="3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46108</v>
      </c>
      <c r="L248" t="s">
        <v>25</v>
      </c>
      <c r="M248" s="24" t="s">
        <v>2882</v>
      </c>
      <c r="N248" s="1">
        <v>46128</v>
      </c>
      <c r="O248" t="s">
        <v>27</v>
      </c>
      <c r="R248" s="49"/>
    </row>
    <row r="249" spans="2:18" ht="15" customHeight="1">
      <c r="B249" s="1"/>
      <c r="D249" s="1">
        <v>46112</v>
      </c>
      <c r="E249" s="29"/>
      <c r="G249" t="s">
        <v>2749</v>
      </c>
      <c r="H249" s="2">
        <f>8+26+14</f>
        <v>48</v>
      </c>
      <c r="I249" s="2" t="s">
        <v>43</v>
      </c>
      <c r="J249" s="10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48</v>
      </c>
      <c r="K249" s="3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46112</v>
      </c>
      <c r="L249" t="s">
        <v>25</v>
      </c>
      <c r="M249" s="24" t="s">
        <v>2883</v>
      </c>
      <c r="N249" s="1">
        <v>46128</v>
      </c>
      <c r="O249" t="s">
        <v>27</v>
      </c>
      <c r="R249" s="49"/>
    </row>
    <row r="250" spans="2:18" s="49" customFormat="1" ht="15" customHeight="1">
      <c r="B250" s="48"/>
      <c r="D250" s="48">
        <v>46127</v>
      </c>
      <c r="E250" s="50" t="s">
        <v>2884</v>
      </c>
      <c r="G250" s="49" t="s">
        <v>2484</v>
      </c>
      <c r="H250" s="51">
        <v>107.87</v>
      </c>
      <c r="I250" s="51" t="s">
        <v>43</v>
      </c>
      <c r="J250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107.87</v>
      </c>
      <c r="K250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46127</v>
      </c>
      <c r="L250" s="49" t="s">
        <v>25</v>
      </c>
      <c r="M250" s="59" t="s">
        <v>2559</v>
      </c>
      <c r="N250" s="48">
        <v>46127</v>
      </c>
    </row>
    <row r="251" spans="2:18" s="49" customFormat="1" ht="15" customHeight="1">
      <c r="B251" s="48">
        <v>46128</v>
      </c>
      <c r="C251" s="49" t="s">
        <v>2885</v>
      </c>
      <c r="D251" s="48"/>
      <c r="E251" s="49" t="s">
        <v>2886</v>
      </c>
      <c r="G251" s="49" t="s">
        <v>2887</v>
      </c>
      <c r="H251" s="51">
        <v>3444.6</v>
      </c>
      <c r="I251" s="51" t="s">
        <v>55</v>
      </c>
      <c r="J251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3444.6</v>
      </c>
      <c r="K251" s="52">
        <v>46128</v>
      </c>
      <c r="L251" s="49" t="s">
        <v>25</v>
      </c>
      <c r="M251" s="59" t="s">
        <v>2888</v>
      </c>
      <c r="N251" s="48">
        <v>46128</v>
      </c>
      <c r="O251" s="49" t="s">
        <v>27</v>
      </c>
    </row>
    <row r="252" spans="2:18" s="49" customFormat="1" ht="15" customHeight="1">
      <c r="B252" s="48"/>
      <c r="D252" s="48">
        <v>46113</v>
      </c>
      <c r="E252" s="50" t="s">
        <v>2889</v>
      </c>
      <c r="G252" s="49" t="s">
        <v>2623</v>
      </c>
      <c r="H252" s="51">
        <v>2733.39</v>
      </c>
      <c r="I252" s="51" t="s">
        <v>55</v>
      </c>
      <c r="J252" s="62">
        <v>2733.39</v>
      </c>
      <c r="K252" s="52">
        <v>46128</v>
      </c>
      <c r="L252" s="49" t="s">
        <v>25</v>
      </c>
      <c r="M252" s="59" t="s">
        <v>2890</v>
      </c>
      <c r="N252" s="48">
        <v>46128</v>
      </c>
      <c r="O252" s="49" t="s">
        <v>2624</v>
      </c>
    </row>
    <row r="253" spans="2:18" s="49" customFormat="1" ht="15" customHeight="1">
      <c r="B253" s="48"/>
      <c r="D253" s="48">
        <v>46112</v>
      </c>
      <c r="E253" s="50">
        <v>12026133295</v>
      </c>
      <c r="G253" s="49" t="s">
        <v>2650</v>
      </c>
      <c r="H253" s="51">
        <v>0</v>
      </c>
      <c r="I253" s="51" t="s">
        <v>43</v>
      </c>
      <c r="J25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0</v>
      </c>
      <c r="K253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46112</v>
      </c>
      <c r="L253" s="49" t="s">
        <v>25</v>
      </c>
      <c r="M253" s="59" t="s">
        <v>2891</v>
      </c>
      <c r="N253" s="48"/>
    </row>
    <row r="254" spans="2:18" s="49" customFormat="1" ht="15" customHeight="1">
      <c r="B254" s="48"/>
      <c r="D254" s="48">
        <v>46111</v>
      </c>
      <c r="E254" s="50">
        <v>12026131743</v>
      </c>
      <c r="G254" s="49" t="s">
        <v>2650</v>
      </c>
      <c r="H254" s="51">
        <v>2695.86</v>
      </c>
      <c r="I254" s="51" t="s">
        <v>43</v>
      </c>
      <c r="J25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2695.86</v>
      </c>
      <c r="K254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46111</v>
      </c>
      <c r="L254" s="49" t="s">
        <v>25</v>
      </c>
      <c r="M254" s="59" t="s">
        <v>2891</v>
      </c>
      <c r="N254" s="48"/>
    </row>
    <row r="255" spans="2:18" s="49" customFormat="1" ht="15" customHeight="1">
      <c r="B255" s="48"/>
      <c r="D255" s="48">
        <v>46122</v>
      </c>
      <c r="E255" s="50" t="s">
        <v>2892</v>
      </c>
      <c r="G255" s="49" t="s">
        <v>2568</v>
      </c>
      <c r="H255" s="51">
        <v>665.5</v>
      </c>
      <c r="I255" s="51" t="s">
        <v>43</v>
      </c>
      <c r="J255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665.5</v>
      </c>
      <c r="K255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46122</v>
      </c>
      <c r="L255" s="49" t="s">
        <v>25</v>
      </c>
      <c r="M255" s="59"/>
      <c r="N255" s="48"/>
    </row>
    <row r="256" spans="2:18" s="49" customFormat="1" ht="15" customHeight="1">
      <c r="B256" s="48">
        <v>46087</v>
      </c>
      <c r="D256" s="48">
        <v>46089</v>
      </c>
      <c r="E256" s="50" t="s">
        <v>2893</v>
      </c>
      <c r="G256" s="49" t="s">
        <v>1067</v>
      </c>
      <c r="H256" s="51">
        <v>13.7</v>
      </c>
      <c r="I256" s="51" t="s">
        <v>43</v>
      </c>
      <c r="J256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13.7</v>
      </c>
      <c r="K256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46089</v>
      </c>
      <c r="L256" s="49" t="s">
        <v>25</v>
      </c>
      <c r="M256" s="49" t="s">
        <v>2894</v>
      </c>
      <c r="N256" s="48">
        <v>46087</v>
      </c>
    </row>
    <row r="257" spans="2:18" s="49" customFormat="1" ht="15" customHeight="1">
      <c r="B257" s="48">
        <v>46147</v>
      </c>
      <c r="D257" s="48">
        <v>46147</v>
      </c>
      <c r="E257" s="50" t="s">
        <v>2895</v>
      </c>
      <c r="G257" s="49" t="s">
        <v>1067</v>
      </c>
      <c r="H257" s="51">
        <v>13.86</v>
      </c>
      <c r="I257" s="51" t="s">
        <v>43</v>
      </c>
      <c r="J25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13.86</v>
      </c>
      <c r="K257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46147</v>
      </c>
      <c r="L257" s="49" t="s">
        <v>25</v>
      </c>
      <c r="M257" s="59" t="s">
        <v>2896</v>
      </c>
      <c r="N257" s="48">
        <v>46140</v>
      </c>
    </row>
    <row r="258" spans="2:18" s="151" customFormat="1" ht="15" customHeight="1">
      <c r="B258" s="48">
        <v>46129</v>
      </c>
      <c r="C258" s="49"/>
      <c r="D258" s="48">
        <v>46132</v>
      </c>
      <c r="E258" s="50" t="s">
        <v>2897</v>
      </c>
      <c r="F258" s="49"/>
      <c r="G258" s="49" t="s">
        <v>1067</v>
      </c>
      <c r="H258" s="51">
        <v>13.9</v>
      </c>
      <c r="I258" s="51" t="s">
        <v>43</v>
      </c>
      <c r="J25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13.9</v>
      </c>
      <c r="K258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46132</v>
      </c>
      <c r="L258" s="49" t="s">
        <v>25</v>
      </c>
      <c r="M258" s="142" t="s">
        <v>1628</v>
      </c>
      <c r="N258" s="48">
        <v>46129</v>
      </c>
      <c r="O258" s="49"/>
      <c r="P258" s="49"/>
      <c r="Q258" s="49"/>
      <c r="R258" s="49"/>
    </row>
    <row r="259" spans="2:18" s="49" customFormat="1" ht="15" customHeight="1">
      <c r="B259" s="48">
        <v>46129</v>
      </c>
      <c r="D259" s="48">
        <v>46132</v>
      </c>
      <c r="E259" s="50" t="s">
        <v>2898</v>
      </c>
      <c r="G259" s="49" t="s">
        <v>1067</v>
      </c>
      <c r="H259" s="51">
        <v>13.9</v>
      </c>
      <c r="I259" s="51" t="s">
        <v>43</v>
      </c>
      <c r="J259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13.9</v>
      </c>
      <c r="K259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46132</v>
      </c>
      <c r="L259" s="49" t="s">
        <v>25</v>
      </c>
      <c r="M259" s="59" t="s">
        <v>1628</v>
      </c>
      <c r="N259" s="48">
        <v>46129</v>
      </c>
    </row>
    <row r="260" spans="2:18" s="49" customFormat="1" ht="15" customHeight="1">
      <c r="B260" s="48">
        <v>46146</v>
      </c>
      <c r="D260" s="48">
        <v>46150</v>
      </c>
      <c r="E260" s="50" t="s">
        <v>2899</v>
      </c>
      <c r="G260" s="49" t="s">
        <v>1067</v>
      </c>
      <c r="H260" s="51">
        <v>13.9</v>
      </c>
      <c r="I260" s="51" t="s">
        <v>43</v>
      </c>
      <c r="J260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13.9</v>
      </c>
      <c r="K260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46150</v>
      </c>
      <c r="L260" s="49" t="s">
        <v>25</v>
      </c>
      <c r="M260" s="59" t="s">
        <v>1628</v>
      </c>
      <c r="N260" s="48">
        <v>46150</v>
      </c>
    </row>
    <row r="261" spans="2:18" s="49" customFormat="1" ht="15" customHeight="1">
      <c r="B261" s="48">
        <v>46147</v>
      </c>
      <c r="D261" s="48">
        <v>46150</v>
      </c>
      <c r="E261" s="50" t="s">
        <v>2900</v>
      </c>
      <c r="G261" s="49" t="s">
        <v>1067</v>
      </c>
      <c r="H261" s="51">
        <v>13.9</v>
      </c>
      <c r="I261" s="51" t="s">
        <v>43</v>
      </c>
      <c r="J26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13.9</v>
      </c>
      <c r="K261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46150</v>
      </c>
      <c r="L261" s="49" t="s">
        <v>25</v>
      </c>
      <c r="M261" s="59" t="s">
        <v>2901</v>
      </c>
      <c r="N261" s="48">
        <v>46140</v>
      </c>
    </row>
    <row r="262" spans="2:18" s="49" customFormat="1" ht="15" customHeight="1">
      <c r="B262" s="48"/>
      <c r="D262" s="48">
        <v>46126</v>
      </c>
      <c r="E262" s="50" t="s">
        <v>2902</v>
      </c>
      <c r="G262" s="49" t="s">
        <v>2484</v>
      </c>
      <c r="H262" s="51">
        <v>72.44</v>
      </c>
      <c r="I262" s="51" t="s">
        <v>43</v>
      </c>
      <c r="J262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72.44</v>
      </c>
      <c r="K262" s="52">
        <v>46129</v>
      </c>
      <c r="L262" s="49" t="s">
        <v>25</v>
      </c>
      <c r="M262" s="59" t="s">
        <v>2559</v>
      </c>
      <c r="N262" s="48">
        <v>46129</v>
      </c>
    </row>
    <row r="263" spans="2:18" s="49" customFormat="1" ht="15" customHeight="1">
      <c r="B263" s="48">
        <v>46129</v>
      </c>
      <c r="D263" s="48">
        <v>46131</v>
      </c>
      <c r="E263" s="50" t="s">
        <v>2903</v>
      </c>
      <c r="G263" s="49" t="s">
        <v>1067</v>
      </c>
      <c r="H263" s="51">
        <v>13.98</v>
      </c>
      <c r="I263" s="51" t="s">
        <v>43</v>
      </c>
      <c r="J26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13.98</v>
      </c>
      <c r="K263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46131</v>
      </c>
      <c r="L263" s="49" t="s">
        <v>25</v>
      </c>
      <c r="M263" s="59" t="s">
        <v>2896</v>
      </c>
      <c r="N263" s="48">
        <v>46129</v>
      </c>
    </row>
    <row r="264" spans="2:18" s="49" customFormat="1" ht="15" customHeight="1">
      <c r="B264" s="48">
        <v>46140</v>
      </c>
      <c r="D264" s="48">
        <v>46147</v>
      </c>
      <c r="E264" s="50" t="s">
        <v>2904</v>
      </c>
      <c r="G264" s="49" t="s">
        <v>1067</v>
      </c>
      <c r="H264" s="51">
        <v>14.07</v>
      </c>
      <c r="I264" s="51" t="s">
        <v>43</v>
      </c>
      <c r="J26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14.07</v>
      </c>
      <c r="K264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46147</v>
      </c>
      <c r="L264" s="49" t="s">
        <v>25</v>
      </c>
      <c r="M264" s="59" t="s">
        <v>2905</v>
      </c>
      <c r="N264" s="48">
        <v>46140</v>
      </c>
    </row>
    <row r="265" spans="2:18" s="49" customFormat="1" ht="15" customHeight="1">
      <c r="B265" s="48">
        <v>46129</v>
      </c>
      <c r="D265" s="48">
        <v>46132</v>
      </c>
      <c r="E265" s="50" t="s">
        <v>2906</v>
      </c>
      <c r="G265" s="49" t="s">
        <v>1067</v>
      </c>
      <c r="H265" s="51">
        <v>14.31</v>
      </c>
      <c r="I265" s="51" t="s">
        <v>43</v>
      </c>
      <c r="J265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14.31</v>
      </c>
      <c r="K265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46132</v>
      </c>
      <c r="L265" s="49" t="s">
        <v>25</v>
      </c>
      <c r="M265" s="59" t="s">
        <v>2907</v>
      </c>
      <c r="N265" s="48">
        <v>46129</v>
      </c>
    </row>
    <row r="266" spans="2:18" s="49" customFormat="1" ht="15" customHeight="1">
      <c r="B266" s="48">
        <v>46091</v>
      </c>
      <c r="D266" s="48">
        <v>46091</v>
      </c>
      <c r="E266" s="50" t="s">
        <v>2908</v>
      </c>
      <c r="G266" s="49" t="s">
        <v>1067</v>
      </c>
      <c r="H266" s="58">
        <v>14.5</v>
      </c>
      <c r="I266" s="58" t="s">
        <v>43</v>
      </c>
      <c r="J266" s="58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14.5</v>
      </c>
      <c r="K266" s="90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46091</v>
      </c>
      <c r="L266" s="49" t="s">
        <v>25</v>
      </c>
      <c r="M266" s="49" t="s">
        <v>2909</v>
      </c>
      <c r="N266" s="48">
        <v>46091</v>
      </c>
    </row>
    <row r="267" spans="2:18" s="49" customFormat="1" ht="15" customHeight="1">
      <c r="B267" s="48">
        <v>46203</v>
      </c>
      <c r="D267" s="48">
        <v>46203</v>
      </c>
      <c r="E267" s="50" t="s">
        <v>2910</v>
      </c>
      <c r="G267" s="49" t="s">
        <v>1067</v>
      </c>
      <c r="H267" s="51">
        <v>14.54</v>
      </c>
      <c r="I267" s="51" t="s">
        <v>43</v>
      </c>
      <c r="J26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14.54</v>
      </c>
      <c r="K267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46203</v>
      </c>
      <c r="L267" s="49" t="s">
        <v>25</v>
      </c>
      <c r="M267" s="59" t="s">
        <v>2911</v>
      </c>
      <c r="N267" s="48">
        <v>46203</v>
      </c>
    </row>
    <row r="268" spans="2:18" s="49" customFormat="1" ht="15" customHeight="1">
      <c r="B268" s="48"/>
      <c r="D268" s="48">
        <v>46134</v>
      </c>
      <c r="E268" s="50" t="s">
        <v>2912</v>
      </c>
      <c r="G268" s="49" t="s">
        <v>2913</v>
      </c>
      <c r="H268" s="51">
        <v>800</v>
      </c>
      <c r="I268" s="51" t="s">
        <v>55</v>
      </c>
      <c r="J268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800</v>
      </c>
      <c r="K268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268" s="49" t="s">
        <v>25</v>
      </c>
      <c r="M268" s="59" t="s">
        <v>2914</v>
      </c>
      <c r="N268" s="48">
        <v>46142</v>
      </c>
      <c r="O268" s="49" t="s">
        <v>27</v>
      </c>
    </row>
    <row r="269" spans="2:18" s="49" customFormat="1" ht="15" customHeight="1">
      <c r="B269" s="48">
        <v>46133</v>
      </c>
      <c r="C269" s="49">
        <v>11556</v>
      </c>
      <c r="D269" s="48">
        <v>46136</v>
      </c>
      <c r="E269" s="50">
        <v>111470</v>
      </c>
      <c r="G269" s="49" t="s">
        <v>2680</v>
      </c>
      <c r="H269" s="51">
        <v>392</v>
      </c>
      <c r="I269" s="51" t="s">
        <v>55</v>
      </c>
      <c r="J269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392</v>
      </c>
      <c r="K269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269" s="49" t="s">
        <v>25</v>
      </c>
      <c r="M269" s="59" t="s">
        <v>2915</v>
      </c>
      <c r="N269" s="48">
        <v>46142</v>
      </c>
      <c r="O269" s="49" t="s">
        <v>27</v>
      </c>
    </row>
    <row r="270" spans="2:18" s="49" customFormat="1" ht="15" customHeight="1">
      <c r="B270" s="48"/>
      <c r="D270" s="48">
        <v>46128</v>
      </c>
      <c r="E270" s="50" t="s">
        <v>2916</v>
      </c>
      <c r="G270" s="49" t="s">
        <v>2545</v>
      </c>
      <c r="H270" s="51">
        <v>609.11</v>
      </c>
      <c r="I270" s="51" t="s">
        <v>55</v>
      </c>
      <c r="J270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609.11</v>
      </c>
      <c r="K270" s="52">
        <v>46128</v>
      </c>
      <c r="L270" s="49" t="s">
        <v>25</v>
      </c>
      <c r="M270" s="59" t="s">
        <v>2917</v>
      </c>
      <c r="N270" s="48">
        <v>46142</v>
      </c>
      <c r="O270" s="49" t="s">
        <v>27</v>
      </c>
    </row>
    <row r="271" spans="2:18" s="49" customFormat="1" ht="15" customHeight="1">
      <c r="B271" s="48"/>
      <c r="D271" s="48">
        <v>46134</v>
      </c>
      <c r="E271" s="50">
        <v>2609776</v>
      </c>
      <c r="G271" s="49" t="s">
        <v>2560</v>
      </c>
      <c r="H271" s="51">
        <v>12</v>
      </c>
      <c r="I271" s="51" t="s">
        <v>43</v>
      </c>
      <c r="J27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12</v>
      </c>
      <c r="K271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46134</v>
      </c>
      <c r="L271" s="49" t="s">
        <v>25</v>
      </c>
      <c r="M271" s="59" t="s">
        <v>2918</v>
      </c>
      <c r="N271" s="48"/>
    </row>
    <row r="272" spans="2:18" s="49" customFormat="1" ht="15" customHeight="1">
      <c r="B272" s="48">
        <v>46169</v>
      </c>
      <c r="D272" s="48">
        <v>46170</v>
      </c>
      <c r="E272" s="50" t="s">
        <v>2919</v>
      </c>
      <c r="G272" s="49" t="s">
        <v>1067</v>
      </c>
      <c r="H272" s="51">
        <v>14.86</v>
      </c>
      <c r="I272" s="51" t="s">
        <v>43</v>
      </c>
      <c r="J272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14.86</v>
      </c>
      <c r="K272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46170</v>
      </c>
      <c r="L272" s="49" t="s">
        <v>25</v>
      </c>
      <c r="M272" s="59" t="s">
        <v>2920</v>
      </c>
      <c r="N272" s="48">
        <v>46169</v>
      </c>
    </row>
    <row r="273" spans="2:18" s="49" customFormat="1" ht="15" customHeight="1">
      <c r="B273" s="48">
        <v>46210</v>
      </c>
      <c r="D273" s="48">
        <v>46210</v>
      </c>
      <c r="E273" s="50" t="s">
        <v>2921</v>
      </c>
      <c r="G273" s="49" t="s">
        <v>1067</v>
      </c>
      <c r="H273" s="51">
        <v>15.1</v>
      </c>
      <c r="I273" s="51" t="s">
        <v>43</v>
      </c>
      <c r="J27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15.1</v>
      </c>
      <c r="K273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46210</v>
      </c>
      <c r="L273" s="49" t="s">
        <v>25</v>
      </c>
      <c r="M273" s="59" t="s">
        <v>2922</v>
      </c>
      <c r="N273" s="48">
        <v>46210</v>
      </c>
    </row>
    <row r="274" spans="2:18" s="49" customFormat="1" ht="15" customHeight="1">
      <c r="B274" s="48"/>
      <c r="D274" s="48">
        <v>46132</v>
      </c>
      <c r="E274" s="50" t="s">
        <v>2923</v>
      </c>
      <c r="G274" s="49" t="s">
        <v>2551</v>
      </c>
      <c r="H274" s="51">
        <v>101.64</v>
      </c>
      <c r="I274" s="51" t="s">
        <v>55</v>
      </c>
      <c r="J27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101.64</v>
      </c>
      <c r="K274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274" s="49" t="s">
        <v>25</v>
      </c>
      <c r="M274" s="59" t="s">
        <v>2924</v>
      </c>
      <c r="N274" s="48"/>
    </row>
    <row r="275" spans="2:18" s="49" customFormat="1" ht="15" customHeight="1">
      <c r="B275" s="48"/>
      <c r="D275" s="48">
        <v>46133</v>
      </c>
      <c r="E275" s="50" t="s">
        <v>2925</v>
      </c>
      <c r="G275" s="49" t="s">
        <v>2551</v>
      </c>
      <c r="H275" s="51">
        <v>16.940000000000001</v>
      </c>
      <c r="I275" s="51" t="s">
        <v>55</v>
      </c>
      <c r="J275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16.940000000000001</v>
      </c>
      <c r="K275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275" s="49" t="s">
        <v>25</v>
      </c>
      <c r="M275" s="59" t="s">
        <v>2926</v>
      </c>
      <c r="N275" s="48"/>
    </row>
    <row r="276" spans="2:18" s="49" customFormat="1" ht="15" customHeight="1">
      <c r="B276" s="48"/>
      <c r="D276" s="48">
        <v>46135</v>
      </c>
      <c r="E276" s="50" t="s">
        <v>2927</v>
      </c>
      <c r="G276" s="49" t="s">
        <v>2623</v>
      </c>
      <c r="H276" s="51">
        <v>911.13</v>
      </c>
      <c r="I276" s="51" t="s">
        <v>55</v>
      </c>
      <c r="J276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911.13</v>
      </c>
      <c r="K276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276" s="49" t="s">
        <v>25</v>
      </c>
      <c r="M276" s="59" t="s">
        <v>2890</v>
      </c>
      <c r="N276" s="48">
        <v>46142</v>
      </c>
      <c r="O276" s="49" t="s">
        <v>2624</v>
      </c>
    </row>
    <row r="277" spans="2:18" s="49" customFormat="1" ht="15" customHeight="1">
      <c r="B277" s="48"/>
      <c r="D277" s="48">
        <v>46133</v>
      </c>
      <c r="E277" s="50" t="s">
        <v>2928</v>
      </c>
      <c r="G277" s="49" t="s">
        <v>2929</v>
      </c>
      <c r="H277" s="51">
        <v>50</v>
      </c>
      <c r="I277" s="51" t="s">
        <v>55</v>
      </c>
      <c r="J27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50</v>
      </c>
      <c r="K277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277" s="49" t="s">
        <v>25</v>
      </c>
      <c r="M277" s="59" t="s">
        <v>2869</v>
      </c>
      <c r="N277" s="48"/>
    </row>
    <row r="278" spans="2:18" s="49" customFormat="1" ht="15" customHeight="1">
      <c r="B278" s="48"/>
      <c r="D278" s="48">
        <v>46135</v>
      </c>
      <c r="E278" s="50" t="s">
        <v>2930</v>
      </c>
      <c r="G278" s="49" t="s">
        <v>2931</v>
      </c>
      <c r="H278" s="51">
        <v>280</v>
      </c>
      <c r="I278" s="51" t="s">
        <v>55</v>
      </c>
      <c r="J27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280</v>
      </c>
      <c r="K278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278" s="49" t="s">
        <v>25</v>
      </c>
      <c r="M278" s="59" t="s">
        <v>2932</v>
      </c>
      <c r="N278" s="48"/>
    </row>
    <row r="279" spans="2:18" s="49" customFormat="1" ht="15" customHeight="1">
      <c r="B279" s="150">
        <v>46099</v>
      </c>
      <c r="C279" s="151"/>
      <c r="D279" s="150">
        <v>46107</v>
      </c>
      <c r="E279" s="152">
        <v>3023</v>
      </c>
      <c r="F279" s="151"/>
      <c r="G279" s="151" t="s">
        <v>1067</v>
      </c>
      <c r="H279" s="153">
        <v>15.97</v>
      </c>
      <c r="I279" s="153" t="s">
        <v>43</v>
      </c>
      <c r="J279" s="153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15.97</v>
      </c>
      <c r="K279" s="154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46107</v>
      </c>
      <c r="L279" s="151" t="s">
        <v>25</v>
      </c>
      <c r="M279" s="151" t="s">
        <v>2933</v>
      </c>
      <c r="N279" s="150">
        <v>46099</v>
      </c>
      <c r="O279" s="151"/>
      <c r="P279" s="151"/>
      <c r="Q279" s="151"/>
      <c r="R279" s="151"/>
    </row>
    <row r="280" spans="2:18" s="49" customFormat="1" ht="15" customHeight="1">
      <c r="B280" s="48">
        <v>46087</v>
      </c>
      <c r="D280" s="48"/>
      <c r="E280" s="50"/>
      <c r="G280" s="49" t="s">
        <v>1067</v>
      </c>
      <c r="H280" s="51">
        <v>16.66</v>
      </c>
      <c r="I280" s="51" t="s">
        <v>43</v>
      </c>
      <c r="J280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16.66</v>
      </c>
      <c r="K280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280" s="49" t="s">
        <v>25</v>
      </c>
      <c r="M280" s="49" t="s">
        <v>2934</v>
      </c>
      <c r="N280" s="48">
        <v>46087</v>
      </c>
    </row>
    <row r="281" spans="2:18" s="49" customFormat="1" ht="15" customHeight="1">
      <c r="B281" s="48">
        <v>46125</v>
      </c>
      <c r="D281" s="48">
        <v>46125</v>
      </c>
      <c r="E281" s="50" t="s">
        <v>2935</v>
      </c>
      <c r="G281" s="49" t="s">
        <v>1067</v>
      </c>
      <c r="H281" s="51">
        <v>17.34</v>
      </c>
      <c r="I281" s="51" t="s">
        <v>43</v>
      </c>
      <c r="J28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17.34</v>
      </c>
      <c r="K281" s="52">
        <v>46125</v>
      </c>
      <c r="L281" s="49" t="s">
        <v>25</v>
      </c>
      <c r="M281" s="49" t="s">
        <v>2804</v>
      </c>
      <c r="N281" s="48">
        <v>46094</v>
      </c>
    </row>
    <row r="282" spans="2:18" s="49" customFormat="1" ht="15" customHeight="1">
      <c r="B282" s="48">
        <v>46133</v>
      </c>
      <c r="D282" s="48">
        <v>46136</v>
      </c>
      <c r="E282" s="50" t="s">
        <v>2936</v>
      </c>
      <c r="G282" s="49" t="s">
        <v>1067</v>
      </c>
      <c r="H282" s="51">
        <v>19.899999999999999</v>
      </c>
      <c r="I282" s="51" t="s">
        <v>43</v>
      </c>
      <c r="J282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19.899999999999999</v>
      </c>
      <c r="K282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46136</v>
      </c>
      <c r="L282" s="49" t="s">
        <v>25</v>
      </c>
      <c r="M282" s="59" t="s">
        <v>2937</v>
      </c>
      <c r="N282" s="48">
        <v>46133</v>
      </c>
    </row>
    <row r="283" spans="2:18" s="49" customFormat="1" ht="15" customHeight="1">
      <c r="B283" s="48">
        <v>46108</v>
      </c>
      <c r="D283" s="48">
        <v>46110</v>
      </c>
      <c r="E283" s="50" t="s">
        <v>2938</v>
      </c>
      <c r="G283" s="49" t="s">
        <v>1067</v>
      </c>
      <c r="H283" s="51">
        <v>20.57</v>
      </c>
      <c r="I283" s="51" t="s">
        <v>43</v>
      </c>
      <c r="J283" s="51">
        <v>20.57</v>
      </c>
      <c r="K283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46110</v>
      </c>
      <c r="L283" s="49" t="s">
        <v>25</v>
      </c>
      <c r="M283" s="49" t="s">
        <v>2939</v>
      </c>
      <c r="N283" s="48">
        <v>46108</v>
      </c>
    </row>
    <row r="284" spans="2:18" s="49" customFormat="1" ht="15" customHeight="1">
      <c r="B284" s="48"/>
      <c r="D284" s="48">
        <v>46135</v>
      </c>
      <c r="E284" s="50" t="s">
        <v>2940</v>
      </c>
      <c r="G284" s="49" t="s">
        <v>2941</v>
      </c>
      <c r="H284" s="51">
        <v>140</v>
      </c>
      <c r="I284" s="51" t="s">
        <v>43</v>
      </c>
      <c r="J28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140</v>
      </c>
      <c r="K284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46135</v>
      </c>
      <c r="L284" s="49" t="s">
        <v>25</v>
      </c>
      <c r="M284" s="59" t="s">
        <v>2942</v>
      </c>
      <c r="N284" s="48"/>
    </row>
    <row r="285" spans="2:18" s="49" customFormat="1" ht="15" customHeight="1">
      <c r="B285" s="48"/>
      <c r="D285" s="48">
        <v>46139</v>
      </c>
      <c r="E285" s="50" t="s">
        <v>2943</v>
      </c>
      <c r="G285" s="49" t="s">
        <v>2944</v>
      </c>
      <c r="H285" s="51">
        <v>1270.5</v>
      </c>
      <c r="I285" s="51" t="s">
        <v>98</v>
      </c>
      <c r="J285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1270.5</v>
      </c>
      <c r="K285" s="52">
        <v>46140</v>
      </c>
      <c r="L285" s="49" t="s">
        <v>25</v>
      </c>
      <c r="M285" s="59" t="s">
        <v>2945</v>
      </c>
      <c r="N285" s="48">
        <v>46140</v>
      </c>
    </row>
    <row r="286" spans="2:18" s="49" customFormat="1" ht="15" customHeight="1">
      <c r="B286" s="48"/>
      <c r="D286" s="48">
        <v>46143</v>
      </c>
      <c r="E286" s="50" t="s">
        <v>2946</v>
      </c>
      <c r="G286" s="49" t="s">
        <v>2597</v>
      </c>
      <c r="H286" s="51">
        <v>23.08</v>
      </c>
      <c r="I286" s="51" t="s">
        <v>98</v>
      </c>
      <c r="J286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23.08</v>
      </c>
      <c r="K286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286" s="49" t="s">
        <v>25</v>
      </c>
      <c r="M286" s="59" t="str">
        <f>"Mes de " &amp; TEXT(Tabla14[[#This Row],[Fecha Factura]], "[$-es-ES]mmmm")</f>
        <v>Mes de mayo</v>
      </c>
      <c r="N286" s="48">
        <v>46146</v>
      </c>
    </row>
    <row r="287" spans="2:18" s="49" customFormat="1" ht="15" customHeight="1">
      <c r="B287" s="48"/>
      <c r="D287" s="48">
        <v>46139</v>
      </c>
      <c r="E287" s="50" t="s">
        <v>2947</v>
      </c>
      <c r="G287" s="49" t="s">
        <v>2484</v>
      </c>
      <c r="H287" s="51">
        <v>87.99</v>
      </c>
      <c r="I287" s="51" t="s">
        <v>43</v>
      </c>
      <c r="J28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87.99</v>
      </c>
      <c r="K287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46139</v>
      </c>
      <c r="L287" s="49" t="s">
        <v>25</v>
      </c>
      <c r="M287" s="59" t="s">
        <v>2559</v>
      </c>
      <c r="N287" s="48">
        <v>46139</v>
      </c>
    </row>
    <row r="288" spans="2:18" s="49" customFormat="1" ht="15" customHeight="1">
      <c r="B288" s="48">
        <v>46182</v>
      </c>
      <c r="D288" s="48"/>
      <c r="E288" s="50"/>
      <c r="G288" s="49" t="s">
        <v>1067</v>
      </c>
      <c r="H288" s="51">
        <v>21.48</v>
      </c>
      <c r="I288" s="51" t="s">
        <v>43</v>
      </c>
      <c r="J28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21.48</v>
      </c>
      <c r="K288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288" s="49" t="s">
        <v>25</v>
      </c>
      <c r="M288" s="59" t="s">
        <v>2948</v>
      </c>
      <c r="N288" s="48">
        <v>46182</v>
      </c>
    </row>
    <row r="289" spans="2:18" s="151" customFormat="1" ht="15" customHeight="1">
      <c r="B289" s="150">
        <v>46091</v>
      </c>
      <c r="D289" s="150">
        <v>46093</v>
      </c>
      <c r="E289" s="152" t="s">
        <v>2949</v>
      </c>
      <c r="G289" s="151" t="s">
        <v>1067</v>
      </c>
      <c r="H289" s="153">
        <v>21.63</v>
      </c>
      <c r="I289" s="153" t="s">
        <v>43</v>
      </c>
      <c r="J289" s="153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21.63</v>
      </c>
      <c r="K289" s="154"/>
      <c r="L289" s="151" t="s">
        <v>25</v>
      </c>
      <c r="M289" s="151" t="s">
        <v>2950</v>
      </c>
      <c r="N289" s="150">
        <v>46091</v>
      </c>
    </row>
    <row r="290" spans="2:18" s="49" customFormat="1" ht="15" customHeight="1">
      <c r="B290" s="48">
        <v>46140</v>
      </c>
      <c r="D290" s="48">
        <v>46140</v>
      </c>
      <c r="E290" s="50" t="s">
        <v>2951</v>
      </c>
      <c r="G290" s="49" t="s">
        <v>1067</v>
      </c>
      <c r="H290" s="51">
        <v>21.9</v>
      </c>
      <c r="I290" s="51" t="s">
        <v>43</v>
      </c>
      <c r="J290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21.9</v>
      </c>
      <c r="K290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46140</v>
      </c>
      <c r="L290" s="49" t="s">
        <v>25</v>
      </c>
      <c r="M290" s="59" t="s">
        <v>2952</v>
      </c>
      <c r="N290" s="48">
        <v>46140</v>
      </c>
    </row>
    <row r="291" spans="2:18" s="49" customFormat="1" ht="15" customHeight="1">
      <c r="B291" s="48"/>
      <c r="D291" s="48">
        <v>46176</v>
      </c>
      <c r="E291" s="50" t="s">
        <v>2953</v>
      </c>
      <c r="G291" s="49" t="s">
        <v>1067</v>
      </c>
      <c r="H291" s="51">
        <v>21.99</v>
      </c>
      <c r="I291" s="51" t="s">
        <v>43</v>
      </c>
      <c r="J29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21.99</v>
      </c>
      <c r="K291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46176</v>
      </c>
      <c r="L291" s="49" t="s">
        <v>25</v>
      </c>
      <c r="M291" s="59" t="s">
        <v>2954</v>
      </c>
      <c r="N291" s="48"/>
    </row>
    <row r="292" spans="2:18" s="49" customFormat="1" ht="15" customHeight="1">
      <c r="B292" s="189">
        <v>46087</v>
      </c>
      <c r="C292" s="190"/>
      <c r="D292" s="189">
        <v>46181</v>
      </c>
      <c r="E292" s="191" t="s">
        <v>2955</v>
      </c>
      <c r="F292" s="190"/>
      <c r="G292" s="190" t="s">
        <v>1067</v>
      </c>
      <c r="H292" s="192">
        <v>22.22</v>
      </c>
      <c r="I292" s="192" t="s">
        <v>43</v>
      </c>
      <c r="J292" s="19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22.22</v>
      </c>
      <c r="K292" s="193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46181</v>
      </c>
      <c r="L292" s="190" t="s">
        <v>25</v>
      </c>
      <c r="M292" s="194" t="s">
        <v>2956</v>
      </c>
      <c r="N292" s="189">
        <v>46089</v>
      </c>
      <c r="O292" s="190"/>
      <c r="P292" s="190"/>
      <c r="Q292" s="190"/>
      <c r="R292" s="190"/>
    </row>
    <row r="293" spans="2:18" s="49" customFormat="1" ht="15" customHeight="1">
      <c r="B293" s="48"/>
      <c r="D293" s="48">
        <v>46135</v>
      </c>
      <c r="E293" s="50" t="s">
        <v>2957</v>
      </c>
      <c r="G293" s="49" t="s">
        <v>1067</v>
      </c>
      <c r="H293" s="51">
        <v>22.4</v>
      </c>
      <c r="I293" s="51" t="s">
        <v>43</v>
      </c>
      <c r="J29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22.4</v>
      </c>
      <c r="K293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46135</v>
      </c>
      <c r="L293" s="49" t="s">
        <v>25</v>
      </c>
      <c r="M293" s="59" t="s">
        <v>2958</v>
      </c>
      <c r="N293" s="48"/>
    </row>
    <row r="294" spans="2:18" s="151" customFormat="1" ht="15" customHeight="1">
      <c r="B294" s="48"/>
      <c r="C294" s="49"/>
      <c r="D294" s="48">
        <v>46135</v>
      </c>
      <c r="E294" s="50" t="s">
        <v>2959</v>
      </c>
      <c r="F294" s="49"/>
      <c r="G294" s="49" t="s">
        <v>1067</v>
      </c>
      <c r="H294" s="51">
        <v>22.4</v>
      </c>
      <c r="I294" s="51" t="s">
        <v>43</v>
      </c>
      <c r="J29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22.4</v>
      </c>
      <c r="K294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46135</v>
      </c>
      <c r="L294" s="49" t="s">
        <v>25</v>
      </c>
      <c r="M294" s="59" t="s">
        <v>2958</v>
      </c>
      <c r="N294" s="48"/>
      <c r="O294" s="49"/>
      <c r="P294" s="49"/>
      <c r="Q294" s="49"/>
      <c r="R294" s="49"/>
    </row>
    <row r="295" spans="2:18" s="49" customFormat="1" ht="15" customHeight="1">
      <c r="B295" s="48"/>
      <c r="D295" s="48">
        <v>46135</v>
      </c>
      <c r="E295" s="50" t="s">
        <v>2960</v>
      </c>
      <c r="G295" s="49" t="s">
        <v>1067</v>
      </c>
      <c r="H295" s="51">
        <v>22.4</v>
      </c>
      <c r="I295" s="51" t="s">
        <v>43</v>
      </c>
      <c r="J295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22.4</v>
      </c>
      <c r="K295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46135</v>
      </c>
      <c r="L295" s="49" t="s">
        <v>25</v>
      </c>
      <c r="M295" s="59" t="s">
        <v>2958</v>
      </c>
      <c r="N295" s="48"/>
    </row>
    <row r="296" spans="2:18" s="49" customFormat="1" ht="15" customHeight="1">
      <c r="B296" s="48"/>
      <c r="D296" s="48">
        <v>46135</v>
      </c>
      <c r="E296" s="50" t="s">
        <v>2961</v>
      </c>
      <c r="G296" s="49" t="s">
        <v>1067</v>
      </c>
      <c r="H296" s="51">
        <v>22.4</v>
      </c>
      <c r="I296" s="51" t="s">
        <v>43</v>
      </c>
      <c r="J296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22.4</v>
      </c>
      <c r="K296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46135</v>
      </c>
      <c r="L296" s="49" t="s">
        <v>25</v>
      </c>
      <c r="M296" s="59" t="s">
        <v>2958</v>
      </c>
      <c r="N296" s="48"/>
    </row>
    <row r="297" spans="2:18" s="49" customFormat="1" ht="15" customHeight="1">
      <c r="B297" s="48"/>
      <c r="D297" s="48">
        <v>46135</v>
      </c>
      <c r="E297" s="50" t="s">
        <v>2962</v>
      </c>
      <c r="G297" s="49" t="s">
        <v>1067</v>
      </c>
      <c r="H297" s="51">
        <v>22.4</v>
      </c>
      <c r="I297" s="51" t="s">
        <v>43</v>
      </c>
      <c r="J29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22.4</v>
      </c>
      <c r="K297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46135</v>
      </c>
      <c r="L297" s="49" t="s">
        <v>25</v>
      </c>
      <c r="M297" s="59" t="s">
        <v>2958</v>
      </c>
      <c r="N297" s="48"/>
    </row>
    <row r="298" spans="2:18" s="49" customFormat="1" ht="15" customHeight="1">
      <c r="B298" s="48"/>
      <c r="D298" s="48">
        <v>46135</v>
      </c>
      <c r="E298" s="50" t="s">
        <v>2963</v>
      </c>
      <c r="G298" s="49" t="s">
        <v>1067</v>
      </c>
      <c r="H298" s="51">
        <v>22.4</v>
      </c>
      <c r="I298" s="51" t="s">
        <v>43</v>
      </c>
      <c r="J29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22.4</v>
      </c>
      <c r="K298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46135</v>
      </c>
      <c r="L298" s="49" t="s">
        <v>25</v>
      </c>
      <c r="M298" s="59" t="s">
        <v>2958</v>
      </c>
      <c r="N298" s="48"/>
    </row>
    <row r="299" spans="2:18" s="151" customFormat="1" ht="15" customHeight="1">
      <c r="B299" s="48"/>
      <c r="C299" s="49"/>
      <c r="D299" s="48">
        <v>46135</v>
      </c>
      <c r="E299" s="50" t="s">
        <v>2964</v>
      </c>
      <c r="F299" s="49"/>
      <c r="G299" s="49" t="s">
        <v>1067</v>
      </c>
      <c r="H299" s="51">
        <v>22.4</v>
      </c>
      <c r="I299" s="51" t="s">
        <v>43</v>
      </c>
      <c r="J299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22.4</v>
      </c>
      <c r="K299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46135</v>
      </c>
      <c r="L299" s="49" t="s">
        <v>25</v>
      </c>
      <c r="M299" s="59" t="s">
        <v>2958</v>
      </c>
      <c r="N299" s="48"/>
      <c r="O299" s="49"/>
      <c r="P299" s="49"/>
      <c r="Q299" s="49"/>
      <c r="R299" s="49"/>
    </row>
    <row r="300" spans="2:18" s="151" customFormat="1" ht="15" customHeight="1">
      <c r="B300" s="48"/>
      <c r="C300" s="49"/>
      <c r="D300" s="48">
        <v>46135</v>
      </c>
      <c r="E300" s="50" t="s">
        <v>2965</v>
      </c>
      <c r="F300" s="49"/>
      <c r="G300" s="49" t="s">
        <v>1067</v>
      </c>
      <c r="H300" s="51">
        <v>22.4</v>
      </c>
      <c r="I300" s="51" t="s">
        <v>43</v>
      </c>
      <c r="J300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22.4</v>
      </c>
      <c r="K300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46135</v>
      </c>
      <c r="L300" s="49" t="s">
        <v>25</v>
      </c>
      <c r="M300" s="59" t="s">
        <v>2958</v>
      </c>
      <c r="N300" s="48"/>
      <c r="O300" s="49"/>
      <c r="P300" s="49"/>
      <c r="Q300" s="49"/>
      <c r="R300" s="49"/>
    </row>
    <row r="301" spans="2:18" s="49" customFormat="1" ht="15" customHeight="1">
      <c r="B301" s="48"/>
      <c r="D301" s="48">
        <v>46135</v>
      </c>
      <c r="E301" s="50" t="s">
        <v>2966</v>
      </c>
      <c r="G301" s="49" t="s">
        <v>1067</v>
      </c>
      <c r="H301" s="51">
        <v>22.4</v>
      </c>
      <c r="I301" s="51" t="s">
        <v>43</v>
      </c>
      <c r="J30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22.4</v>
      </c>
      <c r="K301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46135</v>
      </c>
      <c r="L301" s="49" t="s">
        <v>25</v>
      </c>
      <c r="M301" s="59" t="s">
        <v>2958</v>
      </c>
      <c r="N301" s="48"/>
    </row>
    <row r="302" spans="2:18" s="151" customFormat="1" ht="15" customHeight="1">
      <c r="B302" s="48"/>
      <c r="C302" s="49"/>
      <c r="D302" s="48">
        <v>46135</v>
      </c>
      <c r="E302" s="50" t="s">
        <v>2967</v>
      </c>
      <c r="F302" s="49"/>
      <c r="G302" s="49" t="s">
        <v>1067</v>
      </c>
      <c r="H302" s="51">
        <v>22.4</v>
      </c>
      <c r="I302" s="51" t="s">
        <v>43</v>
      </c>
      <c r="J302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22.4</v>
      </c>
      <c r="K302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46135</v>
      </c>
      <c r="L302" s="49" t="s">
        <v>25</v>
      </c>
      <c r="M302" s="59" t="s">
        <v>2958</v>
      </c>
      <c r="N302" s="48"/>
      <c r="O302" s="49"/>
      <c r="P302" s="49"/>
      <c r="Q302" s="49"/>
      <c r="R302" s="49"/>
    </row>
    <row r="303" spans="2:18" s="63" customFormat="1" ht="15" customHeight="1">
      <c r="B303" s="48"/>
      <c r="C303" s="49"/>
      <c r="D303" s="48">
        <v>46135</v>
      </c>
      <c r="E303" s="50" t="s">
        <v>2968</v>
      </c>
      <c r="F303" s="49"/>
      <c r="G303" s="49" t="s">
        <v>1067</v>
      </c>
      <c r="H303" s="51">
        <v>22.4</v>
      </c>
      <c r="I303" s="51" t="s">
        <v>43</v>
      </c>
      <c r="J30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22.4</v>
      </c>
      <c r="K303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46135</v>
      </c>
      <c r="L303" s="49" t="s">
        <v>25</v>
      </c>
      <c r="M303" s="59" t="s">
        <v>2958</v>
      </c>
      <c r="N303" s="48"/>
      <c r="O303" s="49"/>
      <c r="P303" s="49"/>
      <c r="Q303" s="49"/>
      <c r="R303" s="49"/>
    </row>
    <row r="304" spans="2:18" s="49" customFormat="1" ht="15" customHeight="1">
      <c r="B304" s="48"/>
      <c r="D304" s="48">
        <v>46135</v>
      </c>
      <c r="E304" s="50" t="s">
        <v>2969</v>
      </c>
      <c r="G304" s="49" t="s">
        <v>1067</v>
      </c>
      <c r="H304" s="51">
        <v>22.4</v>
      </c>
      <c r="I304" s="51" t="s">
        <v>43</v>
      </c>
      <c r="J30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22.4</v>
      </c>
      <c r="K304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46135</v>
      </c>
      <c r="L304" s="49" t="s">
        <v>25</v>
      </c>
      <c r="M304" s="59" t="s">
        <v>2958</v>
      </c>
      <c r="N304" s="48"/>
    </row>
    <row r="305" spans="2:18" s="49" customFormat="1" ht="15" customHeight="1">
      <c r="B305" s="48"/>
      <c r="D305" s="48">
        <v>46135</v>
      </c>
      <c r="E305" s="50" t="s">
        <v>2970</v>
      </c>
      <c r="G305" s="49" t="s">
        <v>1067</v>
      </c>
      <c r="H305" s="51">
        <v>22.4</v>
      </c>
      <c r="I305" s="51" t="s">
        <v>43</v>
      </c>
      <c r="J305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22.4</v>
      </c>
      <c r="K305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46135</v>
      </c>
      <c r="L305" s="49" t="s">
        <v>25</v>
      </c>
      <c r="M305" s="59" t="s">
        <v>2958</v>
      </c>
      <c r="N305" s="48"/>
    </row>
    <row r="306" spans="2:18" s="151" customFormat="1" ht="15" customHeight="1">
      <c r="B306" s="48"/>
      <c r="C306" s="49"/>
      <c r="D306" s="48">
        <v>46135</v>
      </c>
      <c r="E306" s="50" t="s">
        <v>2971</v>
      </c>
      <c r="F306" s="49"/>
      <c r="G306" s="49" t="s">
        <v>1067</v>
      </c>
      <c r="H306" s="51">
        <v>22.4</v>
      </c>
      <c r="I306" s="51" t="s">
        <v>43</v>
      </c>
      <c r="J306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22.4</v>
      </c>
      <c r="K306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46135</v>
      </c>
      <c r="L306" s="49" t="s">
        <v>25</v>
      </c>
      <c r="M306" s="59" t="s">
        <v>2958</v>
      </c>
      <c r="N306" s="48"/>
      <c r="O306" s="49"/>
      <c r="P306" s="49"/>
      <c r="Q306" s="49"/>
      <c r="R306" s="49"/>
    </row>
    <row r="307" spans="2:18" s="49" customFormat="1" ht="15" customHeight="1">
      <c r="B307" s="48"/>
      <c r="D307" s="48">
        <v>46140</v>
      </c>
      <c r="E307" s="50" t="s">
        <v>2972</v>
      </c>
      <c r="G307" s="49" t="s">
        <v>2814</v>
      </c>
      <c r="H307" s="51">
        <v>378.45</v>
      </c>
      <c r="I307" s="51" t="s">
        <v>55</v>
      </c>
      <c r="J30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378.45</v>
      </c>
      <c r="K307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07" s="49" t="s">
        <v>25</v>
      </c>
      <c r="M307" s="59" t="s">
        <v>2973</v>
      </c>
      <c r="N307" s="48">
        <v>46079</v>
      </c>
    </row>
    <row r="308" spans="2:18" s="49" customFormat="1" ht="15" customHeight="1">
      <c r="B308" s="48"/>
      <c r="D308" s="48">
        <v>46052</v>
      </c>
      <c r="E308" s="50" t="s">
        <v>2974</v>
      </c>
      <c r="G308" s="49" t="s">
        <v>2506</v>
      </c>
      <c r="H308" s="51">
        <v>60.17</v>
      </c>
      <c r="I308" s="51" t="s">
        <v>98</v>
      </c>
      <c r="J30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60.17</v>
      </c>
      <c r="K308" s="52">
        <v>46052</v>
      </c>
      <c r="L308" s="49" t="s">
        <v>25</v>
      </c>
      <c r="M308" s="59" t="s">
        <v>2975</v>
      </c>
      <c r="N308" s="48">
        <v>46052</v>
      </c>
      <c r="R308" s="49" t="s">
        <v>32</v>
      </c>
    </row>
    <row r="309" spans="2:18" s="49" customFormat="1" ht="15" customHeight="1">
      <c r="B309" s="48"/>
      <c r="D309" s="48">
        <v>46142</v>
      </c>
      <c r="E309" s="50" t="s">
        <v>2976</v>
      </c>
      <c r="G309" s="49" t="s">
        <v>2850</v>
      </c>
      <c r="H309" s="51">
        <v>775</v>
      </c>
      <c r="I309" s="51" t="s">
        <v>55</v>
      </c>
      <c r="J309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775</v>
      </c>
      <c r="K309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09" s="49" t="s">
        <v>25</v>
      </c>
      <c r="M309" s="49" t="s">
        <v>2851</v>
      </c>
      <c r="N309" s="48">
        <v>46142</v>
      </c>
      <c r="O309" s="49" t="s">
        <v>45</v>
      </c>
    </row>
    <row r="310" spans="2:18" ht="15" customHeight="1">
      <c r="B310" s="1"/>
      <c r="D310" s="1">
        <v>46023</v>
      </c>
      <c r="E310" s="29" t="s">
        <v>2977</v>
      </c>
      <c r="G310" t="s">
        <v>2597</v>
      </c>
      <c r="H310" s="2">
        <v>23.08</v>
      </c>
      <c r="I310" s="2" t="s">
        <v>98</v>
      </c>
      <c r="J310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23.08</v>
      </c>
      <c r="K310" s="3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10" t="s">
        <v>25</v>
      </c>
      <c r="M310" s="24" t="str">
        <f>"Mes de " &amp; TEXT(Tabla14[[#This Row],[Fecha Factura]], "[$-es-ES]mmmm")</f>
        <v>Mes de enero</v>
      </c>
      <c r="N310" s="1">
        <v>46024</v>
      </c>
      <c r="R310" s="49"/>
    </row>
    <row r="311" spans="2:18" s="49" customFormat="1" ht="15" customHeight="1">
      <c r="B311" s="48"/>
      <c r="D311" s="48">
        <v>46129</v>
      </c>
      <c r="E311" s="50" t="s">
        <v>2978</v>
      </c>
      <c r="G311" s="49" t="s">
        <v>2545</v>
      </c>
      <c r="H311" s="51">
        <v>2571.25</v>
      </c>
      <c r="I311" s="51" t="s">
        <v>55</v>
      </c>
      <c r="J311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2571.25</v>
      </c>
      <c r="K311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11" s="49" t="s">
        <v>25</v>
      </c>
      <c r="M311" s="59" t="s">
        <v>2979</v>
      </c>
      <c r="N311" s="48">
        <v>46142</v>
      </c>
      <c r="O311" s="49" t="s">
        <v>27</v>
      </c>
    </row>
    <row r="312" spans="2:18" ht="15" customHeight="1">
      <c r="B312" s="1"/>
      <c r="D312" s="1">
        <v>46132</v>
      </c>
      <c r="E312" s="29" t="s">
        <v>2980</v>
      </c>
      <c r="G312" t="s">
        <v>2981</v>
      </c>
      <c r="H312" s="2">
        <v>38.450000000000003</v>
      </c>
      <c r="I312" s="2" t="s">
        <v>55</v>
      </c>
      <c r="J312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38.450000000000003</v>
      </c>
      <c r="K312" s="3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12" t="s">
        <v>25</v>
      </c>
      <c r="N312" s="1"/>
      <c r="Q312" t="s">
        <v>2982</v>
      </c>
      <c r="R312" s="49"/>
    </row>
    <row r="313" spans="2:18" ht="15" customHeight="1">
      <c r="B313" s="1"/>
      <c r="D313" s="1">
        <v>46143</v>
      </c>
      <c r="E313" s="29" t="s">
        <v>2983</v>
      </c>
      <c r="G313" t="s">
        <v>2984</v>
      </c>
      <c r="H313" s="2">
        <v>532.4</v>
      </c>
      <c r="I313" s="2" t="s">
        <v>55</v>
      </c>
      <c r="J313" s="10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532.4</v>
      </c>
      <c r="K313" s="3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13" t="s">
        <v>25</v>
      </c>
      <c r="M313" s="24" t="s">
        <v>2985</v>
      </c>
      <c r="N313" s="1">
        <v>46149</v>
      </c>
      <c r="O313" t="s">
        <v>27</v>
      </c>
      <c r="R313" s="49"/>
    </row>
    <row r="314" spans="2:18" ht="15" customHeight="1">
      <c r="B314" s="1"/>
      <c r="D314" s="1">
        <v>46147</v>
      </c>
      <c r="E314" s="29" t="s">
        <v>2986</v>
      </c>
      <c r="G314" t="s">
        <v>2484</v>
      </c>
      <c r="H314" s="2">
        <v>72.69</v>
      </c>
      <c r="I314" s="2" t="s">
        <v>43</v>
      </c>
      <c r="J314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72.69</v>
      </c>
      <c r="K314" s="3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46147</v>
      </c>
      <c r="L314" t="s">
        <v>25</v>
      </c>
      <c r="M314" s="24" t="s">
        <v>2559</v>
      </c>
      <c r="N314" s="1"/>
      <c r="R314" s="49"/>
    </row>
    <row r="315" spans="2:18" ht="15" customHeight="1">
      <c r="B315" s="1"/>
      <c r="D315" s="1">
        <v>46147</v>
      </c>
      <c r="E315" s="29">
        <v>740</v>
      </c>
      <c r="G315" t="s">
        <v>2475</v>
      </c>
      <c r="H315" s="2">
        <v>1101.0999999999999</v>
      </c>
      <c r="I315" s="2" t="s">
        <v>43</v>
      </c>
      <c r="J315" s="10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1101.0999999999999</v>
      </c>
      <c r="K315" s="3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46147</v>
      </c>
      <c r="L315" t="s">
        <v>25</v>
      </c>
      <c r="M315" s="24" t="s">
        <v>2987</v>
      </c>
      <c r="N315" s="1">
        <v>46149</v>
      </c>
      <c r="O315" t="s">
        <v>94</v>
      </c>
      <c r="R315" s="49"/>
    </row>
    <row r="316" spans="2:18" ht="15" customHeight="1">
      <c r="B316" s="1"/>
      <c r="D316" s="1">
        <v>46147</v>
      </c>
      <c r="E316" s="29">
        <v>742</v>
      </c>
      <c r="G316" t="s">
        <v>2475</v>
      </c>
      <c r="H316" s="2">
        <v>605</v>
      </c>
      <c r="I316" s="2" t="s">
        <v>43</v>
      </c>
      <c r="J316" s="10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605</v>
      </c>
      <c r="K316" s="3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46147</v>
      </c>
      <c r="L316" t="s">
        <v>25</v>
      </c>
      <c r="M316" s="24" t="s">
        <v>2988</v>
      </c>
      <c r="N316" s="1">
        <v>46149</v>
      </c>
      <c r="O316" t="s">
        <v>94</v>
      </c>
      <c r="R316" s="49"/>
    </row>
    <row r="317" spans="2:18" ht="15" customHeight="1">
      <c r="B317" s="48"/>
      <c r="C317" s="49"/>
      <c r="D317" s="48">
        <v>46142</v>
      </c>
      <c r="E317" s="50">
        <v>2601647</v>
      </c>
      <c r="F317" s="49"/>
      <c r="G317" s="49" t="s">
        <v>2636</v>
      </c>
      <c r="H317" s="51">
        <v>667.6</v>
      </c>
      <c r="I317" s="51" t="s">
        <v>55</v>
      </c>
      <c r="J317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667.6</v>
      </c>
      <c r="K317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17" s="49" t="s">
        <v>25</v>
      </c>
      <c r="M317" s="59" t="s">
        <v>2989</v>
      </c>
      <c r="N317" s="48">
        <v>46149</v>
      </c>
      <c r="O317" s="49" t="s">
        <v>27</v>
      </c>
      <c r="P317" s="49"/>
      <c r="Q317" s="49"/>
      <c r="R317" s="49"/>
    </row>
    <row r="318" spans="2:18" s="49" customFormat="1" ht="15" customHeight="1">
      <c r="B318" s="48"/>
      <c r="D318" s="48">
        <v>46129</v>
      </c>
      <c r="E318" s="50" t="s">
        <v>2990</v>
      </c>
      <c r="G318" s="49" t="s">
        <v>2477</v>
      </c>
      <c r="H318" s="51">
        <v>85.85</v>
      </c>
      <c r="I318" s="51" t="s">
        <v>43</v>
      </c>
      <c r="J318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85.85</v>
      </c>
      <c r="K318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46129</v>
      </c>
      <c r="L318" s="49" t="s">
        <v>25</v>
      </c>
      <c r="M318" s="59" t="s">
        <v>2991</v>
      </c>
      <c r="N318" s="48">
        <v>46149</v>
      </c>
      <c r="O318" s="49" t="s">
        <v>27</v>
      </c>
    </row>
    <row r="319" spans="2:18" s="49" customFormat="1" ht="15" customHeight="1">
      <c r="B319" s="48"/>
      <c r="D319" s="48">
        <v>46130</v>
      </c>
      <c r="E319" s="50" t="s">
        <v>2992</v>
      </c>
      <c r="G319" s="49" t="s">
        <v>2477</v>
      </c>
      <c r="H319" s="51">
        <v>106.2</v>
      </c>
      <c r="I319" s="51" t="s">
        <v>43</v>
      </c>
      <c r="J319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106.2</v>
      </c>
      <c r="K319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46130</v>
      </c>
      <c r="L319" s="49" t="s">
        <v>25</v>
      </c>
      <c r="M319" s="59" t="s">
        <v>2993</v>
      </c>
      <c r="N319" s="48">
        <v>46149</v>
      </c>
      <c r="O319" s="49" t="s">
        <v>27</v>
      </c>
    </row>
    <row r="320" spans="2:18" s="49" customFormat="1" ht="15" customHeight="1">
      <c r="B320" s="48"/>
      <c r="D320" s="48">
        <v>46132</v>
      </c>
      <c r="E320" s="50" t="s">
        <v>2994</v>
      </c>
      <c r="G320" s="49" t="s">
        <v>2477</v>
      </c>
      <c r="H320" s="51">
        <v>87.96</v>
      </c>
      <c r="I320" s="51" t="s">
        <v>43</v>
      </c>
      <c r="J320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87.96</v>
      </c>
      <c r="K320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46132</v>
      </c>
      <c r="L320" s="49" t="s">
        <v>25</v>
      </c>
      <c r="M320" s="59" t="s">
        <v>2991</v>
      </c>
      <c r="N320" s="48">
        <v>46149</v>
      </c>
      <c r="O320" s="49" t="s">
        <v>27</v>
      </c>
    </row>
    <row r="321" spans="2:18" ht="15" customHeight="1">
      <c r="B321" s="1"/>
      <c r="D321" s="1">
        <v>46148</v>
      </c>
      <c r="E321" s="29" t="s">
        <v>2995</v>
      </c>
      <c r="G321" t="s">
        <v>2996</v>
      </c>
      <c r="H321" s="2">
        <v>5000</v>
      </c>
      <c r="I321" s="2" t="s">
        <v>43</v>
      </c>
      <c r="J321" s="10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5000</v>
      </c>
      <c r="K321" s="3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46148</v>
      </c>
      <c r="L321" t="s">
        <v>25</v>
      </c>
      <c r="M321" s="24" t="s">
        <v>2997</v>
      </c>
      <c r="N321" s="1">
        <v>46149</v>
      </c>
      <c r="O321" t="s">
        <v>27</v>
      </c>
      <c r="R321" s="49"/>
    </row>
    <row r="322" spans="2:18" ht="15" customHeight="1">
      <c r="B322" s="1"/>
      <c r="D322" s="1">
        <v>46148</v>
      </c>
      <c r="E322" s="34" t="s">
        <v>2998</v>
      </c>
      <c r="G322" t="s">
        <v>2996</v>
      </c>
      <c r="H322" s="2">
        <v>2099.9899999999998</v>
      </c>
      <c r="I322" s="2" t="s">
        <v>43</v>
      </c>
      <c r="J322" s="10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2099.9899999999998</v>
      </c>
      <c r="K322" s="3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46148</v>
      </c>
      <c r="L322" t="s">
        <v>25</v>
      </c>
      <c r="M322" s="24" t="s">
        <v>2999</v>
      </c>
      <c r="N322" s="1">
        <v>46149</v>
      </c>
      <c r="O322" t="s">
        <v>27</v>
      </c>
      <c r="R322" s="49"/>
    </row>
    <row r="323" spans="2:18" ht="15" customHeight="1">
      <c r="B323" s="1">
        <v>46148</v>
      </c>
      <c r="C323">
        <v>492</v>
      </c>
      <c r="D323" s="1"/>
      <c r="E323" s="29"/>
      <c r="G323" t="s">
        <v>2623</v>
      </c>
      <c r="H323" s="2">
        <v>24040</v>
      </c>
      <c r="I323" s="2" t="s">
        <v>55</v>
      </c>
      <c r="J323" s="10">
        <v>29040</v>
      </c>
      <c r="K323" s="3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23" t="s">
        <v>25</v>
      </c>
      <c r="M323" s="24" t="s">
        <v>3000</v>
      </c>
      <c r="N323" s="1">
        <v>46149</v>
      </c>
      <c r="O323" t="s">
        <v>45</v>
      </c>
      <c r="Q323" t="s">
        <v>3001</v>
      </c>
      <c r="R323" s="49"/>
    </row>
    <row r="324" spans="2:18" s="49" customFormat="1" ht="15" customHeight="1">
      <c r="B324" s="48"/>
      <c r="D324" s="48">
        <v>46148</v>
      </c>
      <c r="E324" s="50" t="s">
        <v>3002</v>
      </c>
      <c r="G324" s="49" t="s">
        <v>3003</v>
      </c>
      <c r="H324" s="51">
        <v>3025</v>
      </c>
      <c r="I324" s="51" t="s">
        <v>43</v>
      </c>
      <c r="J324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3025</v>
      </c>
      <c r="K324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46148</v>
      </c>
      <c r="L324" s="49" t="s">
        <v>25</v>
      </c>
      <c r="M324" s="59" t="s">
        <v>3004</v>
      </c>
      <c r="N324" s="48">
        <v>46149</v>
      </c>
      <c r="O324" s="49" t="s">
        <v>27</v>
      </c>
    </row>
    <row r="325" spans="2:18" s="49" customFormat="1" ht="15" customHeight="1">
      <c r="B325" s="48"/>
      <c r="D325" s="48">
        <v>46148</v>
      </c>
      <c r="E325" s="50" t="s">
        <v>3005</v>
      </c>
      <c r="G325" s="49" t="s">
        <v>2551</v>
      </c>
      <c r="H325" s="51">
        <v>42.35</v>
      </c>
      <c r="I325" s="51" t="s">
        <v>55</v>
      </c>
      <c r="J325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42.35</v>
      </c>
      <c r="K325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25" s="49" t="s">
        <v>25</v>
      </c>
      <c r="M325" s="59" t="s">
        <v>3006</v>
      </c>
      <c r="N325" s="48"/>
    </row>
    <row r="326" spans="2:18" s="49" customFormat="1" ht="15" customHeight="1">
      <c r="B326" s="48"/>
      <c r="D326" s="48">
        <v>46146</v>
      </c>
      <c r="E326" s="50" t="s">
        <v>3007</v>
      </c>
      <c r="G326" s="49" t="s">
        <v>2551</v>
      </c>
      <c r="H326" s="51">
        <v>112.63</v>
      </c>
      <c r="I326" s="51" t="s">
        <v>55</v>
      </c>
      <c r="J326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112.63</v>
      </c>
      <c r="K326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26" s="49" t="s">
        <v>25</v>
      </c>
      <c r="M326" s="59" t="s">
        <v>3008</v>
      </c>
      <c r="N326" s="48"/>
    </row>
    <row r="327" spans="2:18" s="49" customFormat="1" ht="15" customHeight="1">
      <c r="B327" s="48"/>
      <c r="D327" s="48">
        <v>46148</v>
      </c>
      <c r="E327" s="50" t="s">
        <v>3009</v>
      </c>
      <c r="G327" s="49" t="s">
        <v>2551</v>
      </c>
      <c r="H327" s="51">
        <v>62.48</v>
      </c>
      <c r="I327" s="51" t="s">
        <v>55</v>
      </c>
      <c r="J32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62.48</v>
      </c>
      <c r="K327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27" s="49" t="s">
        <v>25</v>
      </c>
      <c r="M327" s="59" t="s">
        <v>3010</v>
      </c>
      <c r="N327" s="48"/>
    </row>
    <row r="328" spans="2:18" s="49" customFormat="1" ht="15" customHeight="1">
      <c r="B328" s="48"/>
      <c r="D328" s="48">
        <v>46178</v>
      </c>
      <c r="E328" s="50" t="s">
        <v>3011</v>
      </c>
      <c r="G328" s="49" t="s">
        <v>2495</v>
      </c>
      <c r="H328" s="58">
        <v>409.95</v>
      </c>
      <c r="I328" s="51" t="s">
        <v>55</v>
      </c>
      <c r="J328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409.95</v>
      </c>
      <c r="K328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28" s="49" t="s">
        <v>25</v>
      </c>
      <c r="M328" s="59" t="s">
        <v>3012</v>
      </c>
      <c r="N328" s="48">
        <v>46156</v>
      </c>
      <c r="O328" s="49" t="s">
        <v>45</v>
      </c>
    </row>
    <row r="329" spans="2:18" s="49" customFormat="1" ht="15" customHeight="1">
      <c r="B329" s="48">
        <v>46154</v>
      </c>
      <c r="C329" s="49" t="s">
        <v>3013</v>
      </c>
      <c r="D329" s="48">
        <v>46155</v>
      </c>
      <c r="E329" s="50" t="s">
        <v>3014</v>
      </c>
      <c r="G329" s="49" t="s">
        <v>2541</v>
      </c>
      <c r="H329" s="51">
        <v>10.9</v>
      </c>
      <c r="I329" s="51" t="s">
        <v>55</v>
      </c>
      <c r="J329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10.9</v>
      </c>
      <c r="K329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29" s="49" t="s">
        <v>25</v>
      </c>
      <c r="M329" s="59" t="s">
        <v>3015</v>
      </c>
      <c r="N329" s="48"/>
    </row>
    <row r="330" spans="2:18" s="49" customFormat="1" ht="15" customHeight="1">
      <c r="B330" s="48"/>
      <c r="D330" s="48">
        <v>46142</v>
      </c>
      <c r="E330" s="50" t="s">
        <v>3016</v>
      </c>
      <c r="G330" s="49" t="s">
        <v>2551</v>
      </c>
      <c r="H330" s="51">
        <v>2.27</v>
      </c>
      <c r="I330" s="51" t="s">
        <v>55</v>
      </c>
      <c r="J330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2.27</v>
      </c>
      <c r="K330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30" s="49" t="s">
        <v>25</v>
      </c>
      <c r="M330" s="59" t="s">
        <v>3017</v>
      </c>
      <c r="N330" s="48"/>
    </row>
    <row r="331" spans="2:18" s="49" customFormat="1" ht="15" customHeight="1">
      <c r="B331" s="48"/>
      <c r="D331" s="48">
        <v>46135</v>
      </c>
      <c r="E331" s="50" t="s">
        <v>3018</v>
      </c>
      <c r="G331" s="49" t="s">
        <v>1067</v>
      </c>
      <c r="H331" s="51">
        <v>22.4</v>
      </c>
      <c r="I331" s="51" t="s">
        <v>43</v>
      </c>
      <c r="J33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22.4</v>
      </c>
      <c r="K331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46135</v>
      </c>
      <c r="L331" s="49" t="s">
        <v>25</v>
      </c>
      <c r="M331" s="59" t="s">
        <v>2958</v>
      </c>
      <c r="N331" s="48"/>
    </row>
    <row r="332" spans="2:18" s="49" customFormat="1" ht="15" customHeight="1">
      <c r="B332" s="206">
        <v>46146</v>
      </c>
      <c r="C332" s="207"/>
      <c r="D332" s="206">
        <v>46168</v>
      </c>
      <c r="E332" s="208" t="s">
        <v>3019</v>
      </c>
      <c r="F332" s="207"/>
      <c r="G332" s="207" t="s">
        <v>1067</v>
      </c>
      <c r="H332" s="209">
        <v>22.77</v>
      </c>
      <c r="I332" s="209" t="s">
        <v>43</v>
      </c>
      <c r="J332" s="209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22.77</v>
      </c>
      <c r="K332" s="210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46168</v>
      </c>
      <c r="L332" s="207" t="s">
        <v>25</v>
      </c>
      <c r="M332" s="211" t="s">
        <v>3020</v>
      </c>
      <c r="N332" s="206">
        <v>46146</v>
      </c>
      <c r="O332" s="207"/>
      <c r="P332" s="207"/>
      <c r="Q332" s="207"/>
      <c r="R332" s="207"/>
    </row>
    <row r="333" spans="2:18" s="49" customFormat="1" ht="15" customHeight="1">
      <c r="B333" s="48">
        <v>46146</v>
      </c>
      <c r="D333" s="48">
        <v>46147</v>
      </c>
      <c r="E333" s="50" t="s">
        <v>3021</v>
      </c>
      <c r="G333" s="49" t="s">
        <v>3022</v>
      </c>
      <c r="H333" s="51">
        <v>780.12</v>
      </c>
      <c r="I333" s="51" t="s">
        <v>43</v>
      </c>
      <c r="J33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780.12</v>
      </c>
      <c r="K333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46147</v>
      </c>
      <c r="L333" s="49" t="s">
        <v>25</v>
      </c>
      <c r="M333" s="59" t="s">
        <v>3023</v>
      </c>
      <c r="N333" s="48">
        <v>46146</v>
      </c>
    </row>
    <row r="334" spans="2:18" s="49" customFormat="1" ht="15" customHeight="1">
      <c r="B334" s="48">
        <v>46171</v>
      </c>
      <c r="D334" s="48">
        <v>46173</v>
      </c>
      <c r="E334" s="50" t="s">
        <v>3024</v>
      </c>
      <c r="G334" s="49" t="s">
        <v>1067</v>
      </c>
      <c r="H334" s="51">
        <v>22.99</v>
      </c>
      <c r="I334" s="51" t="s">
        <v>43</v>
      </c>
      <c r="J33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22.99</v>
      </c>
      <c r="K334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46173</v>
      </c>
      <c r="L334" s="49" t="s">
        <v>25</v>
      </c>
      <c r="M334" s="59" t="s">
        <v>3025</v>
      </c>
      <c r="N334" s="48">
        <v>46171</v>
      </c>
    </row>
    <row r="335" spans="2:18" s="49" customFormat="1" ht="15" customHeight="1">
      <c r="B335" s="48">
        <v>46140</v>
      </c>
      <c r="D335" s="48">
        <v>46140</v>
      </c>
      <c r="E335" s="50" t="s">
        <v>3026</v>
      </c>
      <c r="G335" s="49" t="s">
        <v>1067</v>
      </c>
      <c r="H335" s="51">
        <v>23.12</v>
      </c>
      <c r="I335" s="51" t="s">
        <v>43</v>
      </c>
      <c r="J335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23.12</v>
      </c>
      <c r="K335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46140</v>
      </c>
      <c r="L335" s="49" t="s">
        <v>25</v>
      </c>
      <c r="M335" s="59" t="s">
        <v>3027</v>
      </c>
      <c r="N335" s="48">
        <v>46140</v>
      </c>
    </row>
    <row r="336" spans="2:18" s="49" customFormat="1" ht="15" customHeight="1">
      <c r="B336" s="48">
        <v>46129</v>
      </c>
      <c r="D336" s="48"/>
      <c r="E336" s="50"/>
      <c r="G336" s="49" t="s">
        <v>1067</v>
      </c>
      <c r="H336" s="51">
        <v>23.78</v>
      </c>
      <c r="I336" s="51" t="s">
        <v>43</v>
      </c>
      <c r="J336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23.78</v>
      </c>
      <c r="K336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36" s="49" t="s">
        <v>25</v>
      </c>
      <c r="M336" s="59" t="s">
        <v>3028</v>
      </c>
      <c r="N336" s="48">
        <v>46129</v>
      </c>
    </row>
    <row r="337" spans="2:18" s="151" customFormat="1" ht="15" customHeight="1">
      <c r="B337" s="48">
        <v>46087</v>
      </c>
      <c r="C337" s="49"/>
      <c r="D337" s="48">
        <v>46087</v>
      </c>
      <c r="E337" s="50" t="s">
        <v>3029</v>
      </c>
      <c r="F337" s="49"/>
      <c r="G337" s="49" t="s">
        <v>1067</v>
      </c>
      <c r="H337" s="51">
        <v>23.99</v>
      </c>
      <c r="I337" s="51" t="s">
        <v>43</v>
      </c>
      <c r="J33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23.99</v>
      </c>
      <c r="K337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46087</v>
      </c>
      <c r="L337" s="49" t="s">
        <v>25</v>
      </c>
      <c r="M337" s="49" t="s">
        <v>3030</v>
      </c>
      <c r="N337" s="48">
        <v>46087</v>
      </c>
      <c r="O337" s="49"/>
      <c r="P337" s="49"/>
      <c r="Q337" s="49"/>
      <c r="R337" s="49"/>
    </row>
    <row r="338" spans="2:18" s="49" customFormat="1" ht="15" customHeight="1">
      <c r="B338" s="48">
        <v>46171</v>
      </c>
      <c r="D338" s="48">
        <v>46172</v>
      </c>
      <c r="E338" s="50" t="s">
        <v>3031</v>
      </c>
      <c r="G338" s="49" t="s">
        <v>1067</v>
      </c>
      <c r="H338" s="51">
        <v>24.02</v>
      </c>
      <c r="I338" s="51" t="s">
        <v>43</v>
      </c>
      <c r="J33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24.02</v>
      </c>
      <c r="K338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46172</v>
      </c>
      <c r="L338" s="49" t="s">
        <v>25</v>
      </c>
      <c r="M338" s="59" t="s">
        <v>3032</v>
      </c>
      <c r="N338" s="48">
        <v>46171</v>
      </c>
    </row>
    <row r="339" spans="2:18" s="49" customFormat="1" ht="15" customHeight="1">
      <c r="B339" s="48">
        <v>46153</v>
      </c>
      <c r="D339" s="48">
        <v>46157</v>
      </c>
      <c r="E339" s="50" t="s">
        <v>3033</v>
      </c>
      <c r="G339" s="49" t="s">
        <v>2765</v>
      </c>
      <c r="H339" s="51">
        <v>37.82</v>
      </c>
      <c r="I339" s="51" t="s">
        <v>43</v>
      </c>
      <c r="J339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37.82</v>
      </c>
      <c r="K339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46157</v>
      </c>
      <c r="L339" s="49" t="s">
        <v>25</v>
      </c>
      <c r="M339" s="59" t="s">
        <v>3034</v>
      </c>
      <c r="N339" s="48">
        <v>46153</v>
      </c>
    </row>
    <row r="340" spans="2:18" s="49" customFormat="1" ht="15" customHeight="1">
      <c r="B340" s="48"/>
      <c r="D340" s="48">
        <v>46140</v>
      </c>
      <c r="E340" s="50" t="s">
        <v>3035</v>
      </c>
      <c r="G340" s="49" t="s">
        <v>2551</v>
      </c>
      <c r="H340" s="51">
        <v>47.37</v>
      </c>
      <c r="I340" s="51" t="s">
        <v>55</v>
      </c>
      <c r="J340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47.37</v>
      </c>
      <c r="K340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40" s="49" t="s">
        <v>25</v>
      </c>
      <c r="M340" s="59" t="s">
        <v>3036</v>
      </c>
      <c r="N340" s="48"/>
    </row>
    <row r="341" spans="2:18" s="49" customFormat="1" ht="15" customHeight="1">
      <c r="B341" s="48"/>
      <c r="D341" s="48">
        <v>46152</v>
      </c>
      <c r="E341" s="50" t="s">
        <v>3037</v>
      </c>
      <c r="G341" s="49" t="s">
        <v>3038</v>
      </c>
      <c r="H341" s="51">
        <v>19194</v>
      </c>
      <c r="I341" s="51" t="s">
        <v>55</v>
      </c>
      <c r="J34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19194</v>
      </c>
      <c r="K341" s="52">
        <v>46139</v>
      </c>
      <c r="L341" s="49" t="s">
        <v>25</v>
      </c>
      <c r="M341" s="59" t="s">
        <v>3039</v>
      </c>
      <c r="N341" s="48"/>
    </row>
    <row r="342" spans="2:18" s="49" customFormat="1" ht="15" customHeight="1">
      <c r="B342" s="48"/>
      <c r="D342" s="48">
        <v>46132</v>
      </c>
      <c r="E342" s="50" t="s">
        <v>3040</v>
      </c>
      <c r="G342" s="49" t="s">
        <v>2498</v>
      </c>
      <c r="H342" s="51">
        <v>231.24</v>
      </c>
      <c r="I342" s="51" t="s">
        <v>98</v>
      </c>
      <c r="J342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231.24</v>
      </c>
      <c r="K342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42" s="49" t="s">
        <v>25</v>
      </c>
      <c r="M342" s="59" t="s">
        <v>3041</v>
      </c>
      <c r="N342" s="48">
        <v>46140</v>
      </c>
    </row>
    <row r="343" spans="2:18" s="49" customFormat="1" ht="15" customHeight="1">
      <c r="B343" s="48"/>
      <c r="D343" s="48">
        <v>46142</v>
      </c>
      <c r="E343" s="50" t="s">
        <v>3042</v>
      </c>
      <c r="G343" s="49" t="s">
        <v>2538</v>
      </c>
      <c r="H343" s="51">
        <v>281.58999999999997</v>
      </c>
      <c r="I343" s="51" t="s">
        <v>98</v>
      </c>
      <c r="J34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281.58999999999997</v>
      </c>
      <c r="K343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43" s="49" t="s">
        <v>25</v>
      </c>
      <c r="M343" s="59" t="s">
        <v>3043</v>
      </c>
      <c r="N343" s="48"/>
    </row>
    <row r="344" spans="2:18" s="49" customFormat="1" ht="15" customHeight="1">
      <c r="B344" s="48"/>
      <c r="D344" s="48">
        <v>46149</v>
      </c>
      <c r="E344" s="50" t="s">
        <v>3044</v>
      </c>
      <c r="G344" s="49" t="s">
        <v>2608</v>
      </c>
      <c r="H344" s="51">
        <v>4.8499999999999996</v>
      </c>
      <c r="I344" s="51" t="s">
        <v>43</v>
      </c>
      <c r="J34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4.8499999999999996</v>
      </c>
      <c r="K344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46149</v>
      </c>
      <c r="L344" s="49" t="s">
        <v>25</v>
      </c>
      <c r="M344" s="59" t="s">
        <v>3045</v>
      </c>
      <c r="N344" s="48">
        <v>46149</v>
      </c>
    </row>
    <row r="345" spans="2:18" s="49" customFormat="1" ht="15" customHeight="1">
      <c r="B345" s="48">
        <v>46150</v>
      </c>
      <c r="C345" s="49" t="s">
        <v>3046</v>
      </c>
      <c r="D345" s="48">
        <v>46160</v>
      </c>
      <c r="E345" s="50" t="s">
        <v>3047</v>
      </c>
      <c r="G345" s="49" t="s">
        <v>3048</v>
      </c>
      <c r="H345" s="58">
        <v>2406.38</v>
      </c>
      <c r="I345" s="51" t="s">
        <v>55</v>
      </c>
      <c r="J345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2406.38</v>
      </c>
      <c r="K345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45" s="49" t="s">
        <v>25</v>
      </c>
      <c r="M345" s="59" t="s">
        <v>3049</v>
      </c>
      <c r="N345" s="48">
        <v>46156</v>
      </c>
      <c r="O345" s="49" t="s">
        <v>45</v>
      </c>
    </row>
    <row r="346" spans="2:18" s="49" customFormat="1" ht="15" customHeight="1">
      <c r="B346" s="48"/>
      <c r="D346" s="48">
        <v>46151</v>
      </c>
      <c r="E346" s="50" t="s">
        <v>3050</v>
      </c>
      <c r="G346" s="49" t="s">
        <v>2506</v>
      </c>
      <c r="H346" s="51">
        <v>21.86</v>
      </c>
      <c r="I346" s="51" t="s">
        <v>98</v>
      </c>
      <c r="J346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21.86</v>
      </c>
      <c r="K346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46" s="49" t="s">
        <v>25</v>
      </c>
      <c r="M346" s="59" t="s">
        <v>3051</v>
      </c>
      <c r="N346" s="48"/>
      <c r="R346" s="49" t="s">
        <v>32</v>
      </c>
    </row>
    <row r="347" spans="2:18" s="49" customFormat="1" ht="15" customHeight="1">
      <c r="B347" s="48"/>
      <c r="D347" s="48">
        <v>46153</v>
      </c>
      <c r="E347" s="50" t="s">
        <v>3052</v>
      </c>
      <c r="G347" s="49" t="s">
        <v>2814</v>
      </c>
      <c r="H347" s="51">
        <v>261.8</v>
      </c>
      <c r="I347" s="51" t="s">
        <v>55</v>
      </c>
      <c r="J34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261.8</v>
      </c>
      <c r="K347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47" s="49" t="s">
        <v>25</v>
      </c>
      <c r="M347" s="59" t="s">
        <v>3053</v>
      </c>
      <c r="N347" s="48"/>
    </row>
    <row r="348" spans="2:18" s="49" customFormat="1" ht="15" customHeight="1">
      <c r="B348" s="48"/>
      <c r="D348" s="48">
        <v>46143</v>
      </c>
      <c r="E348" s="50" t="s">
        <v>3054</v>
      </c>
      <c r="G348" s="49" t="s">
        <v>2481</v>
      </c>
      <c r="H348" s="51">
        <v>1635.32</v>
      </c>
      <c r="I348" s="51" t="s">
        <v>98</v>
      </c>
      <c r="J348" s="51">
        <v>1635.32</v>
      </c>
      <c r="K348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48" s="49" t="s">
        <v>25</v>
      </c>
      <c r="M348" s="59" t="s">
        <v>3055</v>
      </c>
      <c r="N348" s="48">
        <v>46149</v>
      </c>
    </row>
    <row r="349" spans="2:18" s="49" customFormat="1" ht="15" customHeight="1">
      <c r="B349" s="48"/>
      <c r="D349" s="48">
        <v>46127</v>
      </c>
      <c r="E349" s="50" t="s">
        <v>3056</v>
      </c>
      <c r="G349" s="49" t="s">
        <v>3057</v>
      </c>
      <c r="H349" s="58">
        <v>1210</v>
      </c>
      <c r="I349" s="51" t="s">
        <v>55</v>
      </c>
      <c r="J349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1210</v>
      </c>
      <c r="K349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49" s="49" t="s">
        <v>25</v>
      </c>
      <c r="M349" s="59" t="s">
        <v>3058</v>
      </c>
      <c r="N349" s="48">
        <v>46156</v>
      </c>
      <c r="O349" s="49" t="s">
        <v>45</v>
      </c>
    </row>
    <row r="350" spans="2:18" s="49" customFormat="1" ht="15" customHeight="1">
      <c r="B350" s="48"/>
      <c r="D350" s="48">
        <v>46148</v>
      </c>
      <c r="E350" s="50" t="s">
        <v>3059</v>
      </c>
      <c r="G350" s="49" t="s">
        <v>2484</v>
      </c>
      <c r="H350" s="51">
        <v>69.8</v>
      </c>
      <c r="I350" s="51" t="s">
        <v>43</v>
      </c>
      <c r="J350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69.8</v>
      </c>
      <c r="K350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46148</v>
      </c>
      <c r="L350" s="49" t="s">
        <v>25</v>
      </c>
      <c r="M350" s="59" t="s">
        <v>2559</v>
      </c>
      <c r="N350" s="48">
        <v>46148</v>
      </c>
    </row>
    <row r="351" spans="2:18" s="49" customFormat="1" ht="15" customHeight="1">
      <c r="B351" s="48"/>
      <c r="D351" s="48">
        <v>46153</v>
      </c>
      <c r="E351" s="50" t="s">
        <v>3060</v>
      </c>
      <c r="G351" s="49" t="s">
        <v>2551</v>
      </c>
      <c r="H351" s="51">
        <v>2.4</v>
      </c>
      <c r="I351" s="51" t="s">
        <v>55</v>
      </c>
      <c r="J35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2.4</v>
      </c>
      <c r="K351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51" s="49" t="s">
        <v>25</v>
      </c>
      <c r="M351" s="59" t="s">
        <v>3061</v>
      </c>
      <c r="N351" s="48">
        <v>46153</v>
      </c>
    </row>
    <row r="352" spans="2:18" s="49" customFormat="1" ht="15" customHeight="1">
      <c r="B352" s="48"/>
      <c r="D352" s="48">
        <v>46149</v>
      </c>
      <c r="E352" s="50" t="s">
        <v>3062</v>
      </c>
      <c r="G352" s="49" t="s">
        <v>2506</v>
      </c>
      <c r="H352" s="51">
        <v>57.2</v>
      </c>
      <c r="I352" s="51" t="s">
        <v>98</v>
      </c>
      <c r="J352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57.2</v>
      </c>
      <c r="K352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52" s="49" t="s">
        <v>25</v>
      </c>
      <c r="M352" s="59" t="s">
        <v>3063</v>
      </c>
      <c r="N352" s="48"/>
      <c r="R352" s="49" t="s">
        <v>32</v>
      </c>
    </row>
    <row r="353" spans="2:18" s="49" customFormat="1" ht="15" customHeight="1">
      <c r="B353" s="48"/>
      <c r="D353" s="48">
        <v>46115</v>
      </c>
      <c r="E353" s="50">
        <v>46</v>
      </c>
      <c r="G353" s="49" t="s">
        <v>2776</v>
      </c>
      <c r="H353" s="51">
        <v>112.53</v>
      </c>
      <c r="I353" s="51" t="s">
        <v>43</v>
      </c>
      <c r="J353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112.53</v>
      </c>
      <c r="K353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46115</v>
      </c>
      <c r="L353" s="49" t="s">
        <v>25</v>
      </c>
      <c r="M353" s="59" t="s">
        <v>3064</v>
      </c>
      <c r="N353" s="48">
        <v>46156</v>
      </c>
      <c r="O353" s="49" t="s">
        <v>27</v>
      </c>
    </row>
    <row r="354" spans="2:18" s="49" customFormat="1" ht="15" customHeight="1">
      <c r="B354" s="48"/>
      <c r="D354" s="48">
        <v>46122</v>
      </c>
      <c r="E354" s="50">
        <v>47</v>
      </c>
      <c r="G354" s="49" t="s">
        <v>2776</v>
      </c>
      <c r="H354" s="51">
        <v>148.72</v>
      </c>
      <c r="I354" s="51" t="s">
        <v>43</v>
      </c>
      <c r="J354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148.72</v>
      </c>
      <c r="K354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46122</v>
      </c>
      <c r="L354" s="49" t="s">
        <v>25</v>
      </c>
      <c r="M354" s="59" t="s">
        <v>3065</v>
      </c>
      <c r="N354" s="48">
        <v>46156</v>
      </c>
      <c r="O354" s="49" t="s">
        <v>27</v>
      </c>
    </row>
    <row r="355" spans="2:18" s="49" customFormat="1" ht="15" customHeight="1">
      <c r="B355" s="48"/>
      <c r="D355" s="48">
        <v>46220</v>
      </c>
      <c r="E355" s="50">
        <v>48</v>
      </c>
      <c r="G355" s="49" t="s">
        <v>2776</v>
      </c>
      <c r="H355" s="51">
        <v>95.92</v>
      </c>
      <c r="I355" s="51" t="s">
        <v>43</v>
      </c>
      <c r="J355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95.92</v>
      </c>
      <c r="K355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46220</v>
      </c>
      <c r="L355" s="49" t="s">
        <v>25</v>
      </c>
      <c r="M355" s="59" t="s">
        <v>3066</v>
      </c>
      <c r="N355" s="48">
        <v>46156</v>
      </c>
      <c r="O355" s="49" t="s">
        <v>27</v>
      </c>
    </row>
    <row r="356" spans="2:18" s="49" customFormat="1" ht="15" customHeight="1">
      <c r="B356" s="48"/>
      <c r="D356" s="48">
        <v>46136</v>
      </c>
      <c r="E356" s="50">
        <v>49</v>
      </c>
      <c r="G356" s="49" t="s">
        <v>2776</v>
      </c>
      <c r="H356" s="51">
        <v>81.62</v>
      </c>
      <c r="I356" s="51" t="s">
        <v>43</v>
      </c>
      <c r="J356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81.62</v>
      </c>
      <c r="K356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46136</v>
      </c>
      <c r="L356" s="49" t="s">
        <v>25</v>
      </c>
      <c r="M356" s="59" t="s">
        <v>3067</v>
      </c>
      <c r="N356" s="48">
        <v>46156</v>
      </c>
      <c r="O356" s="49" t="s">
        <v>27</v>
      </c>
    </row>
    <row r="357" spans="2:18" s="49" customFormat="1" ht="15" customHeight="1">
      <c r="B357" s="48"/>
      <c r="D357" s="48">
        <v>46150</v>
      </c>
      <c r="E357" s="50" t="s">
        <v>3068</v>
      </c>
      <c r="G357" s="49" t="s">
        <v>2769</v>
      </c>
      <c r="H357" s="51">
        <v>12.12</v>
      </c>
      <c r="I357" s="51" t="s">
        <v>98</v>
      </c>
      <c r="J35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12.12</v>
      </c>
      <c r="K357" s="52">
        <v>46164</v>
      </c>
      <c r="L357" s="49" t="s">
        <v>25</v>
      </c>
      <c r="M357" s="59" t="s">
        <v>3069</v>
      </c>
      <c r="N357" s="48"/>
    </row>
    <row r="358" spans="2:18" s="49" customFormat="1" ht="15" customHeight="1">
      <c r="B358" s="48"/>
      <c r="D358" s="48">
        <v>46151</v>
      </c>
      <c r="E358" s="50" t="s">
        <v>3070</v>
      </c>
      <c r="G358" s="49" t="s">
        <v>2484</v>
      </c>
      <c r="H358" s="51">
        <v>88.65</v>
      </c>
      <c r="I358" s="51" t="s">
        <v>43</v>
      </c>
      <c r="J35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88.65</v>
      </c>
      <c r="K358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46151</v>
      </c>
      <c r="L358" s="49" t="s">
        <v>25</v>
      </c>
      <c r="M358" s="59" t="s">
        <v>2559</v>
      </c>
      <c r="N358" s="48">
        <v>46151</v>
      </c>
    </row>
    <row r="359" spans="2:18" s="49" customFormat="1" ht="15" customHeight="1">
      <c r="B359" s="48"/>
      <c r="D359" s="48">
        <v>46155</v>
      </c>
      <c r="E359" s="50">
        <v>57290</v>
      </c>
      <c r="G359" s="49" t="s">
        <v>2554</v>
      </c>
      <c r="H359" s="51">
        <v>116</v>
      </c>
      <c r="I359" s="51" t="s">
        <v>43</v>
      </c>
      <c r="J359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116</v>
      </c>
      <c r="K359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46155</v>
      </c>
      <c r="L359" s="49" t="s">
        <v>25</v>
      </c>
      <c r="M359" s="59" t="s">
        <v>3071</v>
      </c>
      <c r="N359" s="48">
        <v>46156</v>
      </c>
      <c r="O359" s="49" t="s">
        <v>27</v>
      </c>
    </row>
    <row r="360" spans="2:18" s="49" customFormat="1" ht="15" customHeight="1">
      <c r="B360" s="48"/>
      <c r="D360" s="48">
        <v>46150</v>
      </c>
      <c r="E360" s="50" t="s">
        <v>3072</v>
      </c>
      <c r="G360" s="49" t="s">
        <v>2477</v>
      </c>
      <c r="H360" s="51">
        <v>20.3</v>
      </c>
      <c r="I360" s="51" t="s">
        <v>43</v>
      </c>
      <c r="J360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20.3</v>
      </c>
      <c r="K360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46150</v>
      </c>
      <c r="L360" s="49" t="s">
        <v>25</v>
      </c>
      <c r="M360" s="59" t="s">
        <v>3073</v>
      </c>
      <c r="N360" s="48">
        <v>46156</v>
      </c>
      <c r="O360" s="49" t="s">
        <v>27</v>
      </c>
    </row>
    <row r="361" spans="2:18" s="49" customFormat="1" ht="15" customHeight="1">
      <c r="B361" s="48"/>
      <c r="D361" s="48">
        <v>46155</v>
      </c>
      <c r="E361" s="50" t="s">
        <v>3074</v>
      </c>
      <c r="G361" s="49" t="s">
        <v>2929</v>
      </c>
      <c r="H361" s="51">
        <v>17.850000000000001</v>
      </c>
      <c r="I361" s="51" t="s">
        <v>55</v>
      </c>
      <c r="J36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17.850000000000001</v>
      </c>
      <c r="K361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61" s="49" t="s">
        <v>25</v>
      </c>
      <c r="M361" s="59" t="s">
        <v>3075</v>
      </c>
      <c r="N361" s="48"/>
    </row>
    <row r="362" spans="2:18" s="49" customFormat="1" ht="15" customHeight="1">
      <c r="B362" s="48"/>
      <c r="D362" s="48">
        <v>46120</v>
      </c>
      <c r="E362" s="50" t="s">
        <v>3076</v>
      </c>
      <c r="G362" s="49" t="s">
        <v>2538</v>
      </c>
      <c r="H362" s="51">
        <v>787.31</v>
      </c>
      <c r="I362" s="51" t="s">
        <v>98</v>
      </c>
      <c r="J362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787.31</v>
      </c>
      <c r="K362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62" s="49" t="s">
        <v>25</v>
      </c>
      <c r="M362" s="59" t="s">
        <v>3077</v>
      </c>
      <c r="N362" s="48"/>
    </row>
    <row r="363" spans="2:18" s="49" customFormat="1" ht="15" customHeight="1">
      <c r="B363" s="48"/>
      <c r="D363" s="48">
        <v>46156</v>
      </c>
      <c r="E363" s="50" t="s">
        <v>3078</v>
      </c>
      <c r="G363" s="49" t="s">
        <v>2491</v>
      </c>
      <c r="H363" s="51">
        <v>231</v>
      </c>
      <c r="I363" s="51" t="s">
        <v>43</v>
      </c>
      <c r="J36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231</v>
      </c>
      <c r="K363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46156</v>
      </c>
      <c r="L363" s="49" t="s">
        <v>25</v>
      </c>
      <c r="M363" s="59" t="s">
        <v>2492</v>
      </c>
      <c r="N363" s="48">
        <v>46156</v>
      </c>
    </row>
    <row r="364" spans="2:18" s="49" customFormat="1" ht="15" customHeight="1">
      <c r="B364" s="48"/>
      <c r="D364" s="48">
        <v>46124</v>
      </c>
      <c r="E364" s="50" t="s">
        <v>3079</v>
      </c>
      <c r="G364" s="49" t="s">
        <v>2506</v>
      </c>
      <c r="H364" s="51">
        <v>18.190000000000001</v>
      </c>
      <c r="I364" s="51" t="s">
        <v>98</v>
      </c>
      <c r="J36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18.190000000000001</v>
      </c>
      <c r="K364" s="52">
        <v>46124</v>
      </c>
      <c r="L364" s="49" t="s">
        <v>25</v>
      </c>
      <c r="M364" s="59" t="s">
        <v>3080</v>
      </c>
      <c r="N364" s="48"/>
      <c r="R364" s="49" t="s">
        <v>32</v>
      </c>
    </row>
    <row r="365" spans="2:18" s="49" customFormat="1" ht="15" customHeight="1">
      <c r="B365" s="48"/>
      <c r="D365" s="48">
        <v>46155</v>
      </c>
      <c r="E365" s="50" t="s">
        <v>3081</v>
      </c>
      <c r="G365" s="59" t="s">
        <v>3082</v>
      </c>
      <c r="H365" s="51">
        <v>251.8</v>
      </c>
      <c r="I365" s="51" t="s">
        <v>55</v>
      </c>
      <c r="J365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251.8</v>
      </c>
      <c r="K365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65" s="49" t="s">
        <v>25</v>
      </c>
      <c r="M365" s="59" t="s">
        <v>3083</v>
      </c>
      <c r="N365" s="48">
        <v>46128</v>
      </c>
    </row>
    <row r="366" spans="2:18" s="49" customFormat="1" ht="15" customHeight="1">
      <c r="B366" s="48"/>
      <c r="D366" s="48">
        <v>46155</v>
      </c>
      <c r="E366" s="50" t="s">
        <v>3084</v>
      </c>
      <c r="G366" s="49" t="s">
        <v>3082</v>
      </c>
      <c r="H366" s="51">
        <v>251.8</v>
      </c>
      <c r="I366" s="51" t="s">
        <v>55</v>
      </c>
      <c r="J366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251.8</v>
      </c>
      <c r="K366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66" s="49" t="s">
        <v>25</v>
      </c>
      <c r="M366" s="59" t="s">
        <v>3085</v>
      </c>
      <c r="N366" s="48">
        <v>46128</v>
      </c>
    </row>
    <row r="367" spans="2:18" s="49" customFormat="1" ht="15" customHeight="1">
      <c r="B367" s="48"/>
      <c r="D367" s="48">
        <v>46155</v>
      </c>
      <c r="E367" s="50" t="s">
        <v>3086</v>
      </c>
      <c r="G367" s="49" t="s">
        <v>3082</v>
      </c>
      <c r="H367" s="51">
        <v>231.8</v>
      </c>
      <c r="I367" s="51" t="s">
        <v>55</v>
      </c>
      <c r="J36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231.8</v>
      </c>
      <c r="K367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67" s="49" t="s">
        <v>25</v>
      </c>
      <c r="M367" s="59" t="s">
        <v>3087</v>
      </c>
      <c r="N367" s="48">
        <v>46133</v>
      </c>
    </row>
    <row r="368" spans="2:18" s="49" customFormat="1" ht="15" customHeight="1">
      <c r="B368" s="48"/>
      <c r="D368" s="48">
        <v>46155</v>
      </c>
      <c r="E368" s="50" t="s">
        <v>3088</v>
      </c>
      <c r="G368" s="49" t="s">
        <v>3082</v>
      </c>
      <c r="H368" s="51">
        <v>251.8</v>
      </c>
      <c r="I368" s="51" t="s">
        <v>55</v>
      </c>
      <c r="J36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251.8</v>
      </c>
      <c r="K368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68" s="49" t="s">
        <v>25</v>
      </c>
      <c r="M368" s="59" t="s">
        <v>3089</v>
      </c>
      <c r="N368" s="48">
        <v>46133</v>
      </c>
    </row>
    <row r="369" spans="2:18" s="49" customFormat="1" ht="15" customHeight="1">
      <c r="B369" s="48"/>
      <c r="D369" s="48">
        <v>46156</v>
      </c>
      <c r="E369" s="50" t="s">
        <v>3090</v>
      </c>
      <c r="G369" s="49" t="s">
        <v>2484</v>
      </c>
      <c r="H369" s="51">
        <v>69.260000000000005</v>
      </c>
      <c r="I369" s="51" t="s">
        <v>43</v>
      </c>
      <c r="J369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69.260000000000005</v>
      </c>
      <c r="K369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46156</v>
      </c>
      <c r="L369" s="49" t="s">
        <v>25</v>
      </c>
      <c r="M369" s="59" t="s">
        <v>2559</v>
      </c>
      <c r="N369" s="48">
        <v>46156</v>
      </c>
    </row>
    <row r="370" spans="2:18" s="49" customFormat="1" ht="15" customHeight="1">
      <c r="B370" s="48"/>
      <c r="D370" s="48">
        <v>46153</v>
      </c>
      <c r="E370" s="50" t="s">
        <v>3091</v>
      </c>
      <c r="G370" s="49" t="s">
        <v>2481</v>
      </c>
      <c r="H370" s="51">
        <v>1863.4</v>
      </c>
      <c r="I370" s="51" t="s">
        <v>98</v>
      </c>
      <c r="J370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1863.4</v>
      </c>
      <c r="K370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370" s="59" t="s">
        <v>3092</v>
      </c>
      <c r="N370" s="48"/>
    </row>
    <row r="371" spans="2:18" s="49" customFormat="1" ht="15" customHeight="1">
      <c r="B371" s="48"/>
      <c r="D371" s="48">
        <v>46156</v>
      </c>
      <c r="E371" s="50" t="s">
        <v>3093</v>
      </c>
      <c r="G371" s="49" t="s">
        <v>3082</v>
      </c>
      <c r="H371" s="58">
        <v>13.63</v>
      </c>
      <c r="I371" s="58" t="s">
        <v>55</v>
      </c>
      <c r="J371" s="58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13.63</v>
      </c>
      <c r="K371" s="90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71" s="49" t="s">
        <v>25</v>
      </c>
      <c r="M371" s="59" t="s">
        <v>3094</v>
      </c>
      <c r="N371" s="48">
        <v>46142</v>
      </c>
    </row>
    <row r="372" spans="2:18" s="49" customFormat="1" ht="15" customHeight="1">
      <c r="B372" s="48"/>
      <c r="D372" s="48">
        <v>46156</v>
      </c>
      <c r="E372" s="50" t="s">
        <v>3095</v>
      </c>
      <c r="G372" s="49" t="s">
        <v>3096</v>
      </c>
      <c r="H372" s="51">
        <v>400</v>
      </c>
      <c r="I372" s="51" t="s">
        <v>55</v>
      </c>
      <c r="J372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400</v>
      </c>
      <c r="K372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72" s="49" t="s">
        <v>25</v>
      </c>
      <c r="M372" s="59" t="s">
        <v>3097</v>
      </c>
      <c r="N372" s="48">
        <v>46163</v>
      </c>
      <c r="O372" s="49" t="s">
        <v>45</v>
      </c>
    </row>
    <row r="373" spans="2:18" s="49" customFormat="1" ht="15" customHeight="1">
      <c r="B373" s="48"/>
      <c r="D373" s="48">
        <v>46156</v>
      </c>
      <c r="E373" s="50" t="s">
        <v>3098</v>
      </c>
      <c r="G373" s="49" t="s">
        <v>2484</v>
      </c>
      <c r="H373" s="51">
        <v>86.55</v>
      </c>
      <c r="I373" s="51" t="s">
        <v>43</v>
      </c>
      <c r="J37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86.55</v>
      </c>
      <c r="K373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46156</v>
      </c>
      <c r="L373" s="49" t="s">
        <v>25</v>
      </c>
      <c r="M373" s="59" t="s">
        <v>3099</v>
      </c>
      <c r="N373" s="48">
        <v>46156</v>
      </c>
    </row>
    <row r="374" spans="2:18" s="49" customFormat="1" ht="15" customHeight="1">
      <c r="B374" s="48"/>
      <c r="D374" s="48">
        <v>46156</v>
      </c>
      <c r="E374" s="50" t="s">
        <v>3100</v>
      </c>
      <c r="G374" s="49" t="s">
        <v>2506</v>
      </c>
      <c r="H374" s="51">
        <v>16.149999999999999</v>
      </c>
      <c r="I374" s="51" t="s">
        <v>98</v>
      </c>
      <c r="J37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16.149999999999999</v>
      </c>
      <c r="K374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74" s="49" t="s">
        <v>25</v>
      </c>
      <c r="M374" s="59" t="s">
        <v>3101</v>
      </c>
      <c r="N374" s="48"/>
    </row>
    <row r="375" spans="2:18" s="49" customFormat="1" ht="15" customHeight="1">
      <c r="B375" s="48"/>
      <c r="D375" s="48">
        <v>46143</v>
      </c>
      <c r="E375" s="50">
        <v>544557674</v>
      </c>
      <c r="G375" s="49" t="s">
        <v>2609</v>
      </c>
      <c r="H375" s="51">
        <v>38.96</v>
      </c>
      <c r="I375" s="51" t="s">
        <v>43</v>
      </c>
      <c r="J375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38.96</v>
      </c>
      <c r="K375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46143</v>
      </c>
      <c r="L375" s="49" t="s">
        <v>25</v>
      </c>
      <c r="M375" s="59" t="s">
        <v>3102</v>
      </c>
      <c r="N375" s="48"/>
    </row>
    <row r="376" spans="2:18" s="49" customFormat="1" ht="15" customHeight="1">
      <c r="B376" s="48"/>
      <c r="D376" s="48">
        <v>46152</v>
      </c>
      <c r="E376" s="50" t="s">
        <v>3103</v>
      </c>
      <c r="G376" s="49" t="s">
        <v>2538</v>
      </c>
      <c r="H376" s="51">
        <v>96.01</v>
      </c>
      <c r="I376" s="51" t="s">
        <v>98</v>
      </c>
      <c r="J376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96.01</v>
      </c>
      <c r="K376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76" s="49" t="s">
        <v>25</v>
      </c>
      <c r="M376" s="59"/>
      <c r="N376" s="48"/>
    </row>
    <row r="377" spans="2:18" s="49" customFormat="1" ht="15" customHeight="1">
      <c r="B377" s="48"/>
      <c r="D377" s="48">
        <v>46156</v>
      </c>
      <c r="E377" s="50" t="s">
        <v>3104</v>
      </c>
      <c r="G377" s="49" t="s">
        <v>2484</v>
      </c>
      <c r="H377" s="51">
        <v>103.19</v>
      </c>
      <c r="I377" s="51" t="s">
        <v>43</v>
      </c>
      <c r="J37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103.19</v>
      </c>
      <c r="K377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46156</v>
      </c>
      <c r="L377" s="49" t="s">
        <v>25</v>
      </c>
      <c r="M377" s="59" t="s">
        <v>2559</v>
      </c>
      <c r="N377" s="48">
        <v>46156</v>
      </c>
    </row>
    <row r="378" spans="2:18" s="49" customFormat="1" ht="15" customHeight="1">
      <c r="B378" s="48"/>
      <c r="D378" s="48">
        <v>46157</v>
      </c>
      <c r="E378" s="50" t="s">
        <v>3105</v>
      </c>
      <c r="G378" s="49" t="s">
        <v>2506</v>
      </c>
      <c r="H378" s="51">
        <v>16.149999999999999</v>
      </c>
      <c r="I378" s="51" t="s">
        <v>98</v>
      </c>
      <c r="J37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16.149999999999999</v>
      </c>
      <c r="K378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78" s="49" t="s">
        <v>25</v>
      </c>
      <c r="M378" s="59" t="s">
        <v>3063</v>
      </c>
      <c r="N378" s="48"/>
    </row>
    <row r="379" spans="2:18" s="49" customFormat="1" ht="15" customHeight="1">
      <c r="B379" s="200">
        <v>46087</v>
      </c>
      <c r="C379" s="201"/>
      <c r="D379" s="200">
        <v>46090</v>
      </c>
      <c r="E379" s="202" t="s">
        <v>3106</v>
      </c>
      <c r="F379" s="201"/>
      <c r="G379" s="201" t="s">
        <v>1067</v>
      </c>
      <c r="H379" s="203">
        <v>24.79</v>
      </c>
      <c r="I379" s="203" t="s">
        <v>43</v>
      </c>
      <c r="J379" s="203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24.79</v>
      </c>
      <c r="K379" s="204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46090</v>
      </c>
      <c r="L379" s="201" t="s">
        <v>25</v>
      </c>
      <c r="M379" s="201" t="s">
        <v>3107</v>
      </c>
      <c r="N379" s="200">
        <v>46087</v>
      </c>
      <c r="O379" s="201"/>
      <c r="P379" s="201"/>
      <c r="Q379" s="201"/>
      <c r="R379" s="201"/>
    </row>
    <row r="380" spans="2:18" s="49" customFormat="1" ht="15" customHeight="1">
      <c r="B380" s="48"/>
      <c r="D380" s="48"/>
      <c r="E380" s="50"/>
      <c r="G380" s="49" t="s">
        <v>1067</v>
      </c>
      <c r="H380" s="51">
        <v>25.21</v>
      </c>
      <c r="I380" s="51" t="s">
        <v>43</v>
      </c>
      <c r="J380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25.21</v>
      </c>
      <c r="K380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80" s="49" t="s">
        <v>25</v>
      </c>
      <c r="M380" s="142" t="s">
        <v>3108</v>
      </c>
      <c r="N380" s="48">
        <v>46203</v>
      </c>
    </row>
    <row r="381" spans="2:18" s="49" customFormat="1" ht="15" customHeight="1">
      <c r="B381" s="48">
        <v>46209</v>
      </c>
      <c r="D381" s="48">
        <v>46210</v>
      </c>
      <c r="E381" s="50" t="s">
        <v>3109</v>
      </c>
      <c r="G381" s="49" t="s">
        <v>1067</v>
      </c>
      <c r="H381" s="51">
        <v>26</v>
      </c>
      <c r="I381" s="51" t="s">
        <v>43</v>
      </c>
      <c r="J38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26</v>
      </c>
      <c r="K381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46210</v>
      </c>
      <c r="L381" s="49" t="s">
        <v>25</v>
      </c>
      <c r="M381" s="59" t="s">
        <v>3110</v>
      </c>
      <c r="N381" s="48">
        <v>46209</v>
      </c>
    </row>
    <row r="382" spans="2:18" s="49" customFormat="1" ht="15" customHeight="1">
      <c r="B382" s="48">
        <v>46157</v>
      </c>
      <c r="D382" s="48">
        <v>46162</v>
      </c>
      <c r="E382" s="50" t="s">
        <v>3111</v>
      </c>
      <c r="G382" s="49" t="s">
        <v>2765</v>
      </c>
      <c r="H382" s="51">
        <v>65.2</v>
      </c>
      <c r="I382" s="51" t="s">
        <v>43</v>
      </c>
      <c r="J382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65.2</v>
      </c>
      <c r="K382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46162</v>
      </c>
      <c r="L382" s="49" t="s">
        <v>25</v>
      </c>
      <c r="M382" s="59" t="s">
        <v>3112</v>
      </c>
      <c r="N382" s="48">
        <v>46157</v>
      </c>
    </row>
    <row r="383" spans="2:18" s="49" customFormat="1" ht="15" customHeight="1">
      <c r="B383" s="48">
        <v>46203</v>
      </c>
      <c r="D383" s="48"/>
      <c r="E383" s="50"/>
      <c r="G383" s="49" t="s">
        <v>1067</v>
      </c>
      <c r="H383" s="51">
        <v>27.24</v>
      </c>
      <c r="I383" s="51" t="s">
        <v>43</v>
      </c>
      <c r="J38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27.24</v>
      </c>
      <c r="K383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83" s="49" t="s">
        <v>25</v>
      </c>
      <c r="M383" s="59" t="s">
        <v>3113</v>
      </c>
      <c r="N383" s="48">
        <v>46203</v>
      </c>
    </row>
    <row r="384" spans="2:18" s="151" customFormat="1" ht="15" customHeight="1">
      <c r="B384" s="48">
        <v>46129</v>
      </c>
      <c r="C384" s="49"/>
      <c r="D384" s="48"/>
      <c r="E384" s="50"/>
      <c r="F384" s="49"/>
      <c r="G384" s="49" t="s">
        <v>1067</v>
      </c>
      <c r="H384" s="51">
        <v>27.34</v>
      </c>
      <c r="I384" s="51" t="s">
        <v>43</v>
      </c>
      <c r="J38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27.34</v>
      </c>
      <c r="K384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84" s="49" t="s">
        <v>25</v>
      </c>
      <c r="M384" s="59" t="s">
        <v>3114</v>
      </c>
      <c r="N384" s="48">
        <v>46129</v>
      </c>
      <c r="O384" s="49"/>
      <c r="P384" s="49"/>
      <c r="Q384" s="49"/>
      <c r="R384" s="49"/>
    </row>
    <row r="385" spans="2:18" s="49" customFormat="1" ht="15" customHeight="1">
      <c r="B385" s="48">
        <v>46184</v>
      </c>
      <c r="D385" s="48"/>
      <c r="E385" s="50"/>
      <c r="G385" s="49" t="s">
        <v>1067</v>
      </c>
      <c r="H385" s="51">
        <v>28.21</v>
      </c>
      <c r="I385" s="51" t="s">
        <v>43</v>
      </c>
      <c r="J385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28.21</v>
      </c>
      <c r="K385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85" s="49" t="s">
        <v>25</v>
      </c>
      <c r="M385" s="59" t="s">
        <v>3115</v>
      </c>
      <c r="N385" s="48">
        <v>46184</v>
      </c>
    </row>
    <row r="386" spans="2:18" s="151" customFormat="1" ht="15" customHeight="1">
      <c r="B386" s="48">
        <v>46184</v>
      </c>
      <c r="C386" s="49"/>
      <c r="D386" s="48"/>
      <c r="E386" s="50"/>
      <c r="F386" s="49"/>
      <c r="G386" s="49" t="s">
        <v>1067</v>
      </c>
      <c r="H386" s="51">
        <v>28.21</v>
      </c>
      <c r="I386" s="51" t="s">
        <v>43</v>
      </c>
      <c r="J386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28.21</v>
      </c>
      <c r="K386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86" s="49" t="s">
        <v>25</v>
      </c>
      <c r="M386" s="59" t="s">
        <v>3115</v>
      </c>
      <c r="N386" s="48">
        <v>46184</v>
      </c>
      <c r="O386" s="49"/>
      <c r="P386" s="49"/>
      <c r="Q386" s="49"/>
      <c r="R386" s="49"/>
    </row>
    <row r="387" spans="2:18" s="49" customFormat="1" ht="15" customHeight="1">
      <c r="B387" s="48">
        <v>46087</v>
      </c>
      <c r="D387" s="48">
        <v>46089</v>
      </c>
      <c r="E387" s="50" t="s">
        <v>3116</v>
      </c>
      <c r="G387" s="49" t="s">
        <v>1067</v>
      </c>
      <c r="H387" s="51">
        <v>29</v>
      </c>
      <c r="I387" s="51" t="s">
        <v>43</v>
      </c>
      <c r="J38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29</v>
      </c>
      <c r="K387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46089</v>
      </c>
      <c r="L387" s="49" t="s">
        <v>25</v>
      </c>
      <c r="M387" s="49" t="s">
        <v>3117</v>
      </c>
      <c r="N387" s="48">
        <v>46087</v>
      </c>
    </row>
    <row r="388" spans="2:18" s="49" customFormat="1" ht="15" customHeight="1">
      <c r="B388" s="48">
        <v>46203</v>
      </c>
      <c r="D388" s="48">
        <v>46206</v>
      </c>
      <c r="E388" s="50" t="s">
        <v>3118</v>
      </c>
      <c r="G388" s="49" t="s">
        <v>1067</v>
      </c>
      <c r="H388" s="51">
        <v>31.02</v>
      </c>
      <c r="I388" s="51" t="s">
        <v>43</v>
      </c>
      <c r="J38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31.02</v>
      </c>
      <c r="K388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46206</v>
      </c>
      <c r="L388" s="49" t="s">
        <v>25</v>
      </c>
      <c r="M388" s="59" t="s">
        <v>3119</v>
      </c>
      <c r="N388" s="48">
        <v>46203</v>
      </c>
    </row>
    <row r="389" spans="2:18" s="49" customFormat="1" ht="15" customHeight="1">
      <c r="B389" s="48">
        <v>46155</v>
      </c>
      <c r="D389" s="48">
        <v>46158</v>
      </c>
      <c r="E389" s="50" t="s">
        <v>3120</v>
      </c>
      <c r="G389" s="49" t="s">
        <v>1067</v>
      </c>
      <c r="H389" s="51">
        <v>31.89</v>
      </c>
      <c r="I389" s="51" t="s">
        <v>43</v>
      </c>
      <c r="J389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31.89</v>
      </c>
      <c r="K389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46158</v>
      </c>
      <c r="L389" s="49" t="s">
        <v>25</v>
      </c>
      <c r="M389" s="59" t="s">
        <v>3121</v>
      </c>
      <c r="N389" s="48">
        <v>46155</v>
      </c>
    </row>
    <row r="390" spans="2:18" s="151" customFormat="1" ht="15" customHeight="1">
      <c r="B390" s="183">
        <v>46169</v>
      </c>
      <c r="C390" s="184"/>
      <c r="D390" s="183"/>
      <c r="E390" s="185"/>
      <c r="F390" s="184"/>
      <c r="G390" s="184" t="s">
        <v>1067</v>
      </c>
      <c r="H390" s="186">
        <v>33.04</v>
      </c>
      <c r="I390" s="186" t="s">
        <v>43</v>
      </c>
      <c r="J390" s="186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33.04</v>
      </c>
      <c r="K390" s="187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90" s="184" t="s">
        <v>25</v>
      </c>
      <c r="M390" s="188" t="s">
        <v>3122</v>
      </c>
      <c r="N390" s="183">
        <v>46169</v>
      </c>
      <c r="O390" s="184"/>
      <c r="P390" s="184"/>
      <c r="Q390" s="184"/>
      <c r="R390" s="184"/>
    </row>
    <row r="391" spans="2:18" s="49" customFormat="1" ht="15" customHeight="1">
      <c r="B391" s="48"/>
      <c r="D391" s="48">
        <v>46147</v>
      </c>
      <c r="E391" s="50" t="s">
        <v>3123</v>
      </c>
      <c r="G391" s="49" t="s">
        <v>2526</v>
      </c>
      <c r="H391" s="51">
        <v>815.06</v>
      </c>
      <c r="I391" s="51" t="s">
        <v>98</v>
      </c>
      <c r="J39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815.06</v>
      </c>
      <c r="K391" s="52"/>
      <c r="L391" s="49" t="s">
        <v>25</v>
      </c>
      <c r="M391" s="59" t="s">
        <v>3124</v>
      </c>
      <c r="N391" s="48">
        <v>46162</v>
      </c>
    </row>
    <row r="392" spans="2:18" s="49" customFormat="1" ht="15" customHeight="1">
      <c r="B392" s="48"/>
      <c r="D392" s="48">
        <v>46155</v>
      </c>
      <c r="E392" s="50" t="s">
        <v>3125</v>
      </c>
      <c r="G392" s="49" t="s">
        <v>2477</v>
      </c>
      <c r="H392" s="51">
        <v>12</v>
      </c>
      <c r="I392" s="51" t="s">
        <v>43</v>
      </c>
      <c r="J392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12</v>
      </c>
      <c r="K392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46155</v>
      </c>
      <c r="L392" s="49" t="s">
        <v>25</v>
      </c>
      <c r="M392" s="59" t="s">
        <v>3073</v>
      </c>
      <c r="N392" s="48">
        <v>46163</v>
      </c>
      <c r="O392" s="49" t="s">
        <v>27</v>
      </c>
    </row>
    <row r="393" spans="2:18" s="49" customFormat="1" ht="15" customHeight="1">
      <c r="B393" s="48"/>
      <c r="D393" s="48">
        <v>46160</v>
      </c>
      <c r="E393" s="50" t="s">
        <v>3126</v>
      </c>
      <c r="G393" s="49" t="s">
        <v>2461</v>
      </c>
      <c r="H393" s="51">
        <v>121</v>
      </c>
      <c r="I393" s="51" t="s">
        <v>98</v>
      </c>
      <c r="J39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121</v>
      </c>
      <c r="K393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93" s="49" t="s">
        <v>25</v>
      </c>
      <c r="M393" s="59" t="s">
        <v>3127</v>
      </c>
      <c r="N393" s="48"/>
    </row>
    <row r="394" spans="2:18" s="49" customFormat="1" ht="15" customHeight="1">
      <c r="B394" s="48"/>
      <c r="D394" s="48">
        <v>46174</v>
      </c>
      <c r="E394" s="50" t="s">
        <v>3128</v>
      </c>
      <c r="G394" s="49" t="s">
        <v>2996</v>
      </c>
      <c r="H394" s="51">
        <v>2603.1799999999998</v>
      </c>
      <c r="I394" s="51" t="s">
        <v>43</v>
      </c>
      <c r="J394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2603.1799999999998</v>
      </c>
      <c r="K394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46174</v>
      </c>
      <c r="L394" s="49" t="s">
        <v>25</v>
      </c>
      <c r="M394" s="59" t="s">
        <v>3129</v>
      </c>
      <c r="N394" s="48">
        <v>46178</v>
      </c>
      <c r="O394" s="49" t="s">
        <v>27</v>
      </c>
    </row>
    <row r="395" spans="2:18" s="49" customFormat="1" ht="15" customHeight="1">
      <c r="B395" s="48"/>
      <c r="D395" s="48">
        <v>46160</v>
      </c>
      <c r="E395" s="50" t="s">
        <v>3130</v>
      </c>
      <c r="G395" s="49" t="s">
        <v>2756</v>
      </c>
      <c r="H395" s="51">
        <v>206.7</v>
      </c>
      <c r="I395" s="51" t="s">
        <v>98</v>
      </c>
      <c r="J395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206.7</v>
      </c>
      <c r="K395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95" s="49" t="s">
        <v>25</v>
      </c>
      <c r="M395" s="59" t="s">
        <v>3131</v>
      </c>
      <c r="N395" s="48"/>
    </row>
    <row r="396" spans="2:18" s="49" customFormat="1" ht="15" customHeight="1">
      <c r="B396" s="48">
        <v>46204</v>
      </c>
      <c r="D396" s="48">
        <v>46204</v>
      </c>
      <c r="E396" s="50" t="s">
        <v>3132</v>
      </c>
      <c r="G396" s="49" t="s">
        <v>2996</v>
      </c>
      <c r="H396" s="51">
        <v>3113.18</v>
      </c>
      <c r="I396" s="51" t="s">
        <v>43</v>
      </c>
      <c r="J396" s="62">
        <v>3113.18</v>
      </c>
      <c r="K396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46204</v>
      </c>
      <c r="L396" s="49" t="s">
        <v>25</v>
      </c>
      <c r="M396" s="59" t="s">
        <v>3133</v>
      </c>
      <c r="N396" s="48">
        <v>46205</v>
      </c>
      <c r="O396" s="49" t="s">
        <v>27</v>
      </c>
    </row>
    <row r="397" spans="2:18" s="63" customFormat="1" ht="15" customHeight="1">
      <c r="B397" s="48">
        <v>46235</v>
      </c>
      <c r="C397" s="49"/>
      <c r="D397" s="48"/>
      <c r="E397" s="50"/>
      <c r="F397" s="49"/>
      <c r="G397" s="49" t="s">
        <v>2996</v>
      </c>
      <c r="H397" s="51">
        <v>2500</v>
      </c>
      <c r="I397" s="51" t="s">
        <v>43</v>
      </c>
      <c r="J39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2500</v>
      </c>
      <c r="K397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397" s="49"/>
      <c r="M397" s="59" t="s">
        <v>3134</v>
      </c>
      <c r="N397" s="48">
        <v>46240</v>
      </c>
      <c r="O397" s="49" t="s">
        <v>27</v>
      </c>
      <c r="P397" s="49"/>
      <c r="Q397" s="49"/>
      <c r="R397" s="49"/>
    </row>
    <row r="398" spans="2:18" s="49" customFormat="1" ht="15" customHeight="1">
      <c r="B398" s="48">
        <v>46266</v>
      </c>
      <c r="D398" s="48"/>
      <c r="E398" s="50"/>
      <c r="G398" s="49" t="s">
        <v>2996</v>
      </c>
      <c r="H398" s="51">
        <v>2500</v>
      </c>
      <c r="I398" s="51" t="s">
        <v>43</v>
      </c>
      <c r="J39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2500</v>
      </c>
      <c r="K398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398" s="59" t="s">
        <v>3135</v>
      </c>
      <c r="N398" s="48">
        <v>46268</v>
      </c>
      <c r="O398" s="49" t="s">
        <v>27</v>
      </c>
    </row>
    <row r="399" spans="2:18" s="49" customFormat="1" ht="15" customHeight="1">
      <c r="B399" s="48">
        <v>46296</v>
      </c>
      <c r="D399" s="48"/>
      <c r="E399" s="50"/>
      <c r="G399" s="49" t="s">
        <v>2996</v>
      </c>
      <c r="H399" s="51">
        <v>2500</v>
      </c>
      <c r="I399" s="51" t="s">
        <v>43</v>
      </c>
      <c r="J399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2500</v>
      </c>
      <c r="K399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399" s="59" t="s">
        <v>3136</v>
      </c>
      <c r="N399" s="48">
        <v>46296</v>
      </c>
      <c r="O399" s="49" t="s">
        <v>27</v>
      </c>
    </row>
    <row r="400" spans="2:18" s="49" customFormat="1" ht="15" customHeight="1">
      <c r="B400" s="48">
        <v>46327</v>
      </c>
      <c r="D400" s="48"/>
      <c r="E400" s="50"/>
      <c r="G400" s="49" t="s">
        <v>2996</v>
      </c>
      <c r="H400" s="51">
        <v>2500</v>
      </c>
      <c r="I400" s="51" t="s">
        <v>43</v>
      </c>
      <c r="J400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2500</v>
      </c>
      <c r="K400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400" s="59" t="s">
        <v>3137</v>
      </c>
      <c r="N400" s="48">
        <v>46331</v>
      </c>
      <c r="O400" s="49" t="s">
        <v>27</v>
      </c>
    </row>
    <row r="401" spans="2:18" s="49" customFormat="1" ht="15" customHeight="1">
      <c r="B401" s="48">
        <v>46357</v>
      </c>
      <c r="D401" s="48"/>
      <c r="E401" s="50"/>
      <c r="G401" s="49" t="s">
        <v>2996</v>
      </c>
      <c r="H401" s="51">
        <v>2500</v>
      </c>
      <c r="I401" s="51" t="s">
        <v>43</v>
      </c>
      <c r="J40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2500</v>
      </c>
      <c r="K401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401" s="59" t="s">
        <v>3138</v>
      </c>
      <c r="N401" s="48">
        <v>46359</v>
      </c>
      <c r="O401" s="49" t="s">
        <v>27</v>
      </c>
    </row>
    <row r="402" spans="2:18" s="49" customFormat="1" ht="15" customHeight="1">
      <c r="B402" s="48"/>
      <c r="D402" s="48">
        <v>46143</v>
      </c>
      <c r="E402" s="50" t="s">
        <v>3139</v>
      </c>
      <c r="G402" s="49" t="s">
        <v>2461</v>
      </c>
      <c r="H402" s="51">
        <v>58.72</v>
      </c>
      <c r="I402" s="51" t="s">
        <v>98</v>
      </c>
      <c r="J402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58.72</v>
      </c>
      <c r="K402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402" s="49" t="s">
        <v>25</v>
      </c>
      <c r="M402" s="59" t="s">
        <v>2635</v>
      </c>
      <c r="N402" s="48"/>
    </row>
    <row r="403" spans="2:18" s="49" customFormat="1" ht="15" customHeight="1">
      <c r="B403" s="48"/>
      <c r="D403" s="48">
        <v>46143</v>
      </c>
      <c r="E403" s="50" t="s">
        <v>3140</v>
      </c>
      <c r="G403" s="49" t="s">
        <v>2461</v>
      </c>
      <c r="H403" s="51">
        <v>58.9</v>
      </c>
      <c r="I403" s="51" t="s">
        <v>98</v>
      </c>
      <c r="J40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58.9</v>
      </c>
      <c r="K403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403" s="49" t="s">
        <v>25</v>
      </c>
      <c r="M403" s="59" t="s">
        <v>2627</v>
      </c>
      <c r="N403" s="48"/>
    </row>
    <row r="404" spans="2:18" s="49" customFormat="1" ht="15" customHeight="1">
      <c r="B404" s="48"/>
      <c r="D404" s="48">
        <v>46143</v>
      </c>
      <c r="E404" s="50" t="s">
        <v>3141</v>
      </c>
      <c r="G404" s="49" t="s">
        <v>2461</v>
      </c>
      <c r="H404" s="51">
        <v>60.97</v>
      </c>
      <c r="I404" s="51" t="s">
        <v>98</v>
      </c>
      <c r="J40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60.97</v>
      </c>
      <c r="K404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404" s="49" t="s">
        <v>25</v>
      </c>
      <c r="M404" s="59" t="s">
        <v>2633</v>
      </c>
      <c r="N404" s="48"/>
    </row>
    <row r="405" spans="2:18" s="49" customFormat="1" ht="15" customHeight="1">
      <c r="B405" s="48">
        <v>46157</v>
      </c>
      <c r="D405" s="48">
        <v>46158</v>
      </c>
      <c r="E405" s="50" t="s">
        <v>3142</v>
      </c>
      <c r="G405" s="49" t="s">
        <v>1067</v>
      </c>
      <c r="H405" s="51">
        <v>33.380000000000003</v>
      </c>
      <c r="I405" s="51" t="s">
        <v>43</v>
      </c>
      <c r="J405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33.380000000000003</v>
      </c>
      <c r="K405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46158</v>
      </c>
      <c r="L405" s="49" t="s">
        <v>25</v>
      </c>
      <c r="M405" s="59" t="s">
        <v>3143</v>
      </c>
      <c r="N405" s="48">
        <v>46157</v>
      </c>
    </row>
    <row r="406" spans="2:18" s="49" customFormat="1" ht="15" customHeight="1">
      <c r="B406" s="150">
        <v>46157</v>
      </c>
      <c r="C406" s="151"/>
      <c r="D406" s="150"/>
      <c r="E406" s="152"/>
      <c r="F406" s="151"/>
      <c r="G406" s="151" t="s">
        <v>1067</v>
      </c>
      <c r="H406" s="153">
        <v>33.39</v>
      </c>
      <c r="I406" s="153" t="s">
        <v>43</v>
      </c>
      <c r="J406" s="153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33.39</v>
      </c>
      <c r="K406" s="154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406" s="151" t="s">
        <v>25</v>
      </c>
      <c r="M406" s="155" t="s">
        <v>3144</v>
      </c>
      <c r="N406" s="150">
        <v>46157</v>
      </c>
      <c r="O406" s="151"/>
      <c r="P406" s="151"/>
      <c r="Q406" s="151"/>
      <c r="R406" s="151"/>
    </row>
    <row r="407" spans="2:18" s="49" customFormat="1" ht="15" customHeight="1">
      <c r="B407" s="150">
        <v>46133</v>
      </c>
      <c r="C407" s="151"/>
      <c r="D407" s="150"/>
      <c r="E407" s="152"/>
      <c r="F407" s="151"/>
      <c r="G407" s="151" t="s">
        <v>1067</v>
      </c>
      <c r="H407" s="153">
        <v>33.99</v>
      </c>
      <c r="I407" s="153" t="s">
        <v>43</v>
      </c>
      <c r="J407" s="153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33.99</v>
      </c>
      <c r="K407" s="154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407" s="151" t="s">
        <v>25</v>
      </c>
      <c r="M407" s="155" t="s">
        <v>3145</v>
      </c>
      <c r="N407" s="150">
        <v>46133</v>
      </c>
      <c r="O407" s="151"/>
      <c r="P407" s="151"/>
      <c r="Q407" s="151"/>
      <c r="R407" s="151"/>
    </row>
    <row r="408" spans="2:18" s="49" customFormat="1" ht="15" customHeight="1">
      <c r="B408" s="76">
        <v>46162</v>
      </c>
      <c r="C408" s="63"/>
      <c r="D408" s="76">
        <v>46163</v>
      </c>
      <c r="E408" s="78" t="s">
        <v>3146</v>
      </c>
      <c r="F408" s="63"/>
      <c r="G408" s="63" t="s">
        <v>1067</v>
      </c>
      <c r="H408" s="79">
        <v>33.99</v>
      </c>
      <c r="I408" s="79" t="s">
        <v>43</v>
      </c>
      <c r="J408" s="79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33.99</v>
      </c>
      <c r="K408" s="80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46163</v>
      </c>
      <c r="L408" s="63" t="s">
        <v>25</v>
      </c>
      <c r="M408" s="82" t="s">
        <v>3147</v>
      </c>
      <c r="N408" s="76">
        <v>46162</v>
      </c>
      <c r="O408" s="63"/>
      <c r="P408" s="63"/>
      <c r="Q408" s="63"/>
      <c r="R408" s="63"/>
    </row>
    <row r="409" spans="2:18" s="49" customFormat="1" ht="15" customHeight="1">
      <c r="B409" s="206">
        <v>46129</v>
      </c>
      <c r="C409" s="207"/>
      <c r="D409" s="206">
        <v>46168</v>
      </c>
      <c r="E409" s="208" t="s">
        <v>3148</v>
      </c>
      <c r="F409" s="207"/>
      <c r="G409" s="207" t="s">
        <v>1067</v>
      </c>
      <c r="H409" s="209">
        <v>37.950000000000003</v>
      </c>
      <c r="I409" s="209" t="s">
        <v>43</v>
      </c>
      <c r="J409" s="209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37.950000000000003</v>
      </c>
      <c r="K409" s="210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46168</v>
      </c>
      <c r="L409" s="207" t="s">
        <v>25</v>
      </c>
      <c r="M409" s="211" t="s">
        <v>3149</v>
      </c>
      <c r="N409" s="206">
        <v>46129</v>
      </c>
      <c r="O409" s="207"/>
      <c r="P409" s="207"/>
      <c r="Q409" s="207"/>
      <c r="R409" s="207"/>
    </row>
    <row r="410" spans="2:18" s="49" customFormat="1" ht="15" customHeight="1">
      <c r="B410" s="48">
        <v>46182</v>
      </c>
      <c r="D410" s="48">
        <v>46182</v>
      </c>
      <c r="E410" s="50" t="s">
        <v>3150</v>
      </c>
      <c r="G410" s="49" t="s">
        <v>1067</v>
      </c>
      <c r="H410" s="51">
        <v>37.99</v>
      </c>
      <c r="I410" s="51" t="s">
        <v>43</v>
      </c>
      <c r="J410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37.99</v>
      </c>
      <c r="K410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46182</v>
      </c>
      <c r="L410" s="49" t="s">
        <v>25</v>
      </c>
      <c r="M410" s="59" t="s">
        <v>3151</v>
      </c>
      <c r="N410" s="48">
        <v>46182</v>
      </c>
    </row>
    <row r="411" spans="2:18" s="49" customFormat="1" ht="15" customHeight="1">
      <c r="B411" s="48"/>
      <c r="D411" s="48">
        <v>46161</v>
      </c>
      <c r="E411" s="50" t="s">
        <v>3152</v>
      </c>
      <c r="G411" s="49" t="s">
        <v>2814</v>
      </c>
      <c r="H411" s="51">
        <v>161.80000000000001</v>
      </c>
      <c r="I411" s="51" t="s">
        <v>55</v>
      </c>
      <c r="J41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161.80000000000001</v>
      </c>
      <c r="K411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411" s="49" t="s">
        <v>25</v>
      </c>
      <c r="M411" s="59" t="s">
        <v>3153</v>
      </c>
      <c r="N411" s="48">
        <v>46161</v>
      </c>
    </row>
    <row r="412" spans="2:18" s="49" customFormat="1" ht="15" customHeight="1">
      <c r="B412" s="48"/>
      <c r="D412" s="48">
        <v>46141</v>
      </c>
      <c r="E412" s="50" t="s">
        <v>3154</v>
      </c>
      <c r="G412" s="49" t="s">
        <v>3155</v>
      </c>
      <c r="H412" s="51">
        <v>50</v>
      </c>
      <c r="I412" s="51" t="s">
        <v>55</v>
      </c>
      <c r="J412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50</v>
      </c>
      <c r="K412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412" s="49" t="s">
        <v>25</v>
      </c>
      <c r="M412" s="59" t="s">
        <v>3156</v>
      </c>
      <c r="N412" s="48">
        <v>46141</v>
      </c>
    </row>
    <row r="413" spans="2:18" s="49" customFormat="1" ht="15" customHeight="1">
      <c r="B413" s="48"/>
      <c r="D413" s="48">
        <v>46161</v>
      </c>
      <c r="E413" s="50" t="s">
        <v>3157</v>
      </c>
      <c r="G413" s="49" t="s">
        <v>2484</v>
      </c>
      <c r="H413" s="51">
        <v>68.48</v>
      </c>
      <c r="I413" s="51" t="s">
        <v>43</v>
      </c>
      <c r="J41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68.48</v>
      </c>
      <c r="K413" s="52">
        <v>46161</v>
      </c>
      <c r="L413" s="49" t="s">
        <v>25</v>
      </c>
      <c r="M413" s="59" t="s">
        <v>2559</v>
      </c>
      <c r="N413" s="48">
        <v>46161</v>
      </c>
    </row>
    <row r="414" spans="2:18" s="49" customFormat="1" ht="15" customHeight="1">
      <c r="B414" s="48"/>
      <c r="D414" s="48">
        <v>46161</v>
      </c>
      <c r="E414" s="50" t="s">
        <v>3158</v>
      </c>
      <c r="G414" s="49" t="s">
        <v>2484</v>
      </c>
      <c r="H414" s="51">
        <v>109.69</v>
      </c>
      <c r="I414" s="51" t="s">
        <v>43</v>
      </c>
      <c r="J41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109.69</v>
      </c>
      <c r="K414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46161</v>
      </c>
      <c r="L414" s="49" t="s">
        <v>25</v>
      </c>
      <c r="M414" s="59" t="s">
        <v>2559</v>
      </c>
      <c r="N414" s="48">
        <v>46161</v>
      </c>
    </row>
    <row r="415" spans="2:18" s="49" customFormat="1" ht="15" customHeight="1">
      <c r="B415" s="48"/>
      <c r="D415" s="48">
        <v>46162</v>
      </c>
      <c r="E415" s="50" t="s">
        <v>3159</v>
      </c>
      <c r="G415" s="49" t="s">
        <v>3155</v>
      </c>
      <c r="H415" s="51">
        <v>9</v>
      </c>
      <c r="I415" s="51" t="s">
        <v>55</v>
      </c>
      <c r="J415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9</v>
      </c>
      <c r="K415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415" s="49" t="s">
        <v>25</v>
      </c>
      <c r="M415" s="59" t="s">
        <v>3160</v>
      </c>
      <c r="N415" s="48">
        <v>46161</v>
      </c>
    </row>
    <row r="416" spans="2:18" s="49" customFormat="1" ht="15" customHeight="1">
      <c r="B416" s="48">
        <v>46140</v>
      </c>
      <c r="D416" s="48"/>
      <c r="E416" s="50"/>
      <c r="G416" s="49" t="s">
        <v>1067</v>
      </c>
      <c r="H416" s="51">
        <v>39.020000000000003</v>
      </c>
      <c r="I416" s="51" t="s">
        <v>43</v>
      </c>
      <c r="J416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39.020000000000003</v>
      </c>
      <c r="K416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416" s="49" t="s">
        <v>25</v>
      </c>
      <c r="M416" s="59" t="s">
        <v>3161</v>
      </c>
      <c r="N416" s="48">
        <v>46140</v>
      </c>
    </row>
    <row r="417" spans="2:18" s="49" customFormat="1" ht="15" customHeight="1">
      <c r="B417" s="48">
        <v>46153</v>
      </c>
      <c r="D417" s="48">
        <v>46154</v>
      </c>
      <c r="E417" s="50" t="s">
        <v>3162</v>
      </c>
      <c r="G417" s="49" t="s">
        <v>1067</v>
      </c>
      <c r="H417" s="51">
        <v>42.24</v>
      </c>
      <c r="I417" s="51" t="s">
        <v>43</v>
      </c>
      <c r="J41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42.24</v>
      </c>
      <c r="K417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46154</v>
      </c>
      <c r="L417" s="49" t="s">
        <v>25</v>
      </c>
      <c r="M417" s="59" t="s">
        <v>3163</v>
      </c>
      <c r="N417" s="48">
        <v>46153</v>
      </c>
    </row>
    <row r="418" spans="2:18" s="49" customFormat="1" ht="15" customHeight="1">
      <c r="B418" s="48">
        <v>46141</v>
      </c>
      <c r="D418" s="48">
        <v>46142</v>
      </c>
      <c r="E418" s="50" t="s">
        <v>3164</v>
      </c>
      <c r="G418" s="49" t="s">
        <v>1067</v>
      </c>
      <c r="H418" s="51">
        <v>42.45</v>
      </c>
      <c r="I418" s="51" t="s">
        <v>43</v>
      </c>
      <c r="J41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42.45</v>
      </c>
      <c r="K418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46142</v>
      </c>
      <c r="L418" s="49" t="s">
        <v>25</v>
      </c>
      <c r="M418" s="59" t="s">
        <v>3165</v>
      </c>
      <c r="N418" s="48">
        <v>46141</v>
      </c>
    </row>
    <row r="419" spans="2:18" s="49" customFormat="1" ht="15" customHeight="1">
      <c r="B419" s="48"/>
      <c r="D419" s="48">
        <v>46161</v>
      </c>
      <c r="E419" s="50">
        <v>389216</v>
      </c>
      <c r="G419" s="49" t="s">
        <v>3166</v>
      </c>
      <c r="H419" s="51">
        <v>86.72</v>
      </c>
      <c r="I419" s="51" t="s">
        <v>43</v>
      </c>
      <c r="J419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86.72</v>
      </c>
      <c r="K419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46161</v>
      </c>
      <c r="L419" s="49" t="s">
        <v>25</v>
      </c>
      <c r="M419" s="59" t="s">
        <v>3167</v>
      </c>
      <c r="N419" s="48">
        <v>46161</v>
      </c>
    </row>
    <row r="420" spans="2:18" s="49" customFormat="1" ht="15" customHeight="1">
      <c r="B420" s="48"/>
      <c r="D420" s="48">
        <v>46162</v>
      </c>
      <c r="E420" s="50" t="s">
        <v>3168</v>
      </c>
      <c r="G420" s="49" t="s">
        <v>2944</v>
      </c>
      <c r="H420" s="51">
        <v>1270.5</v>
      </c>
      <c r="I420" s="51" t="s">
        <v>98</v>
      </c>
      <c r="J420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1270.5</v>
      </c>
      <c r="K420" s="52">
        <v>46162</v>
      </c>
      <c r="M420" s="59" t="s">
        <v>3169</v>
      </c>
      <c r="N420" s="48"/>
    </row>
    <row r="421" spans="2:18" s="49" customFormat="1" ht="15" customHeight="1">
      <c r="B421" s="48"/>
      <c r="D421" s="48">
        <v>46162</v>
      </c>
      <c r="E421" s="50" t="s">
        <v>3170</v>
      </c>
      <c r="G421" s="49" t="s">
        <v>3171</v>
      </c>
      <c r="H421" s="51">
        <v>4643.6000000000004</v>
      </c>
      <c r="I421" s="51" t="s">
        <v>43</v>
      </c>
      <c r="J42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4643.6000000000004</v>
      </c>
      <c r="K421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46162</v>
      </c>
      <c r="L421" s="49" t="s">
        <v>25</v>
      </c>
      <c r="M421" s="59" t="s">
        <v>3172</v>
      </c>
      <c r="N421" s="48">
        <v>46194</v>
      </c>
    </row>
    <row r="422" spans="2:18" s="49" customFormat="1" ht="15" customHeight="1">
      <c r="B422" s="48">
        <v>46153</v>
      </c>
      <c r="D422" s="48">
        <v>46157</v>
      </c>
      <c r="E422" s="50" t="s">
        <v>3173</v>
      </c>
      <c r="G422" s="49" t="s">
        <v>2765</v>
      </c>
      <c r="H422" s="51">
        <v>37.82</v>
      </c>
      <c r="I422" s="51" t="s">
        <v>43</v>
      </c>
      <c r="J422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37.82</v>
      </c>
      <c r="K422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46157</v>
      </c>
      <c r="L422" s="49" t="s">
        <v>25</v>
      </c>
      <c r="M422" s="59" t="s">
        <v>3174</v>
      </c>
      <c r="N422" s="48">
        <v>46153</v>
      </c>
    </row>
    <row r="423" spans="2:18" s="49" customFormat="1" ht="15" customHeight="1">
      <c r="B423" s="48">
        <v>46153</v>
      </c>
      <c r="D423" s="48">
        <v>46157</v>
      </c>
      <c r="E423" s="50" t="s">
        <v>3175</v>
      </c>
      <c r="G423" s="49" t="s">
        <v>2765</v>
      </c>
      <c r="H423" s="51">
        <v>65.2</v>
      </c>
      <c r="I423" s="51" t="s">
        <v>43</v>
      </c>
      <c r="J42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65.2</v>
      </c>
      <c r="K423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46157</v>
      </c>
      <c r="L423" s="49" t="s">
        <v>25</v>
      </c>
      <c r="M423" s="59" t="s">
        <v>3176</v>
      </c>
      <c r="N423" s="48">
        <v>46153</v>
      </c>
    </row>
    <row r="424" spans="2:18" s="49" customFormat="1" ht="15" customHeight="1">
      <c r="B424" s="48">
        <v>46153</v>
      </c>
      <c r="D424" s="48">
        <v>46157</v>
      </c>
      <c r="E424" s="50" t="s">
        <v>3177</v>
      </c>
      <c r="G424" s="49" t="s">
        <v>2765</v>
      </c>
      <c r="H424" s="51">
        <v>37.82</v>
      </c>
      <c r="I424" s="51" t="s">
        <v>43</v>
      </c>
      <c r="J42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37.82</v>
      </c>
      <c r="K424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46157</v>
      </c>
      <c r="L424" s="49" t="s">
        <v>25</v>
      </c>
      <c r="M424" s="59" t="s">
        <v>3178</v>
      </c>
      <c r="N424" s="48">
        <v>46153</v>
      </c>
    </row>
    <row r="425" spans="2:18" s="49" customFormat="1" ht="15" customHeight="1">
      <c r="B425" s="48">
        <v>46153</v>
      </c>
      <c r="D425" s="48">
        <v>46157</v>
      </c>
      <c r="E425" s="50" t="s">
        <v>3179</v>
      </c>
      <c r="G425" s="49" t="s">
        <v>2765</v>
      </c>
      <c r="H425" s="51">
        <v>37.82</v>
      </c>
      <c r="I425" s="51" t="s">
        <v>43</v>
      </c>
      <c r="J425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37.82</v>
      </c>
      <c r="K425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46157</v>
      </c>
      <c r="L425" s="49" t="s">
        <v>25</v>
      </c>
      <c r="M425" s="59" t="s">
        <v>3180</v>
      </c>
      <c r="N425" s="48">
        <v>46153</v>
      </c>
    </row>
    <row r="426" spans="2:18" s="49" customFormat="1" ht="15" customHeight="1">
      <c r="B426" s="48">
        <v>46153</v>
      </c>
      <c r="D426" s="48">
        <v>46157</v>
      </c>
      <c r="E426" s="50" t="s">
        <v>3181</v>
      </c>
      <c r="G426" s="49" t="s">
        <v>2765</v>
      </c>
      <c r="H426" s="51">
        <v>37.82</v>
      </c>
      <c r="I426" s="51" t="s">
        <v>43</v>
      </c>
      <c r="J426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37.82</v>
      </c>
      <c r="K426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46157</v>
      </c>
      <c r="L426" s="49" t="s">
        <v>25</v>
      </c>
      <c r="M426" s="59" t="s">
        <v>3182</v>
      </c>
      <c r="N426" s="48">
        <v>46153</v>
      </c>
    </row>
    <row r="427" spans="2:18" s="49" customFormat="1" ht="15" customHeight="1">
      <c r="B427" s="48">
        <v>46153</v>
      </c>
      <c r="D427" s="48">
        <v>46157</v>
      </c>
      <c r="E427" s="50" t="s">
        <v>3183</v>
      </c>
      <c r="G427" s="49" t="s">
        <v>2765</v>
      </c>
      <c r="H427" s="51">
        <v>65.2</v>
      </c>
      <c r="I427" s="51" t="s">
        <v>43</v>
      </c>
      <c r="J42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65.2</v>
      </c>
      <c r="K427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46157</v>
      </c>
      <c r="L427" s="49" t="s">
        <v>25</v>
      </c>
      <c r="M427" s="59" t="s">
        <v>3184</v>
      </c>
      <c r="N427" s="48">
        <v>46153</v>
      </c>
    </row>
    <row r="428" spans="2:18" s="49" customFormat="1" ht="15" customHeight="1">
      <c r="B428" s="48"/>
      <c r="D428" s="48">
        <v>46164</v>
      </c>
      <c r="E428" s="50" t="s">
        <v>3185</v>
      </c>
      <c r="G428" s="49" t="s">
        <v>3186</v>
      </c>
      <c r="H428" s="51">
        <v>726</v>
      </c>
      <c r="I428" s="51" t="s">
        <v>43</v>
      </c>
      <c r="J428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726</v>
      </c>
      <c r="K428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46164</v>
      </c>
      <c r="L428" s="49" t="s">
        <v>25</v>
      </c>
      <c r="M428" s="59" t="s">
        <v>3187</v>
      </c>
      <c r="N428" s="48">
        <v>46170</v>
      </c>
      <c r="O428" s="49" t="s">
        <v>94</v>
      </c>
    </row>
    <row r="429" spans="2:18" s="49" customFormat="1" ht="15" customHeight="1">
      <c r="B429" s="48"/>
      <c r="D429" s="48">
        <v>46164</v>
      </c>
      <c r="E429" s="49" t="s">
        <v>3188</v>
      </c>
      <c r="G429" s="49" t="s">
        <v>2565</v>
      </c>
      <c r="H429" s="51">
        <v>13.21</v>
      </c>
      <c r="I429" s="51" t="s">
        <v>98</v>
      </c>
      <c r="J429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13.21</v>
      </c>
      <c r="K429" s="52">
        <v>46164</v>
      </c>
      <c r="L429" s="49" t="s">
        <v>25</v>
      </c>
      <c r="M429" s="59"/>
      <c r="N429" s="48"/>
    </row>
    <row r="430" spans="2:18" s="49" customFormat="1" ht="15" customHeight="1">
      <c r="B430" s="48">
        <v>46091</v>
      </c>
      <c r="D430" s="48">
        <v>46092</v>
      </c>
      <c r="E430" s="50" t="s">
        <v>3189</v>
      </c>
      <c r="G430" s="49" t="s">
        <v>1067</v>
      </c>
      <c r="H430" s="58">
        <v>42.5</v>
      </c>
      <c r="I430" s="58" t="s">
        <v>43</v>
      </c>
      <c r="J430" s="58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42.5</v>
      </c>
      <c r="K430" s="90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46092</v>
      </c>
      <c r="L430" s="49" t="s">
        <v>25</v>
      </c>
      <c r="M430" s="49" t="s">
        <v>3190</v>
      </c>
      <c r="N430" s="48">
        <v>46091</v>
      </c>
    </row>
    <row r="431" spans="2:18" s="49" customFormat="1" ht="15" customHeight="1">
      <c r="B431" s="48"/>
      <c r="D431" s="48">
        <v>46198</v>
      </c>
      <c r="E431" s="50" t="s">
        <v>3191</v>
      </c>
      <c r="G431" s="49" t="s">
        <v>1067</v>
      </c>
      <c r="H431" s="51">
        <v>42.5</v>
      </c>
      <c r="I431" s="51" t="s">
        <v>43</v>
      </c>
      <c r="J43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42.5</v>
      </c>
      <c r="K431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46198</v>
      </c>
      <c r="L431" s="49" t="s">
        <v>25</v>
      </c>
      <c r="M431" s="59" t="s">
        <v>3192</v>
      </c>
      <c r="N431" s="48"/>
    </row>
    <row r="432" spans="2:18" s="207" customFormat="1" ht="15" customHeight="1">
      <c r="B432" s="48">
        <v>46182</v>
      </c>
      <c r="C432" s="49"/>
      <c r="D432" s="48"/>
      <c r="E432" s="50"/>
      <c r="F432" s="49"/>
      <c r="G432" s="49" t="s">
        <v>1067</v>
      </c>
      <c r="H432" s="51">
        <v>42.96</v>
      </c>
      <c r="I432" s="51" t="s">
        <v>43</v>
      </c>
      <c r="J432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42.96</v>
      </c>
      <c r="K432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432" s="49" t="s">
        <v>25</v>
      </c>
      <c r="M432" s="59" t="s">
        <v>3193</v>
      </c>
      <c r="N432" s="48">
        <v>46182</v>
      </c>
      <c r="O432" s="49"/>
      <c r="P432" s="49"/>
      <c r="Q432" s="49"/>
      <c r="R432" s="49"/>
    </row>
    <row r="433" spans="2:18" s="207" customFormat="1" ht="15" customHeight="1">
      <c r="B433" s="76">
        <v>46136</v>
      </c>
      <c r="C433" s="63"/>
      <c r="D433" s="76">
        <v>46136</v>
      </c>
      <c r="E433" s="78">
        <v>2026699777</v>
      </c>
      <c r="F433" s="63"/>
      <c r="G433" s="63" t="s">
        <v>1067</v>
      </c>
      <c r="H433" s="79">
        <v>43.07</v>
      </c>
      <c r="I433" s="79" t="s">
        <v>43</v>
      </c>
      <c r="J433" s="79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43.07</v>
      </c>
      <c r="K433" s="80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46136</v>
      </c>
      <c r="L433" s="63" t="s">
        <v>25</v>
      </c>
      <c r="M433" s="82" t="s">
        <v>3194</v>
      </c>
      <c r="N433" s="76">
        <v>46136</v>
      </c>
      <c r="O433" s="63"/>
      <c r="P433" s="63"/>
      <c r="Q433" s="63"/>
      <c r="R433" s="63"/>
    </row>
    <row r="434" spans="2:18" s="49" customFormat="1" ht="15" customHeight="1">
      <c r="B434" s="48">
        <v>46168</v>
      </c>
      <c r="C434" s="49" t="s">
        <v>3195</v>
      </c>
      <c r="D434" s="48"/>
      <c r="E434" s="50"/>
      <c r="G434" s="49" t="s">
        <v>2650</v>
      </c>
      <c r="H434" s="51">
        <v>254.88</v>
      </c>
      <c r="I434" s="51" t="s">
        <v>43</v>
      </c>
      <c r="J43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254.88</v>
      </c>
      <c r="K434" s="52">
        <v>46168</v>
      </c>
      <c r="L434" s="49" t="s">
        <v>25</v>
      </c>
      <c r="M434" s="59" t="s">
        <v>3196</v>
      </c>
      <c r="N434" s="48"/>
    </row>
    <row r="435" spans="2:18" s="49" customFormat="1" ht="15" customHeight="1">
      <c r="B435" s="48"/>
      <c r="D435" s="48">
        <v>46054</v>
      </c>
      <c r="E435" s="50">
        <v>538164581</v>
      </c>
      <c r="G435" s="49" t="s">
        <v>2609</v>
      </c>
      <c r="H435" s="51">
        <v>6.07</v>
      </c>
      <c r="I435" s="51" t="s">
        <v>43</v>
      </c>
      <c r="J435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6.07</v>
      </c>
      <c r="K435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46054</v>
      </c>
      <c r="L435" s="49" t="s">
        <v>25</v>
      </c>
      <c r="M435" s="59" t="s">
        <v>3197</v>
      </c>
      <c r="N435" s="48"/>
    </row>
    <row r="436" spans="2:18" s="49" customFormat="1" ht="15" customHeight="1">
      <c r="B436" s="48"/>
      <c r="D436" s="48">
        <v>46168</v>
      </c>
      <c r="E436" s="50" t="s">
        <v>3198</v>
      </c>
      <c r="G436" s="49" t="s">
        <v>2810</v>
      </c>
      <c r="H436" s="51">
        <v>326.69</v>
      </c>
      <c r="I436" s="51" t="s">
        <v>98</v>
      </c>
      <c r="J436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326.69</v>
      </c>
      <c r="K436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436" s="59" t="s">
        <v>3199</v>
      </c>
      <c r="N436" s="48"/>
      <c r="O436" s="49" t="s">
        <v>27</v>
      </c>
    </row>
    <row r="437" spans="2:18" s="151" customFormat="1" ht="15" customHeight="1">
      <c r="B437" s="48">
        <v>46153</v>
      </c>
      <c r="C437" s="49"/>
      <c r="D437" s="48">
        <v>46154</v>
      </c>
      <c r="E437" s="50" t="s">
        <v>3200</v>
      </c>
      <c r="F437" s="49"/>
      <c r="G437" s="49" t="s">
        <v>1067</v>
      </c>
      <c r="H437" s="51">
        <v>45.3</v>
      </c>
      <c r="I437" s="51" t="s">
        <v>43</v>
      </c>
      <c r="J43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45.3</v>
      </c>
      <c r="K437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46154</v>
      </c>
      <c r="L437" s="49" t="s">
        <v>25</v>
      </c>
      <c r="M437" s="59" t="s">
        <v>3201</v>
      </c>
      <c r="N437" s="48">
        <v>46153</v>
      </c>
      <c r="O437" s="49"/>
      <c r="P437" s="49"/>
      <c r="Q437" s="49"/>
      <c r="R437" s="49"/>
    </row>
    <row r="438" spans="2:18" s="151" customFormat="1" ht="15" customHeight="1">
      <c r="B438" s="48">
        <v>46108</v>
      </c>
      <c r="C438" s="49"/>
      <c r="D438" s="48">
        <v>46110</v>
      </c>
      <c r="E438" s="50" t="s">
        <v>3202</v>
      </c>
      <c r="F438" s="49"/>
      <c r="G438" s="49" t="s">
        <v>1067</v>
      </c>
      <c r="H438" s="51">
        <v>45.32</v>
      </c>
      <c r="I438" s="51" t="s">
        <v>43</v>
      </c>
      <c r="J43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45.32</v>
      </c>
      <c r="K438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46110</v>
      </c>
      <c r="L438" s="49" t="s">
        <v>25</v>
      </c>
      <c r="M438" s="49" t="s">
        <v>3203</v>
      </c>
      <c r="N438" s="48">
        <v>46108</v>
      </c>
      <c r="O438" s="49"/>
      <c r="P438" s="49"/>
      <c r="Q438" s="49"/>
      <c r="R438" s="49"/>
    </row>
    <row r="439" spans="2:18" s="151" customFormat="1" ht="15" customHeight="1">
      <c r="B439" s="48">
        <v>46209</v>
      </c>
      <c r="C439" s="49"/>
      <c r="D439" s="48"/>
      <c r="E439" s="50"/>
      <c r="F439" s="49"/>
      <c r="G439" s="49" t="s">
        <v>1067</v>
      </c>
      <c r="H439" s="51">
        <v>45.56</v>
      </c>
      <c r="I439" s="51" t="s">
        <v>43</v>
      </c>
      <c r="J439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45.56</v>
      </c>
      <c r="K439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439" s="49" t="s">
        <v>25</v>
      </c>
      <c r="M439" s="59" t="s">
        <v>3204</v>
      </c>
      <c r="N439" s="48">
        <v>46209</v>
      </c>
      <c r="O439" s="49"/>
      <c r="P439" s="49"/>
      <c r="Q439" s="49"/>
      <c r="R439" s="49"/>
    </row>
    <row r="440" spans="2:18" s="49" customFormat="1" ht="15" customHeight="1">
      <c r="B440" s="48"/>
      <c r="D440" s="48">
        <v>46170</v>
      </c>
      <c r="E440" s="50">
        <v>32</v>
      </c>
      <c r="G440" s="49" t="s">
        <v>3205</v>
      </c>
      <c r="H440" s="51">
        <v>9.3699999999999992</v>
      </c>
      <c r="I440" s="2" t="s">
        <v>43</v>
      </c>
      <c r="J440" s="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9.3699999999999992</v>
      </c>
      <c r="K440" s="3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46170</v>
      </c>
      <c r="L440" s="49" t="s">
        <v>25</v>
      </c>
      <c r="M440" s="59" t="s">
        <v>3206</v>
      </c>
      <c r="N440" s="48">
        <v>46170</v>
      </c>
    </row>
    <row r="441" spans="2:18" s="49" customFormat="1" ht="15" customHeight="1">
      <c r="B441" s="48">
        <v>46167</v>
      </c>
      <c r="C441" s="49" t="s">
        <v>3207</v>
      </c>
      <c r="D441" s="48">
        <v>46170</v>
      </c>
      <c r="E441" s="50" t="s">
        <v>3208</v>
      </c>
      <c r="G441" s="49" t="s">
        <v>2782</v>
      </c>
      <c r="H441" s="51">
        <v>349.8</v>
      </c>
      <c r="I441" s="51" t="s">
        <v>43</v>
      </c>
      <c r="J44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349.8</v>
      </c>
      <c r="K441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46170</v>
      </c>
      <c r="L441" s="49" t="s">
        <v>25</v>
      </c>
      <c r="M441" s="59" t="s">
        <v>3209</v>
      </c>
      <c r="N441" s="48" t="s">
        <v>453</v>
      </c>
      <c r="O441" s="49" t="s">
        <v>94</v>
      </c>
    </row>
    <row r="442" spans="2:18" s="49" customFormat="1" ht="15" customHeight="1">
      <c r="B442" s="48"/>
      <c r="D442" s="48">
        <v>46168</v>
      </c>
      <c r="E442" s="50">
        <v>58</v>
      </c>
      <c r="G442" s="49" t="s">
        <v>2776</v>
      </c>
      <c r="H442" s="51">
        <v>79.42</v>
      </c>
      <c r="I442" s="51" t="s">
        <v>43</v>
      </c>
      <c r="J442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79.42</v>
      </c>
      <c r="K442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46168</v>
      </c>
      <c r="L442" s="49" t="s">
        <v>25</v>
      </c>
      <c r="M442" s="59" t="s">
        <v>3210</v>
      </c>
      <c r="N442" s="48">
        <v>46170</v>
      </c>
      <c r="O442" s="49" t="s">
        <v>27</v>
      </c>
    </row>
    <row r="443" spans="2:18" s="49" customFormat="1" ht="15" customHeight="1">
      <c r="B443" s="48"/>
      <c r="D443" s="48">
        <v>46168</v>
      </c>
      <c r="E443" s="50" t="s">
        <v>3211</v>
      </c>
      <c r="G443" s="49" t="s">
        <v>2477</v>
      </c>
      <c r="H443" s="51">
        <v>10</v>
      </c>
      <c r="I443" s="51" t="s">
        <v>43</v>
      </c>
      <c r="J443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10</v>
      </c>
      <c r="K443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46168</v>
      </c>
      <c r="L443" s="49" t="s">
        <v>25</v>
      </c>
      <c r="M443" s="59" t="s">
        <v>3073</v>
      </c>
      <c r="N443" s="48">
        <v>46170</v>
      </c>
      <c r="O443" s="49" t="s">
        <v>27</v>
      </c>
    </row>
    <row r="444" spans="2:18" s="49" customFormat="1" ht="15" customHeight="1">
      <c r="B444" s="48">
        <v>46169</v>
      </c>
      <c r="C444" s="49" t="s">
        <v>2805</v>
      </c>
      <c r="D444" s="48">
        <v>46204</v>
      </c>
      <c r="E444" s="170" t="s">
        <v>2806</v>
      </c>
      <c r="G444" s="49" t="s">
        <v>2807</v>
      </c>
      <c r="H444" s="51">
        <v>1507.66</v>
      </c>
      <c r="I444" s="51" t="s">
        <v>43</v>
      </c>
      <c r="J444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1507.66</v>
      </c>
      <c r="K444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46204</v>
      </c>
      <c r="L444" s="49" t="s">
        <v>25</v>
      </c>
      <c r="M444" s="59" t="s">
        <v>3212</v>
      </c>
      <c r="N444" s="48">
        <v>46191</v>
      </c>
      <c r="O444" s="49" t="s">
        <v>45</v>
      </c>
    </row>
    <row r="445" spans="2:18" s="49" customFormat="1" ht="15" customHeight="1">
      <c r="B445" s="48"/>
      <c r="D445" s="48">
        <v>46169</v>
      </c>
      <c r="E445" s="50" t="s">
        <v>3213</v>
      </c>
      <c r="G445" s="49" t="s">
        <v>3214</v>
      </c>
      <c r="H445" s="51">
        <v>72.599999999999994</v>
      </c>
      <c r="I445" s="51" t="s">
        <v>43</v>
      </c>
      <c r="J445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72.599999999999994</v>
      </c>
      <c r="K445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46169</v>
      </c>
      <c r="L445" s="49" t="s">
        <v>25</v>
      </c>
      <c r="M445" s="59" t="s">
        <v>3215</v>
      </c>
      <c r="N445" s="48">
        <v>46170</v>
      </c>
      <c r="O445" s="49" t="s">
        <v>27</v>
      </c>
    </row>
    <row r="446" spans="2:18" s="184" customFormat="1" ht="15" customHeight="1">
      <c r="B446" s="48">
        <v>46133</v>
      </c>
      <c r="C446" s="49"/>
      <c r="D446" s="48">
        <v>46135</v>
      </c>
      <c r="E446" s="50" t="s">
        <v>3216</v>
      </c>
      <c r="F446" s="49"/>
      <c r="G446" s="49" t="s">
        <v>1067</v>
      </c>
      <c r="H446" s="51">
        <v>45.98</v>
      </c>
      <c r="I446" s="51" t="s">
        <v>43</v>
      </c>
      <c r="J446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45.98</v>
      </c>
      <c r="K446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46135</v>
      </c>
      <c r="L446" s="49" t="s">
        <v>25</v>
      </c>
      <c r="M446" s="59" t="s">
        <v>3217</v>
      </c>
      <c r="N446" s="48">
        <v>46133</v>
      </c>
      <c r="O446" s="49"/>
      <c r="P446" s="49"/>
      <c r="Q446" s="49"/>
      <c r="R446" s="49"/>
    </row>
    <row r="447" spans="2:18" s="49" customFormat="1" ht="15" customHeight="1">
      <c r="B447" s="48"/>
      <c r="D447" s="48">
        <v>46112</v>
      </c>
      <c r="E447" s="50" t="s">
        <v>3218</v>
      </c>
      <c r="G447" s="49" t="s">
        <v>2538</v>
      </c>
      <c r="H447" s="51">
        <v>281.58999999999997</v>
      </c>
      <c r="I447" s="51" t="s">
        <v>98</v>
      </c>
      <c r="J44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281.58999999999997</v>
      </c>
      <c r="K447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447" s="49" t="s">
        <v>25</v>
      </c>
      <c r="M447" s="59" t="s">
        <v>3219</v>
      </c>
      <c r="N447" s="48"/>
    </row>
    <row r="448" spans="2:18" s="49" customFormat="1" ht="15" customHeight="1">
      <c r="B448" s="48"/>
      <c r="D448" s="48">
        <v>46161</v>
      </c>
      <c r="E448" s="50" t="s">
        <v>3220</v>
      </c>
      <c r="G448" s="49" t="s">
        <v>2545</v>
      </c>
      <c r="H448" s="51">
        <v>2924.84</v>
      </c>
      <c r="I448" s="51" t="s">
        <v>55</v>
      </c>
      <c r="J448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2924.84</v>
      </c>
      <c r="K448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448" s="49" t="s">
        <v>25</v>
      </c>
      <c r="M448" s="59" t="s">
        <v>3221</v>
      </c>
      <c r="N448" s="48">
        <v>46170</v>
      </c>
      <c r="O448" s="49" t="s">
        <v>27</v>
      </c>
    </row>
    <row r="449" spans="2:18" s="184" customFormat="1" ht="15" customHeight="1">
      <c r="B449" s="48">
        <v>46091</v>
      </c>
      <c r="C449" s="49"/>
      <c r="D449" s="48">
        <v>46092</v>
      </c>
      <c r="E449" s="50" t="s">
        <v>3222</v>
      </c>
      <c r="F449" s="49"/>
      <c r="G449" s="49" t="s">
        <v>1067</v>
      </c>
      <c r="H449" s="51">
        <v>47.38</v>
      </c>
      <c r="I449" s="51" t="s">
        <v>43</v>
      </c>
      <c r="J449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47.38</v>
      </c>
      <c r="K449" s="52"/>
      <c r="L449" s="49" t="s">
        <v>25</v>
      </c>
      <c r="M449" s="49" t="s">
        <v>3223</v>
      </c>
      <c r="N449" s="48">
        <v>46091</v>
      </c>
      <c r="O449" s="49"/>
      <c r="P449" s="49"/>
      <c r="Q449" s="49"/>
      <c r="R449" s="49"/>
    </row>
    <row r="450" spans="2:18" s="49" customFormat="1" ht="15" customHeight="1">
      <c r="B450" s="48">
        <v>46013</v>
      </c>
      <c r="D450" s="48">
        <v>46013</v>
      </c>
      <c r="E450" s="50" t="s">
        <v>3224</v>
      </c>
      <c r="G450" s="59" t="s">
        <v>3225</v>
      </c>
      <c r="H450" s="51">
        <v>36.06</v>
      </c>
      <c r="I450" s="51" t="s">
        <v>98</v>
      </c>
      <c r="J450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36.06</v>
      </c>
      <c r="K450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450" s="49" t="s">
        <v>25</v>
      </c>
      <c r="M450" s="59" t="s">
        <v>3226</v>
      </c>
      <c r="N450" s="48"/>
    </row>
    <row r="451" spans="2:18" s="49" customFormat="1" ht="15" customHeight="1">
      <c r="B451" s="48">
        <v>46073</v>
      </c>
      <c r="D451" s="48">
        <v>46073</v>
      </c>
      <c r="E451" s="50" t="s">
        <v>3227</v>
      </c>
      <c r="G451" s="59" t="s">
        <v>3225</v>
      </c>
      <c r="H451" s="51">
        <v>37.619999999999997</v>
      </c>
      <c r="I451" s="51" t="s">
        <v>98</v>
      </c>
      <c r="J45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37.619999999999997</v>
      </c>
      <c r="K451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451" s="49" t="s">
        <v>25</v>
      </c>
      <c r="M451" s="59" t="s">
        <v>3228</v>
      </c>
      <c r="N451" s="48"/>
    </row>
    <row r="452" spans="2:18" s="49" customFormat="1" ht="15" customHeight="1">
      <c r="B452" s="48">
        <v>46134</v>
      </c>
      <c r="D452" s="48">
        <v>46134</v>
      </c>
      <c r="E452" s="50" t="s">
        <v>3229</v>
      </c>
      <c r="G452" s="59" t="s">
        <v>3225</v>
      </c>
      <c r="H452" s="51">
        <v>37.619999999999997</v>
      </c>
      <c r="I452" s="51" t="s">
        <v>98</v>
      </c>
      <c r="J452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37.619999999999997</v>
      </c>
      <c r="K452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452" s="59" t="s">
        <v>3230</v>
      </c>
      <c r="N452" s="48"/>
    </row>
    <row r="453" spans="2:18" s="49" customFormat="1" ht="15" customHeight="1">
      <c r="B453" s="48"/>
      <c r="D453" s="48">
        <v>46170</v>
      </c>
      <c r="E453" s="50" t="s">
        <v>3231</v>
      </c>
      <c r="G453" s="49" t="s">
        <v>2506</v>
      </c>
      <c r="H453" s="51">
        <v>29.57</v>
      </c>
      <c r="I453" s="51" t="s">
        <v>98</v>
      </c>
      <c r="J45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29.57</v>
      </c>
      <c r="K453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453" s="59" t="s">
        <v>3232</v>
      </c>
      <c r="N453" s="48"/>
    </row>
    <row r="454" spans="2:18" s="49" customFormat="1" ht="15" customHeight="1">
      <c r="B454" s="48"/>
      <c r="D454" s="48">
        <v>46170</v>
      </c>
      <c r="E454" s="50" t="s">
        <v>3233</v>
      </c>
      <c r="G454" s="49" t="s">
        <v>2506</v>
      </c>
      <c r="H454" s="51">
        <v>14.45</v>
      </c>
      <c r="I454" s="51" t="s">
        <v>98</v>
      </c>
      <c r="J45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14.45</v>
      </c>
      <c r="K454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454" s="59" t="s">
        <v>3234</v>
      </c>
      <c r="N454" s="48"/>
    </row>
    <row r="455" spans="2:18" s="49" customFormat="1" ht="15" customHeight="1">
      <c r="B455" s="48">
        <v>46167</v>
      </c>
      <c r="C455" s="49" t="s">
        <v>3235</v>
      </c>
      <c r="D455" s="48">
        <v>46170</v>
      </c>
      <c r="E455" s="50" t="s">
        <v>3236</v>
      </c>
      <c r="G455" s="49" t="s">
        <v>2782</v>
      </c>
      <c r="H455" s="51">
        <v>212</v>
      </c>
      <c r="I455" s="51" t="s">
        <v>43</v>
      </c>
      <c r="J455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212</v>
      </c>
      <c r="K455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46170</v>
      </c>
      <c r="L455" s="49" t="s">
        <v>25</v>
      </c>
      <c r="M455" s="59" t="s">
        <v>3237</v>
      </c>
      <c r="N455" s="48"/>
      <c r="O455" s="49" t="s">
        <v>94</v>
      </c>
    </row>
    <row r="456" spans="2:18" s="49" customFormat="1" ht="15" customHeight="1">
      <c r="B456" s="150">
        <v>46087</v>
      </c>
      <c r="C456" s="151"/>
      <c r="D456" s="150"/>
      <c r="E456" s="152"/>
      <c r="F456" s="151"/>
      <c r="G456" s="151" t="s">
        <v>1067</v>
      </c>
      <c r="H456" s="153">
        <v>49.83</v>
      </c>
      <c r="I456" s="153" t="s">
        <v>43</v>
      </c>
      <c r="J456" s="153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49.83</v>
      </c>
      <c r="K456" s="154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456" s="151" t="s">
        <v>25</v>
      </c>
      <c r="M456" s="151" t="s">
        <v>3238</v>
      </c>
      <c r="N456" s="150">
        <v>46087</v>
      </c>
      <c r="O456" s="151"/>
      <c r="P456" s="151"/>
      <c r="Q456" s="151"/>
      <c r="R456" s="151"/>
    </row>
    <row r="457" spans="2:18" s="49" customFormat="1" ht="15" customHeight="1">
      <c r="B457" s="48">
        <v>46094</v>
      </c>
      <c r="D457" s="48">
        <v>46096</v>
      </c>
      <c r="E457" s="50" t="s">
        <v>3239</v>
      </c>
      <c r="G457" s="49" t="s">
        <v>1067</v>
      </c>
      <c r="H457" s="51">
        <v>49.98</v>
      </c>
      <c r="I457" s="51" t="s">
        <v>43</v>
      </c>
      <c r="J45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49.98</v>
      </c>
      <c r="K457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46096</v>
      </c>
      <c r="L457" s="49" t="s">
        <v>25</v>
      </c>
      <c r="M457" s="49" t="s">
        <v>3240</v>
      </c>
      <c r="N457" s="48">
        <v>46094</v>
      </c>
    </row>
    <row r="458" spans="2:18" s="49" customFormat="1" ht="15" customHeight="1">
      <c r="B458" s="48">
        <v>46147</v>
      </c>
      <c r="D458" s="48">
        <v>46147</v>
      </c>
      <c r="E458" s="50" t="s">
        <v>3241</v>
      </c>
      <c r="G458" s="49" t="s">
        <v>1067</v>
      </c>
      <c r="H458" s="51">
        <v>52</v>
      </c>
      <c r="I458" s="51" t="s">
        <v>43</v>
      </c>
      <c r="J45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52</v>
      </c>
      <c r="K458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46147</v>
      </c>
      <c r="L458" s="49" t="s">
        <v>25</v>
      </c>
      <c r="M458" s="59" t="s">
        <v>3242</v>
      </c>
      <c r="N458" s="48">
        <v>46140</v>
      </c>
    </row>
    <row r="459" spans="2:18" s="49" customFormat="1" ht="15" customHeight="1">
      <c r="B459" s="48">
        <v>46140</v>
      </c>
      <c r="D459" s="48">
        <v>46140</v>
      </c>
      <c r="E459" s="50" t="s">
        <v>3243</v>
      </c>
      <c r="G459" s="49" t="s">
        <v>1067</v>
      </c>
      <c r="H459" s="51">
        <v>52.15</v>
      </c>
      <c r="I459" s="51" t="s">
        <v>43</v>
      </c>
      <c r="J459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52.15</v>
      </c>
      <c r="K459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46140</v>
      </c>
      <c r="L459" s="49" t="s">
        <v>25</v>
      </c>
      <c r="M459" s="59" t="s">
        <v>3244</v>
      </c>
      <c r="N459" s="48">
        <v>46140</v>
      </c>
    </row>
    <row r="460" spans="2:18" s="49" customFormat="1" ht="15" customHeight="1">
      <c r="B460" s="48">
        <v>46181</v>
      </c>
      <c r="D460" s="48">
        <v>46182</v>
      </c>
      <c r="E460" s="50" t="s">
        <v>3245</v>
      </c>
      <c r="G460" s="49" t="s">
        <v>1067</v>
      </c>
      <c r="H460" s="51">
        <v>56.74</v>
      </c>
      <c r="I460" s="51" t="s">
        <v>43</v>
      </c>
      <c r="J460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56.74</v>
      </c>
      <c r="K460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46182</v>
      </c>
      <c r="L460" s="49" t="s">
        <v>25</v>
      </c>
      <c r="M460" s="59" t="s">
        <v>3246</v>
      </c>
      <c r="N460" s="48">
        <v>46181</v>
      </c>
    </row>
    <row r="461" spans="2:18" s="49" customFormat="1" ht="15" customHeight="1">
      <c r="B461" s="48">
        <v>46181</v>
      </c>
      <c r="D461" s="48">
        <v>46181</v>
      </c>
      <c r="E461" s="50" t="s">
        <v>3247</v>
      </c>
      <c r="G461" s="49" t="s">
        <v>1067</v>
      </c>
      <c r="H461" s="51">
        <v>56.74</v>
      </c>
      <c r="I461" s="51" t="s">
        <v>43</v>
      </c>
      <c r="J46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56.74</v>
      </c>
      <c r="K461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46181</v>
      </c>
      <c r="L461" s="49" t="s">
        <v>25</v>
      </c>
      <c r="M461" s="59" t="s">
        <v>3248</v>
      </c>
      <c r="N461" s="48">
        <v>46181</v>
      </c>
    </row>
    <row r="462" spans="2:18" s="49" customFormat="1" ht="15" customHeight="1">
      <c r="B462" s="48"/>
      <c r="D462" s="48">
        <v>46174</v>
      </c>
      <c r="E462" s="50" t="s">
        <v>3249</v>
      </c>
      <c r="G462" s="49" t="s">
        <v>2461</v>
      </c>
      <c r="H462" s="51">
        <v>58.9</v>
      </c>
      <c r="I462" s="51" t="s">
        <v>98</v>
      </c>
      <c r="J462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58.9</v>
      </c>
      <c r="K462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462" s="59" t="s">
        <v>2627</v>
      </c>
      <c r="N462" s="48"/>
    </row>
    <row r="463" spans="2:18" s="49" customFormat="1" ht="15" customHeight="1">
      <c r="B463" s="48"/>
      <c r="D463" s="48">
        <v>46171</v>
      </c>
      <c r="E463" s="50" t="s">
        <v>3250</v>
      </c>
      <c r="G463" s="49" t="s">
        <v>2477</v>
      </c>
      <c r="H463" s="51">
        <v>102.7</v>
      </c>
      <c r="I463" s="51" t="s">
        <v>43</v>
      </c>
      <c r="J463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102.7</v>
      </c>
      <c r="K463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46171</v>
      </c>
      <c r="L463" s="49" t="s">
        <v>25</v>
      </c>
      <c r="M463" s="59" t="s">
        <v>3251</v>
      </c>
      <c r="N463" s="48">
        <v>46178</v>
      </c>
      <c r="O463" s="49" t="s">
        <v>27</v>
      </c>
    </row>
    <row r="464" spans="2:18" s="49" customFormat="1" ht="15" customHeight="1">
      <c r="B464" s="48"/>
      <c r="D464" s="48">
        <v>46170</v>
      </c>
      <c r="E464" s="50" t="s">
        <v>3252</v>
      </c>
      <c r="G464" s="49" t="s">
        <v>2484</v>
      </c>
      <c r="H464" s="51">
        <v>120.22</v>
      </c>
      <c r="I464" s="51" t="s">
        <v>43</v>
      </c>
      <c r="J46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120.22</v>
      </c>
      <c r="K464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46170</v>
      </c>
      <c r="L464" s="49" t="s">
        <v>25</v>
      </c>
      <c r="M464" s="59" t="s">
        <v>3253</v>
      </c>
      <c r="N464" s="48">
        <v>46170</v>
      </c>
    </row>
    <row r="465" spans="2:18" s="49" customFormat="1" ht="15" customHeight="1">
      <c r="B465" s="48"/>
      <c r="D465" s="48">
        <v>46174</v>
      </c>
      <c r="E465" s="50" t="s">
        <v>3254</v>
      </c>
      <c r="G465" s="49" t="s">
        <v>2484</v>
      </c>
      <c r="H465" s="51">
        <v>37.549999999999997</v>
      </c>
      <c r="I465" s="51" t="s">
        <v>43</v>
      </c>
      <c r="J465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37.549999999999997</v>
      </c>
      <c r="K465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46174</v>
      </c>
      <c r="L465" s="49" t="s">
        <v>25</v>
      </c>
      <c r="M465" s="59" t="s">
        <v>3255</v>
      </c>
      <c r="N465" s="48">
        <v>46174</v>
      </c>
    </row>
    <row r="466" spans="2:18" s="190" customFormat="1" ht="15" customHeight="1">
      <c r="B466" s="76"/>
      <c r="C466" s="63"/>
      <c r="D466" s="76">
        <v>46174</v>
      </c>
      <c r="E466" s="78">
        <v>546211251</v>
      </c>
      <c r="F466" s="63"/>
      <c r="G466" s="63" t="s">
        <v>2609</v>
      </c>
      <c r="H466" s="79">
        <v>37.78</v>
      </c>
      <c r="I466" s="79" t="s">
        <v>43</v>
      </c>
      <c r="J466" s="79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37.78</v>
      </c>
      <c r="K466" s="80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46174</v>
      </c>
      <c r="L466" s="63" t="s">
        <v>25</v>
      </c>
      <c r="M466" s="82" t="s">
        <v>3256</v>
      </c>
      <c r="N466" s="76"/>
      <c r="O466" s="63"/>
      <c r="P466" s="63"/>
      <c r="Q466" s="63"/>
      <c r="R466" s="63"/>
    </row>
    <row r="467" spans="2:18" s="63" customFormat="1" ht="15" customHeight="1">
      <c r="B467" s="48"/>
      <c r="C467" s="49"/>
      <c r="D467" s="48">
        <v>46174</v>
      </c>
      <c r="E467" s="50" t="s">
        <v>3257</v>
      </c>
      <c r="F467" s="49"/>
      <c r="G467" s="49" t="s">
        <v>2495</v>
      </c>
      <c r="H467" s="51">
        <v>30.73</v>
      </c>
      <c r="I467" s="51" t="s">
        <v>55</v>
      </c>
      <c r="J467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30.73</v>
      </c>
      <c r="K467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467" s="49" t="s">
        <v>25</v>
      </c>
      <c r="M467" s="59" t="s">
        <v>3258</v>
      </c>
      <c r="N467" s="48">
        <v>46178</v>
      </c>
      <c r="O467" s="49" t="s">
        <v>45</v>
      </c>
      <c r="P467" s="49"/>
      <c r="Q467" s="49"/>
      <c r="R467" s="49"/>
    </row>
    <row r="468" spans="2:18" s="49" customFormat="1" ht="15" customHeight="1">
      <c r="B468" s="48"/>
      <c r="D468" s="48">
        <v>46173</v>
      </c>
      <c r="E468" s="50" t="s">
        <v>3259</v>
      </c>
      <c r="G468" s="49" t="s">
        <v>2532</v>
      </c>
      <c r="H468" s="51">
        <v>503.8</v>
      </c>
      <c r="I468" s="51" t="s">
        <v>98</v>
      </c>
      <c r="J46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503.8</v>
      </c>
      <c r="K468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468" s="59" t="s">
        <v>2642</v>
      </c>
      <c r="N468" s="48"/>
    </row>
    <row r="469" spans="2:18" s="49" customFormat="1" ht="15" customHeight="1">
      <c r="B469" s="48"/>
      <c r="D469" s="48">
        <v>46127</v>
      </c>
      <c r="E469" s="50">
        <v>6</v>
      </c>
      <c r="G469" s="49" t="s">
        <v>3260</v>
      </c>
      <c r="H469" s="51">
        <v>245</v>
      </c>
      <c r="I469" s="51" t="s">
        <v>43</v>
      </c>
      <c r="J469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245</v>
      </c>
      <c r="K469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46127</v>
      </c>
      <c r="L469" s="49" t="s">
        <v>25</v>
      </c>
      <c r="M469" s="59" t="s">
        <v>3261</v>
      </c>
      <c r="N469" s="48">
        <v>46128</v>
      </c>
    </row>
    <row r="470" spans="2:18" s="49" customFormat="1" ht="15" customHeight="1">
      <c r="B470" s="48"/>
      <c r="D470" s="48">
        <v>46174</v>
      </c>
      <c r="E470" s="50" t="s">
        <v>3262</v>
      </c>
      <c r="G470" s="49" t="s">
        <v>2461</v>
      </c>
      <c r="H470" s="51">
        <v>58.72</v>
      </c>
      <c r="I470" s="51" t="s">
        <v>98</v>
      </c>
      <c r="J470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58.72</v>
      </c>
      <c r="K470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470" s="59" t="s">
        <v>2635</v>
      </c>
      <c r="N470" s="48"/>
    </row>
    <row r="471" spans="2:18" s="49" customFormat="1" ht="15" customHeight="1">
      <c r="B471" s="48"/>
      <c r="D471" s="48">
        <v>46174</v>
      </c>
      <c r="E471" s="50" t="s">
        <v>3263</v>
      </c>
      <c r="G471" s="49" t="s">
        <v>2461</v>
      </c>
      <c r="H471" s="51">
        <v>60.97</v>
      </c>
      <c r="I471" s="51" t="s">
        <v>98</v>
      </c>
      <c r="J47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60.97</v>
      </c>
      <c r="K471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471" s="59" t="s">
        <v>2633</v>
      </c>
      <c r="N471" s="48"/>
    </row>
    <row r="472" spans="2:18" s="49" customFormat="1" ht="15" customHeight="1">
      <c r="B472" s="48"/>
      <c r="D472" s="48">
        <v>46174</v>
      </c>
      <c r="E472" s="50" t="s">
        <v>3264</v>
      </c>
      <c r="G472" s="49" t="s">
        <v>2984</v>
      </c>
      <c r="H472" s="51">
        <v>532.4</v>
      </c>
      <c r="I472" s="51" t="s">
        <v>55</v>
      </c>
      <c r="J472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532.4</v>
      </c>
      <c r="K472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472" s="49" t="s">
        <v>25</v>
      </c>
      <c r="M472" s="59" t="s">
        <v>3265</v>
      </c>
      <c r="N472" s="48">
        <v>46178</v>
      </c>
      <c r="O472" s="49" t="s">
        <v>27</v>
      </c>
    </row>
    <row r="473" spans="2:18" s="49" customFormat="1" ht="15" customHeight="1">
      <c r="B473" s="48"/>
      <c r="D473" s="48">
        <v>46173</v>
      </c>
      <c r="E473" s="50" t="s">
        <v>3266</v>
      </c>
      <c r="G473" s="49" t="s">
        <v>2810</v>
      </c>
      <c r="H473" s="51">
        <v>106.86</v>
      </c>
      <c r="I473" s="51" t="s">
        <v>98</v>
      </c>
      <c r="J47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106.86</v>
      </c>
      <c r="K473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473" s="59" t="s">
        <v>3267</v>
      </c>
      <c r="N473" s="48"/>
      <c r="O473" s="49" t="s">
        <v>27</v>
      </c>
    </row>
    <row r="474" spans="2:18" s="49" customFormat="1" ht="15" customHeight="1">
      <c r="B474" s="48"/>
      <c r="D474" s="48">
        <v>46173</v>
      </c>
      <c r="E474" s="50">
        <v>2602080</v>
      </c>
      <c r="G474" s="49" t="s">
        <v>2636</v>
      </c>
      <c r="H474" s="58">
        <v>677.6</v>
      </c>
      <c r="I474" s="51" t="s">
        <v>55</v>
      </c>
      <c r="J474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677.6</v>
      </c>
      <c r="K474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474" s="49" t="s">
        <v>25</v>
      </c>
      <c r="M474" s="59" t="s">
        <v>3268</v>
      </c>
      <c r="N474" s="48">
        <v>46178</v>
      </c>
      <c r="O474" s="49" t="s">
        <v>27</v>
      </c>
    </row>
    <row r="475" spans="2:18" s="49" customFormat="1" ht="15" customHeight="1">
      <c r="B475" s="48"/>
      <c r="D475" s="48">
        <v>46173</v>
      </c>
      <c r="E475" s="50">
        <v>2602161</v>
      </c>
      <c r="G475" s="49" t="s">
        <v>2636</v>
      </c>
      <c r="H475" s="58">
        <v>48.4</v>
      </c>
      <c r="I475" s="51" t="s">
        <v>55</v>
      </c>
      <c r="J475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48.4</v>
      </c>
      <c r="K475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475" s="49" t="s">
        <v>25</v>
      </c>
      <c r="M475" s="59" t="s">
        <v>3269</v>
      </c>
      <c r="N475" s="48">
        <v>46178</v>
      </c>
      <c r="O475" s="49" t="s">
        <v>27</v>
      </c>
    </row>
    <row r="476" spans="2:18" s="49" customFormat="1" ht="15" customHeight="1">
      <c r="B476" s="48"/>
      <c r="D476" s="48">
        <v>46175</v>
      </c>
      <c r="E476" s="50">
        <v>2600103</v>
      </c>
      <c r="G476" s="49" t="s">
        <v>2585</v>
      </c>
      <c r="H476" s="51">
        <v>38.71</v>
      </c>
      <c r="I476" s="51" t="s">
        <v>43</v>
      </c>
      <c r="J476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38.71</v>
      </c>
      <c r="K476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46175</v>
      </c>
      <c r="L476" s="49" t="s">
        <v>25</v>
      </c>
      <c r="M476" s="59" t="s">
        <v>3270</v>
      </c>
      <c r="N476" s="48"/>
    </row>
    <row r="477" spans="2:18" s="49" customFormat="1" ht="15" customHeight="1">
      <c r="B477" s="48"/>
      <c r="D477" s="48">
        <v>46174</v>
      </c>
      <c r="E477" s="50" t="s">
        <v>3271</v>
      </c>
      <c r="G477" s="49" t="s">
        <v>2481</v>
      </c>
      <c r="H477" s="51">
        <v>1635.32</v>
      </c>
      <c r="I477" s="51" t="s">
        <v>98</v>
      </c>
      <c r="J47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1635.32</v>
      </c>
      <c r="K477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477" s="59" t="s">
        <v>3272</v>
      </c>
      <c r="N477" s="48"/>
    </row>
    <row r="478" spans="2:18" s="49" customFormat="1" ht="15" customHeight="1">
      <c r="B478" s="48"/>
      <c r="D478" s="48">
        <v>46175</v>
      </c>
      <c r="E478" s="50" t="s">
        <v>3273</v>
      </c>
      <c r="G478" s="49" t="s">
        <v>2551</v>
      </c>
      <c r="H478" s="51">
        <v>6.35</v>
      </c>
      <c r="I478" s="51" t="s">
        <v>55</v>
      </c>
      <c r="J47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6.35</v>
      </c>
      <c r="K478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478" s="49" t="s">
        <v>25</v>
      </c>
      <c r="M478" s="59" t="s">
        <v>3274</v>
      </c>
      <c r="N478" s="48">
        <v>46175</v>
      </c>
    </row>
    <row r="479" spans="2:18" s="49" customFormat="1" ht="15" customHeight="1">
      <c r="B479" s="48"/>
      <c r="D479" s="48">
        <v>46176</v>
      </c>
      <c r="E479" s="50" t="s">
        <v>3275</v>
      </c>
      <c r="G479" s="49" t="s">
        <v>2551</v>
      </c>
      <c r="H479" s="51">
        <v>4.7699999999999996</v>
      </c>
      <c r="I479" s="51" t="s">
        <v>55</v>
      </c>
      <c r="J479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4.7699999999999996</v>
      </c>
      <c r="K479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479" s="49" t="s">
        <v>25</v>
      </c>
      <c r="M479" s="59" t="s">
        <v>3276</v>
      </c>
      <c r="N479" s="48">
        <v>46176</v>
      </c>
    </row>
    <row r="480" spans="2:18" s="49" customFormat="1" ht="15" customHeight="1">
      <c r="B480" s="48"/>
      <c r="D480" s="48">
        <v>46176</v>
      </c>
      <c r="E480" s="50">
        <v>2600104</v>
      </c>
      <c r="G480" s="49" t="s">
        <v>2585</v>
      </c>
      <c r="H480" s="51">
        <v>0.83</v>
      </c>
      <c r="I480" s="51" t="s">
        <v>43</v>
      </c>
      <c r="J480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0.83</v>
      </c>
      <c r="K480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46176</v>
      </c>
      <c r="L480" s="49" t="s">
        <v>25</v>
      </c>
      <c r="M480" s="59" t="s">
        <v>3277</v>
      </c>
      <c r="N480" s="48">
        <v>46176</v>
      </c>
    </row>
    <row r="481" spans="2:18" s="49" customFormat="1" ht="15" customHeight="1">
      <c r="B481" s="48">
        <v>46174</v>
      </c>
      <c r="C481" s="49" t="s">
        <v>3278</v>
      </c>
      <c r="D481" s="48">
        <v>46176</v>
      </c>
      <c r="E481" s="50" t="s">
        <v>3279</v>
      </c>
      <c r="G481" s="49" t="s">
        <v>2782</v>
      </c>
      <c r="H481" s="51">
        <v>212</v>
      </c>
      <c r="I481" s="51" t="s">
        <v>43</v>
      </c>
      <c r="J48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212</v>
      </c>
      <c r="K481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46176</v>
      </c>
      <c r="L481" s="49" t="s">
        <v>25</v>
      </c>
      <c r="M481" s="59" t="s">
        <v>3280</v>
      </c>
      <c r="N481" s="48"/>
      <c r="O481" s="49" t="s">
        <v>94</v>
      </c>
    </row>
    <row r="482" spans="2:18" s="49" customFormat="1" ht="15" customHeight="1">
      <c r="B482" s="48"/>
      <c r="D482" s="48">
        <v>46174</v>
      </c>
      <c r="E482" s="50" t="s">
        <v>3281</v>
      </c>
      <c r="G482" s="49" t="s">
        <v>2597</v>
      </c>
      <c r="H482" s="51">
        <v>23.08</v>
      </c>
      <c r="I482" s="51" t="s">
        <v>98</v>
      </c>
      <c r="J482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23.08</v>
      </c>
      <c r="K482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482" s="59" t="s">
        <v>3282</v>
      </c>
      <c r="N482" s="48"/>
    </row>
    <row r="483" spans="2:18" s="49" customFormat="1" ht="15" customHeight="1">
      <c r="B483" s="48"/>
      <c r="D483" s="48">
        <v>46176</v>
      </c>
      <c r="E483" s="50" t="s">
        <v>3283</v>
      </c>
      <c r="G483" s="49" t="s">
        <v>2484</v>
      </c>
      <c r="H483" s="51">
        <v>87</v>
      </c>
      <c r="I483" s="51" t="s">
        <v>43</v>
      </c>
      <c r="J48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87</v>
      </c>
      <c r="K483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46176</v>
      </c>
      <c r="L483" s="49" t="s">
        <v>25</v>
      </c>
      <c r="M483" s="59" t="s">
        <v>2559</v>
      </c>
      <c r="N483" s="48">
        <v>46176</v>
      </c>
    </row>
    <row r="484" spans="2:18" s="49" customFormat="1" ht="15" customHeight="1">
      <c r="B484" s="48"/>
      <c r="D484" s="48">
        <v>46176</v>
      </c>
      <c r="E484" s="50" t="s">
        <v>3284</v>
      </c>
      <c r="G484" s="49" t="s">
        <v>3285</v>
      </c>
      <c r="H484" s="51">
        <v>52.9</v>
      </c>
      <c r="I484" s="51" t="s">
        <v>43</v>
      </c>
      <c r="J48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52.9</v>
      </c>
      <c r="K484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46176</v>
      </c>
      <c r="L484" s="49" t="s">
        <v>25</v>
      </c>
      <c r="M484" s="59" t="s">
        <v>3286</v>
      </c>
      <c r="N484" s="48">
        <v>46176</v>
      </c>
    </row>
    <row r="485" spans="2:18" s="49" customFormat="1" ht="15" customHeight="1">
      <c r="B485" s="48"/>
      <c r="D485" s="48">
        <v>46177</v>
      </c>
      <c r="E485" s="50" t="s">
        <v>3287</v>
      </c>
      <c r="G485" s="49" t="s">
        <v>3285</v>
      </c>
      <c r="H485" s="51">
        <v>-52.9</v>
      </c>
      <c r="I485" s="51" t="s">
        <v>43</v>
      </c>
      <c r="J485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-52.9</v>
      </c>
      <c r="K485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46177</v>
      </c>
      <c r="L485" s="49" t="s">
        <v>25</v>
      </c>
      <c r="M485" s="59" t="s">
        <v>3288</v>
      </c>
      <c r="N485" s="48">
        <v>46176</v>
      </c>
    </row>
    <row r="486" spans="2:18" s="49" customFormat="1" ht="15" customHeight="1">
      <c r="B486" s="48"/>
      <c r="D486" s="48">
        <v>46177</v>
      </c>
      <c r="E486" s="50" t="s">
        <v>3289</v>
      </c>
      <c r="G486" s="49" t="s">
        <v>3285</v>
      </c>
      <c r="H486" s="51">
        <v>44.1</v>
      </c>
      <c r="I486" s="51" t="s">
        <v>43</v>
      </c>
      <c r="J486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44.1</v>
      </c>
      <c r="K486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46177</v>
      </c>
      <c r="L486" s="49" t="s">
        <v>25</v>
      </c>
      <c r="M486" s="59" t="s">
        <v>3290</v>
      </c>
      <c r="N486" s="48">
        <v>46176</v>
      </c>
    </row>
    <row r="487" spans="2:18" s="49" customFormat="1" ht="15" customHeight="1">
      <c r="B487" s="48"/>
      <c r="D487" s="48">
        <v>46183</v>
      </c>
      <c r="E487" s="50" t="s">
        <v>3291</v>
      </c>
      <c r="G487" s="49" t="s">
        <v>1498</v>
      </c>
      <c r="H487" s="51">
        <v>1128.8699999999999</v>
      </c>
      <c r="I487" s="51" t="s">
        <v>43</v>
      </c>
      <c r="J487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1128.8699999999999</v>
      </c>
      <c r="K487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46183</v>
      </c>
      <c r="L487" s="49" t="s">
        <v>25</v>
      </c>
      <c r="M487" s="59" t="s">
        <v>3292</v>
      </c>
      <c r="N487" s="48">
        <v>46184</v>
      </c>
      <c r="O487" s="49" t="s">
        <v>27</v>
      </c>
    </row>
    <row r="488" spans="2:18" s="49" customFormat="1" ht="15" customHeight="1">
      <c r="B488" s="48">
        <v>46181</v>
      </c>
      <c r="D488" s="48">
        <v>46182</v>
      </c>
      <c r="E488" s="50" t="s">
        <v>3293</v>
      </c>
      <c r="G488" s="49" t="s">
        <v>1067</v>
      </c>
      <c r="H488" s="51">
        <v>56.74</v>
      </c>
      <c r="I488" s="51" t="s">
        <v>43</v>
      </c>
      <c r="J48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56.74</v>
      </c>
      <c r="K488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46182</v>
      </c>
      <c r="L488" s="49" t="s">
        <v>25</v>
      </c>
      <c r="M488" s="59" t="s">
        <v>3248</v>
      </c>
      <c r="N488" s="48">
        <v>46181</v>
      </c>
    </row>
    <row r="489" spans="2:18" s="49" customFormat="1" ht="15" customHeight="1">
      <c r="B489" s="48"/>
      <c r="D489" s="48">
        <v>46177</v>
      </c>
      <c r="E489" s="50" t="s">
        <v>3294</v>
      </c>
      <c r="G489" s="49" t="s">
        <v>2551</v>
      </c>
      <c r="H489" s="51">
        <v>68.03</v>
      </c>
      <c r="I489" s="51" t="s">
        <v>55</v>
      </c>
      <c r="J489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68.03</v>
      </c>
      <c r="K489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489" s="49" t="s">
        <v>25</v>
      </c>
      <c r="M489" s="59" t="s">
        <v>3295</v>
      </c>
      <c r="N489" s="48">
        <v>46177</v>
      </c>
    </row>
    <row r="490" spans="2:18" s="49" customFormat="1" ht="15" customHeight="1">
      <c r="B490" s="48"/>
      <c r="D490" s="48">
        <v>46178</v>
      </c>
      <c r="E490" s="50" t="s">
        <v>3296</v>
      </c>
      <c r="G490" s="49" t="s">
        <v>2551</v>
      </c>
      <c r="H490" s="51">
        <v>2.54</v>
      </c>
      <c r="I490" s="51" t="s">
        <v>55</v>
      </c>
      <c r="J490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2.54</v>
      </c>
      <c r="K490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490" s="49" t="s">
        <v>25</v>
      </c>
      <c r="M490" s="59" t="s">
        <v>3297</v>
      </c>
      <c r="N490" s="48">
        <v>46178</v>
      </c>
    </row>
    <row r="491" spans="2:18" s="49" customFormat="1" ht="15" customHeight="1">
      <c r="B491" s="48"/>
      <c r="D491" s="48">
        <v>46178</v>
      </c>
      <c r="E491" s="50" t="s">
        <v>3298</v>
      </c>
      <c r="G491" s="49" t="s">
        <v>2491</v>
      </c>
      <c r="H491" s="51">
        <v>231</v>
      </c>
      <c r="I491" s="51" t="s">
        <v>43</v>
      </c>
      <c r="J49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231</v>
      </c>
      <c r="K491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46178</v>
      </c>
      <c r="L491" s="49" t="s">
        <v>25</v>
      </c>
      <c r="M491" s="59" t="s">
        <v>2492</v>
      </c>
      <c r="N491" s="48">
        <v>46178</v>
      </c>
    </row>
    <row r="492" spans="2:18" s="49" customFormat="1" ht="15" customHeight="1">
      <c r="B492" s="48"/>
      <c r="D492" s="48">
        <v>46179</v>
      </c>
      <c r="E492" s="50" t="s">
        <v>3299</v>
      </c>
      <c r="G492" s="49" t="s">
        <v>2484</v>
      </c>
      <c r="H492" s="51">
        <v>95.34</v>
      </c>
      <c r="I492" s="51" t="s">
        <v>43</v>
      </c>
      <c r="J492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95.34</v>
      </c>
      <c r="K492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46179</v>
      </c>
      <c r="L492" s="49" t="s">
        <v>25</v>
      </c>
      <c r="M492" s="59" t="s">
        <v>2559</v>
      </c>
      <c r="N492" s="48">
        <v>46179</v>
      </c>
    </row>
    <row r="493" spans="2:18" s="49" customFormat="1" ht="15" customHeight="1">
      <c r="B493" s="48">
        <v>46181</v>
      </c>
      <c r="D493" s="48">
        <v>46183</v>
      </c>
      <c r="E493" s="50">
        <v>300154124</v>
      </c>
      <c r="G493" s="49" t="s">
        <v>2739</v>
      </c>
      <c r="H493" s="51">
        <v>112.53</v>
      </c>
      <c r="I493" s="51" t="s">
        <v>43</v>
      </c>
      <c r="J49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112.53</v>
      </c>
      <c r="K493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46183</v>
      </c>
      <c r="L493" s="49" t="s">
        <v>25</v>
      </c>
      <c r="M493" s="59" t="s">
        <v>3300</v>
      </c>
      <c r="N493" s="48">
        <v>46183</v>
      </c>
    </row>
    <row r="494" spans="2:18" s="49" customFormat="1" ht="15" customHeight="1">
      <c r="B494" s="48"/>
      <c r="D494" s="48">
        <v>46173</v>
      </c>
      <c r="E494" s="50" t="s">
        <v>3301</v>
      </c>
      <c r="G494" s="49" t="s">
        <v>2469</v>
      </c>
      <c r="H494" s="51">
        <v>451.1</v>
      </c>
      <c r="I494" s="51" t="s">
        <v>98</v>
      </c>
      <c r="J49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451.1</v>
      </c>
      <c r="K494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494" s="59"/>
      <c r="N494" s="48"/>
    </row>
    <row r="495" spans="2:18" s="49" customFormat="1" ht="15" customHeight="1">
      <c r="B495" s="48">
        <v>46147</v>
      </c>
      <c r="D495" s="48">
        <v>46147</v>
      </c>
      <c r="E495" s="50" t="s">
        <v>3302</v>
      </c>
      <c r="G495" s="49" t="s">
        <v>1067</v>
      </c>
      <c r="H495" s="51">
        <v>57.72</v>
      </c>
      <c r="I495" s="51" t="s">
        <v>43</v>
      </c>
      <c r="J495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57.72</v>
      </c>
      <c r="K495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46147</v>
      </c>
      <c r="L495" s="49" t="s">
        <v>25</v>
      </c>
      <c r="M495" s="59" t="s">
        <v>3303</v>
      </c>
      <c r="N495" s="48">
        <v>46140</v>
      </c>
    </row>
    <row r="496" spans="2:18" s="49" customFormat="1" ht="15" customHeight="1">
      <c r="B496" s="150">
        <v>46087</v>
      </c>
      <c r="C496" s="151"/>
      <c r="D496" s="150"/>
      <c r="E496" s="152"/>
      <c r="F496" s="151"/>
      <c r="G496" s="151" t="s">
        <v>1067</v>
      </c>
      <c r="H496" s="153">
        <v>59.99</v>
      </c>
      <c r="I496" s="153" t="s">
        <v>43</v>
      </c>
      <c r="J496" s="153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59.99</v>
      </c>
      <c r="K496" s="154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496" s="151" t="s">
        <v>25</v>
      </c>
      <c r="M496" s="151" t="s">
        <v>3304</v>
      </c>
      <c r="N496" s="150">
        <v>46087</v>
      </c>
      <c r="O496" s="151"/>
      <c r="P496" s="151"/>
      <c r="Q496" s="151"/>
      <c r="R496" s="151"/>
    </row>
    <row r="497" spans="2:18" s="49" customFormat="1" ht="15" customHeight="1">
      <c r="B497" s="48">
        <v>46087</v>
      </c>
      <c r="D497" s="48">
        <v>46089</v>
      </c>
      <c r="E497" s="50" t="s">
        <v>3305</v>
      </c>
      <c r="G497" s="49" t="s">
        <v>1067</v>
      </c>
      <c r="H497" s="51">
        <v>62.02</v>
      </c>
      <c r="I497" s="51" t="s">
        <v>43</v>
      </c>
      <c r="J49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62.02</v>
      </c>
      <c r="K497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46089</v>
      </c>
      <c r="L497" s="49" t="s">
        <v>25</v>
      </c>
      <c r="M497" s="49" t="s">
        <v>3306</v>
      </c>
      <c r="N497" s="48">
        <v>46087</v>
      </c>
    </row>
    <row r="498" spans="2:18" s="49" customFormat="1" ht="15" customHeight="1">
      <c r="B498" s="48"/>
      <c r="D498" s="48">
        <v>46181</v>
      </c>
      <c r="E498" s="50">
        <v>2613549</v>
      </c>
      <c r="G498" s="49" t="s">
        <v>2560</v>
      </c>
      <c r="H498" s="51">
        <v>6</v>
      </c>
      <c r="I498" s="51" t="s">
        <v>43</v>
      </c>
      <c r="J49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</v>
      </c>
      <c r="K498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46181</v>
      </c>
      <c r="L498" s="49" t="s">
        <v>25</v>
      </c>
      <c r="M498" s="59" t="s">
        <v>3307</v>
      </c>
      <c r="N498" s="48"/>
    </row>
    <row r="499" spans="2:18" s="49" customFormat="1" ht="15" customHeight="1">
      <c r="B499" s="48"/>
      <c r="D499" s="48">
        <v>46181</v>
      </c>
      <c r="E499" s="50" t="s">
        <v>3308</v>
      </c>
      <c r="G499" s="49" t="s">
        <v>2551</v>
      </c>
      <c r="H499" s="51">
        <v>-2.54</v>
      </c>
      <c r="I499" s="51" t="s">
        <v>55</v>
      </c>
      <c r="J499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-2.54</v>
      </c>
      <c r="K499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499" s="49" t="s">
        <v>25</v>
      </c>
      <c r="M499" s="59" t="s">
        <v>3309</v>
      </c>
      <c r="N499" s="48">
        <v>46181</v>
      </c>
    </row>
    <row r="500" spans="2:18" s="49" customFormat="1" ht="15" customHeight="1">
      <c r="B500" s="48"/>
      <c r="D500" s="48">
        <v>46182</v>
      </c>
      <c r="E500" s="50" t="s">
        <v>3310</v>
      </c>
      <c r="G500" s="49" t="s">
        <v>2814</v>
      </c>
      <c r="H500" s="51">
        <v>274.8</v>
      </c>
      <c r="I500" s="51" t="s">
        <v>55</v>
      </c>
      <c r="J500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274.8</v>
      </c>
      <c r="K500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500" s="49" t="s">
        <v>25</v>
      </c>
      <c r="M500" s="59" t="s">
        <v>3311</v>
      </c>
      <c r="N500" s="48">
        <v>46171</v>
      </c>
    </row>
    <row r="501" spans="2:18" s="49" customFormat="1" ht="15" customHeight="1">
      <c r="B501" s="48">
        <v>46205</v>
      </c>
      <c r="D501" s="48"/>
      <c r="E501" s="50"/>
      <c r="G501" s="49" t="s">
        <v>1067</v>
      </c>
      <c r="H501" s="51">
        <v>63</v>
      </c>
      <c r="I501" s="51" t="s">
        <v>43</v>
      </c>
      <c r="J50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63</v>
      </c>
      <c r="K501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501" s="49" t="s">
        <v>25</v>
      </c>
      <c r="M501" s="59" t="s">
        <v>3312</v>
      </c>
      <c r="N501" s="48">
        <v>46205</v>
      </c>
    </row>
    <row r="502" spans="2:18" s="49" customFormat="1" ht="15" customHeight="1">
      <c r="B502" s="183">
        <v>46169</v>
      </c>
      <c r="C502" s="184"/>
      <c r="D502" s="183"/>
      <c r="E502" s="185"/>
      <c r="F502" s="184"/>
      <c r="G502" s="184" t="s">
        <v>1067</v>
      </c>
      <c r="H502" s="186">
        <v>64.06</v>
      </c>
      <c r="I502" s="186" t="s">
        <v>43</v>
      </c>
      <c r="J502" s="186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64.06</v>
      </c>
      <c r="K502" s="187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502" s="184" t="s">
        <v>25</v>
      </c>
      <c r="M502" s="188" t="s">
        <v>3313</v>
      </c>
      <c r="N502" s="183">
        <v>46169</v>
      </c>
      <c r="O502" s="184"/>
      <c r="P502" s="184"/>
      <c r="Q502" s="184"/>
      <c r="R502" s="184"/>
    </row>
    <row r="503" spans="2:18" s="49" customFormat="1" ht="15" customHeight="1">
      <c r="B503" s="48">
        <v>46182</v>
      </c>
      <c r="D503" s="48"/>
      <c r="E503" s="50"/>
      <c r="G503" s="49" t="s">
        <v>1067</v>
      </c>
      <c r="H503" s="51">
        <v>64.44</v>
      </c>
      <c r="I503" s="51" t="s">
        <v>43</v>
      </c>
      <c r="J50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64.44</v>
      </c>
      <c r="K503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503" s="49" t="s">
        <v>25</v>
      </c>
      <c r="M503" s="59" t="s">
        <v>3314</v>
      </c>
      <c r="N503" s="48">
        <v>46182</v>
      </c>
    </row>
    <row r="504" spans="2:18" s="49" customFormat="1" ht="15" customHeight="1">
      <c r="B504" s="48">
        <v>46129</v>
      </c>
      <c r="D504" s="48"/>
      <c r="E504" s="50"/>
      <c r="G504" s="49" t="s">
        <v>1067</v>
      </c>
      <c r="H504" s="51">
        <v>66.150000000000006</v>
      </c>
      <c r="I504" s="51" t="s">
        <v>43</v>
      </c>
      <c r="J50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66.150000000000006</v>
      </c>
      <c r="K504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504" s="49" t="s">
        <v>25</v>
      </c>
      <c r="M504" s="59" t="s">
        <v>3315</v>
      </c>
      <c r="N504" s="48">
        <v>46129</v>
      </c>
    </row>
    <row r="505" spans="2:18" s="49" customFormat="1" ht="15" customHeight="1">
      <c r="B505" s="48">
        <v>46181</v>
      </c>
      <c r="D505" s="48">
        <v>46182</v>
      </c>
      <c r="E505" s="50" t="s">
        <v>3316</v>
      </c>
      <c r="G505" s="49" t="s">
        <v>1067</v>
      </c>
      <c r="H505" s="51">
        <v>68.22</v>
      </c>
      <c r="I505" s="51" t="s">
        <v>43</v>
      </c>
      <c r="J505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68.22</v>
      </c>
      <c r="K505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46182</v>
      </c>
      <c r="L505" s="49" t="s">
        <v>25</v>
      </c>
      <c r="M505" s="59" t="s">
        <v>3317</v>
      </c>
      <c r="N505" s="48">
        <v>46181</v>
      </c>
    </row>
    <row r="506" spans="2:18" s="49" customFormat="1" ht="15" customHeight="1">
      <c r="B506" s="48">
        <v>46098</v>
      </c>
      <c r="D506" s="48">
        <v>46099</v>
      </c>
      <c r="E506" s="50" t="s">
        <v>3318</v>
      </c>
      <c r="G506" s="49" t="s">
        <v>1067</v>
      </c>
      <c r="H506" s="51">
        <v>68.900000000000006</v>
      </c>
      <c r="I506" s="51" t="s">
        <v>43</v>
      </c>
      <c r="J506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68.900000000000006</v>
      </c>
      <c r="K506" s="52">
        <v>46099</v>
      </c>
      <c r="L506" s="49" t="s">
        <v>25</v>
      </c>
      <c r="M506" s="49" t="s">
        <v>3319</v>
      </c>
      <c r="N506" s="48">
        <v>46098</v>
      </c>
    </row>
    <row r="507" spans="2:18" s="49" customFormat="1" ht="15" customHeight="1">
      <c r="B507" s="48"/>
      <c r="D507" s="48">
        <v>46182</v>
      </c>
      <c r="E507" s="50" t="s">
        <v>3320</v>
      </c>
      <c r="G507" s="49" t="s">
        <v>2484</v>
      </c>
      <c r="H507" s="51">
        <v>93.06</v>
      </c>
      <c r="I507" s="51" t="s">
        <v>43</v>
      </c>
      <c r="J50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93.06</v>
      </c>
      <c r="K507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46182</v>
      </c>
      <c r="L507" s="49" t="s">
        <v>25</v>
      </c>
      <c r="M507" s="59" t="s">
        <v>3253</v>
      </c>
      <c r="N507" s="48">
        <v>46182</v>
      </c>
    </row>
    <row r="508" spans="2:18" s="49" customFormat="1" ht="15" customHeight="1">
      <c r="B508" s="48"/>
      <c r="D508" s="48">
        <v>46183</v>
      </c>
      <c r="E508" s="50" t="s">
        <v>3321</v>
      </c>
      <c r="G508" s="49" t="s">
        <v>2506</v>
      </c>
      <c r="H508" s="51">
        <v>91.62</v>
      </c>
      <c r="I508" s="51" t="s">
        <v>98</v>
      </c>
      <c r="J50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91.62</v>
      </c>
      <c r="K508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508" s="59" t="s">
        <v>3322</v>
      </c>
      <c r="N508" s="48"/>
    </row>
    <row r="509" spans="2:18" s="49" customFormat="1" ht="15" customHeight="1">
      <c r="B509" s="48">
        <v>46182</v>
      </c>
      <c r="C509" s="49" t="s">
        <v>3323</v>
      </c>
      <c r="D509" s="48">
        <v>46184</v>
      </c>
      <c r="E509" s="50" t="s">
        <v>3324</v>
      </c>
      <c r="G509" s="49" t="s">
        <v>2541</v>
      </c>
      <c r="H509" s="51">
        <v>196.04</v>
      </c>
      <c r="I509" s="51" t="s">
        <v>55</v>
      </c>
      <c r="J509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196.04</v>
      </c>
      <c r="K509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509" s="49" t="s">
        <v>25</v>
      </c>
      <c r="M509" s="59" t="s">
        <v>3325</v>
      </c>
      <c r="N509" s="48">
        <v>46183</v>
      </c>
      <c r="O509" s="49" t="s">
        <v>27</v>
      </c>
    </row>
    <row r="510" spans="2:18" s="49" customFormat="1" ht="15" customHeight="1">
      <c r="B510" s="48"/>
      <c r="D510" s="48">
        <v>46163</v>
      </c>
      <c r="E510" s="50">
        <v>791</v>
      </c>
      <c r="G510" s="49" t="s">
        <v>2475</v>
      </c>
      <c r="H510" s="51">
        <v>726</v>
      </c>
      <c r="I510" s="51" t="s">
        <v>43</v>
      </c>
      <c r="J510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726</v>
      </c>
      <c r="K510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46163</v>
      </c>
      <c r="L510" s="49" t="s">
        <v>25</v>
      </c>
      <c r="M510" s="59" t="s">
        <v>3326</v>
      </c>
      <c r="N510" s="48">
        <v>46184</v>
      </c>
      <c r="O510" s="49" t="s">
        <v>94</v>
      </c>
    </row>
    <row r="511" spans="2:18" s="49" customFormat="1" ht="15" customHeight="1">
      <c r="B511" s="48">
        <v>46182</v>
      </c>
      <c r="D511" s="48">
        <v>46183</v>
      </c>
      <c r="E511" s="50" t="s">
        <v>3327</v>
      </c>
      <c r="G511" s="49" t="s">
        <v>1067</v>
      </c>
      <c r="H511" s="51">
        <v>72.3</v>
      </c>
      <c r="I511" s="51" t="s">
        <v>43</v>
      </c>
      <c r="J51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72.3</v>
      </c>
      <c r="K511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46183</v>
      </c>
      <c r="L511" s="49" t="s">
        <v>25</v>
      </c>
      <c r="M511" s="59" t="s">
        <v>3328</v>
      </c>
      <c r="N511" s="48">
        <v>46182</v>
      </c>
    </row>
    <row r="512" spans="2:18" s="49" customFormat="1" ht="15" customHeight="1">
      <c r="B512" s="48"/>
      <c r="D512" s="48">
        <v>46181</v>
      </c>
      <c r="E512" s="50" t="s">
        <v>3329</v>
      </c>
      <c r="G512" s="49" t="s">
        <v>3171</v>
      </c>
      <c r="H512" s="51">
        <v>4643.6000000000004</v>
      </c>
      <c r="I512" s="51" t="s">
        <v>43</v>
      </c>
      <c r="J512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4643.6000000000004</v>
      </c>
      <c r="K512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46181</v>
      </c>
      <c r="L512" s="49" t="s">
        <v>25</v>
      </c>
      <c r="M512" s="59" t="s">
        <v>3172</v>
      </c>
      <c r="N512" s="48">
        <v>46184</v>
      </c>
      <c r="O512" s="49" t="s">
        <v>94</v>
      </c>
    </row>
    <row r="513" spans="2:18" s="49" customFormat="1" ht="15" customHeight="1">
      <c r="B513" s="48"/>
      <c r="D513" s="48">
        <v>46177</v>
      </c>
      <c r="E513" s="50" t="s">
        <v>3330</v>
      </c>
      <c r="G513" s="49" t="s">
        <v>3331</v>
      </c>
      <c r="H513" s="51">
        <v>117.72</v>
      </c>
      <c r="I513" s="51" t="s">
        <v>43</v>
      </c>
      <c r="J513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117.72</v>
      </c>
      <c r="K513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46177</v>
      </c>
      <c r="L513" s="49" t="s">
        <v>25</v>
      </c>
      <c r="M513" s="59" t="s">
        <v>3332</v>
      </c>
      <c r="N513" s="48">
        <v>46184</v>
      </c>
      <c r="O513" s="49" t="s">
        <v>2197</v>
      </c>
    </row>
    <row r="514" spans="2:18" s="190" customFormat="1" ht="15" customHeight="1">
      <c r="B514" s="48">
        <v>46157</v>
      </c>
      <c r="C514" s="49"/>
      <c r="D514" s="48">
        <v>46158</v>
      </c>
      <c r="E514" s="50" t="s">
        <v>3333</v>
      </c>
      <c r="F514" s="49"/>
      <c r="G514" s="49" t="s">
        <v>1067</v>
      </c>
      <c r="H514" s="51">
        <v>75.34</v>
      </c>
      <c r="I514" s="51" t="s">
        <v>43</v>
      </c>
      <c r="J51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75.34</v>
      </c>
      <c r="K514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46158</v>
      </c>
      <c r="L514" s="49" t="s">
        <v>25</v>
      </c>
      <c r="M514" s="59" t="s">
        <v>3334</v>
      </c>
      <c r="N514" s="48">
        <v>46157</v>
      </c>
      <c r="O514" s="49"/>
      <c r="P514" s="49"/>
      <c r="Q514" s="49"/>
      <c r="R514" s="49"/>
    </row>
    <row r="515" spans="2:18" s="49" customFormat="1" ht="15" customHeight="1">
      <c r="B515" s="48">
        <v>46181</v>
      </c>
      <c r="C515" s="49">
        <v>10049</v>
      </c>
      <c r="D515" s="48">
        <v>46191</v>
      </c>
      <c r="E515" s="50" t="s">
        <v>3335</v>
      </c>
      <c r="G515" s="49" t="s">
        <v>3214</v>
      </c>
      <c r="H515" s="51">
        <v>12.1</v>
      </c>
      <c r="I515" s="51" t="s">
        <v>43</v>
      </c>
      <c r="J515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12.1</v>
      </c>
      <c r="K515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46191</v>
      </c>
      <c r="L515" s="49" t="s">
        <v>25</v>
      </c>
      <c r="M515" s="59" t="s">
        <v>3336</v>
      </c>
      <c r="N515" s="48">
        <v>46184</v>
      </c>
      <c r="O515" s="49" t="s">
        <v>27</v>
      </c>
    </row>
    <row r="516" spans="2:18" s="49" customFormat="1" ht="15" customHeight="1">
      <c r="B516" s="48"/>
      <c r="D516" s="48">
        <v>46183</v>
      </c>
      <c r="E516" s="50" t="s">
        <v>3337</v>
      </c>
      <c r="G516" s="49" t="s">
        <v>2551</v>
      </c>
      <c r="H516" s="51">
        <v>1.0900000000000001</v>
      </c>
      <c r="I516" s="51" t="s">
        <v>55</v>
      </c>
      <c r="J516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1.0900000000000001</v>
      </c>
      <c r="K516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516" s="49" t="s">
        <v>25</v>
      </c>
      <c r="M516" s="59" t="s">
        <v>3338</v>
      </c>
      <c r="N516" s="48">
        <v>46183</v>
      </c>
    </row>
    <row r="517" spans="2:18" s="49" customFormat="1" ht="15" customHeight="1">
      <c r="B517" s="48"/>
      <c r="D517" s="48">
        <v>46182</v>
      </c>
      <c r="E517" s="50" t="s">
        <v>3339</v>
      </c>
      <c r="G517" s="49" t="s">
        <v>2551</v>
      </c>
      <c r="H517" s="51">
        <v>3.84</v>
      </c>
      <c r="I517" s="51" t="s">
        <v>55</v>
      </c>
      <c r="J51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3.84</v>
      </c>
      <c r="K517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517" s="49" t="s">
        <v>25</v>
      </c>
      <c r="M517" s="59" t="s">
        <v>3340</v>
      </c>
      <c r="N517" s="48">
        <v>46182</v>
      </c>
    </row>
    <row r="518" spans="2:18" s="49" customFormat="1" ht="15" customHeight="1">
      <c r="B518" s="48"/>
      <c r="D518" s="48">
        <v>46182</v>
      </c>
      <c r="E518" s="50" t="s">
        <v>3341</v>
      </c>
      <c r="G518" s="49" t="s">
        <v>2551</v>
      </c>
      <c r="H518" s="51">
        <v>216.02</v>
      </c>
      <c r="I518" s="51" t="s">
        <v>55</v>
      </c>
      <c r="J51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216.02</v>
      </c>
      <c r="K518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518" s="49" t="s">
        <v>25</v>
      </c>
      <c r="M518" s="59" t="s">
        <v>3342</v>
      </c>
      <c r="N518" s="48">
        <v>46182</v>
      </c>
    </row>
    <row r="519" spans="2:18" s="49" customFormat="1" ht="15" customHeight="1">
      <c r="B519" s="48">
        <v>46133</v>
      </c>
      <c r="D519" s="48"/>
      <c r="E519" s="50"/>
      <c r="G519" s="49" t="s">
        <v>1067</v>
      </c>
      <c r="H519" s="51">
        <v>77.06</v>
      </c>
      <c r="I519" s="51" t="s">
        <v>43</v>
      </c>
      <c r="J519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77.06</v>
      </c>
      <c r="K519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519" s="49" t="s">
        <v>25</v>
      </c>
      <c r="M519" s="142" t="s">
        <v>3343</v>
      </c>
      <c r="N519" s="48">
        <v>46133</v>
      </c>
    </row>
    <row r="520" spans="2:18" s="49" customFormat="1" ht="15" customHeight="1">
      <c r="B520" s="48">
        <v>46203</v>
      </c>
      <c r="D520" s="48">
        <v>46203</v>
      </c>
      <c r="E520" s="50" t="s">
        <v>3344</v>
      </c>
      <c r="G520" s="49" t="s">
        <v>1067</v>
      </c>
      <c r="H520" s="51">
        <v>79</v>
      </c>
      <c r="I520" s="51" t="s">
        <v>43</v>
      </c>
      <c r="J520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79</v>
      </c>
      <c r="K520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46203</v>
      </c>
      <c r="L520" s="49" t="s">
        <v>25</v>
      </c>
      <c r="M520" s="59" t="s">
        <v>3345</v>
      </c>
      <c r="N520" s="48">
        <v>46203</v>
      </c>
    </row>
    <row r="521" spans="2:18" s="49" customFormat="1" ht="15" customHeight="1">
      <c r="B521" s="48"/>
      <c r="D521" s="48">
        <v>46181</v>
      </c>
      <c r="E521" s="50" t="s">
        <v>3346</v>
      </c>
      <c r="G521" s="49" t="s">
        <v>2712</v>
      </c>
      <c r="H521" s="51">
        <v>145.80000000000001</v>
      </c>
      <c r="I521" s="51" t="s">
        <v>43</v>
      </c>
      <c r="J52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145.80000000000001</v>
      </c>
      <c r="K521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46181</v>
      </c>
      <c r="L521" s="49" t="s">
        <v>25</v>
      </c>
      <c r="M521" s="59" t="s">
        <v>3347</v>
      </c>
      <c r="N521" s="48">
        <v>46181</v>
      </c>
    </row>
    <row r="522" spans="2:18" s="49" customFormat="1" ht="15" customHeight="1">
      <c r="B522" s="48"/>
      <c r="D522" s="48">
        <v>46184</v>
      </c>
      <c r="E522" s="50" t="s">
        <v>3348</v>
      </c>
      <c r="G522" s="49" t="s">
        <v>1498</v>
      </c>
      <c r="H522" s="51">
        <v>36.299999999999997</v>
      </c>
      <c r="I522" s="51" t="s">
        <v>43</v>
      </c>
      <c r="J522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36.299999999999997</v>
      </c>
      <c r="K522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46184</v>
      </c>
      <c r="L522" s="49" t="s">
        <v>25</v>
      </c>
      <c r="M522" s="59" t="s">
        <v>3349</v>
      </c>
      <c r="N522" s="48">
        <v>46184</v>
      </c>
    </row>
    <row r="523" spans="2:18" s="49" customFormat="1" ht="15" customHeight="1">
      <c r="B523" s="48"/>
      <c r="D523" s="48">
        <v>46184</v>
      </c>
      <c r="E523" s="50">
        <v>2026000444</v>
      </c>
      <c r="G523" s="49" t="s">
        <v>3350</v>
      </c>
      <c r="H523" s="51">
        <v>10.050000000000001</v>
      </c>
      <c r="I523" s="51" t="s">
        <v>43</v>
      </c>
      <c r="J52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10.050000000000001</v>
      </c>
      <c r="K523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46184</v>
      </c>
      <c r="L523" s="49" t="s">
        <v>25</v>
      </c>
      <c r="M523" s="59" t="s">
        <v>3351</v>
      </c>
      <c r="N523" s="48">
        <v>46184</v>
      </c>
    </row>
    <row r="524" spans="2:18" s="49" customFormat="1" ht="15" customHeight="1">
      <c r="B524" s="48"/>
      <c r="D524" s="48">
        <v>46184</v>
      </c>
      <c r="E524" s="50">
        <v>2026000506</v>
      </c>
      <c r="G524" s="49" t="s">
        <v>3352</v>
      </c>
      <c r="H524" s="51">
        <v>178.45</v>
      </c>
      <c r="I524" s="51" t="s">
        <v>43</v>
      </c>
      <c r="J52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178.45</v>
      </c>
      <c r="K524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46184</v>
      </c>
      <c r="L524" s="49" t="s">
        <v>25</v>
      </c>
      <c r="M524" s="59" t="s">
        <v>3353</v>
      </c>
      <c r="N524" s="48">
        <v>46184</v>
      </c>
    </row>
    <row r="525" spans="2:18" s="49" customFormat="1" ht="15" customHeight="1">
      <c r="B525" s="48"/>
      <c r="D525" s="48">
        <v>46185</v>
      </c>
      <c r="E525" s="50" t="s">
        <v>3354</v>
      </c>
      <c r="G525" s="49" t="s">
        <v>3355</v>
      </c>
      <c r="H525" s="51">
        <v>86.85</v>
      </c>
      <c r="I525" s="51" t="s">
        <v>43</v>
      </c>
      <c r="J525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86.85</v>
      </c>
      <c r="K525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46185</v>
      </c>
      <c r="L525" s="49" t="s">
        <v>25</v>
      </c>
      <c r="M525" s="59" t="s">
        <v>3356</v>
      </c>
      <c r="N525" s="48">
        <v>46185</v>
      </c>
    </row>
    <row r="526" spans="2:18" s="49" customFormat="1" ht="15" customHeight="1">
      <c r="B526" s="48"/>
      <c r="D526" s="48">
        <v>46185</v>
      </c>
      <c r="E526" s="50" t="s">
        <v>3357</v>
      </c>
      <c r="G526" s="49" t="s">
        <v>2551</v>
      </c>
      <c r="H526" s="51">
        <v>81.680000000000007</v>
      </c>
      <c r="I526" s="51" t="s">
        <v>55</v>
      </c>
      <c r="J526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81.680000000000007</v>
      </c>
      <c r="K526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526" s="49" t="s">
        <v>25</v>
      </c>
      <c r="M526" s="59" t="s">
        <v>3358</v>
      </c>
      <c r="N526" s="48">
        <v>46185</v>
      </c>
    </row>
    <row r="527" spans="2:18" s="49" customFormat="1" ht="15" customHeight="1">
      <c r="B527" s="48"/>
      <c r="D527" s="48">
        <v>46188</v>
      </c>
      <c r="E527" s="50" t="s">
        <v>3359</v>
      </c>
      <c r="G527" s="49" t="s">
        <v>2484</v>
      </c>
      <c r="H527" s="51">
        <v>70.14</v>
      </c>
      <c r="I527" s="51" t="s">
        <v>43</v>
      </c>
      <c r="J52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70.14</v>
      </c>
      <c r="K527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46188</v>
      </c>
      <c r="L527" s="49" t="s">
        <v>25</v>
      </c>
      <c r="M527" s="59" t="s">
        <v>3253</v>
      </c>
      <c r="N527" s="48">
        <v>46187</v>
      </c>
    </row>
    <row r="528" spans="2:18" s="49" customFormat="1" ht="15" customHeight="1">
      <c r="B528" s="48"/>
      <c r="D528" s="48">
        <v>46185</v>
      </c>
      <c r="E528" s="50" t="s">
        <v>3360</v>
      </c>
      <c r="G528" s="49" t="s">
        <v>2551</v>
      </c>
      <c r="H528" s="51">
        <v>8.17</v>
      </c>
      <c r="I528" s="51" t="s">
        <v>55</v>
      </c>
      <c r="J52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8.17</v>
      </c>
      <c r="K528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528" s="49" t="s">
        <v>25</v>
      </c>
      <c r="M528" s="59" t="s">
        <v>3361</v>
      </c>
      <c r="N528" s="48">
        <v>46188</v>
      </c>
    </row>
    <row r="529" spans="2:17" s="49" customFormat="1" ht="15" customHeight="1">
      <c r="B529" s="48">
        <v>46157</v>
      </c>
      <c r="D529" s="48">
        <v>46160</v>
      </c>
      <c r="E529" s="50" t="s">
        <v>3362</v>
      </c>
      <c r="G529" s="49" t="s">
        <v>1067</v>
      </c>
      <c r="H529" s="51">
        <v>79.98</v>
      </c>
      <c r="I529" s="51" t="s">
        <v>43</v>
      </c>
      <c r="J529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79.98</v>
      </c>
      <c r="K529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46160</v>
      </c>
      <c r="L529" s="49" t="s">
        <v>25</v>
      </c>
      <c r="M529" s="59" t="s">
        <v>3363</v>
      </c>
      <c r="N529" s="48">
        <v>46157</v>
      </c>
    </row>
    <row r="530" spans="2:17" s="49" customFormat="1" ht="15" customHeight="1">
      <c r="B530" s="48"/>
      <c r="D530" s="48">
        <v>46182</v>
      </c>
      <c r="E530" s="50">
        <v>202600117</v>
      </c>
      <c r="G530" s="49" t="s">
        <v>2489</v>
      </c>
      <c r="H530" s="51">
        <v>892.5</v>
      </c>
      <c r="I530" s="51" t="s">
        <v>98</v>
      </c>
      <c r="J530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892.5</v>
      </c>
      <c r="K530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530" s="59" t="s">
        <v>3364</v>
      </c>
      <c r="N530" s="48"/>
    </row>
    <row r="531" spans="2:17" s="49" customFormat="1" ht="15" customHeight="1">
      <c r="B531" s="48"/>
      <c r="D531" s="48">
        <v>46189</v>
      </c>
      <c r="E531" s="50">
        <v>2026000377</v>
      </c>
      <c r="G531" s="49" t="s">
        <v>2587</v>
      </c>
      <c r="H531" s="51">
        <v>1.25</v>
      </c>
      <c r="I531" s="51" t="s">
        <v>43</v>
      </c>
      <c r="J53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1.25</v>
      </c>
      <c r="K531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46189</v>
      </c>
      <c r="L531" s="49" t="s">
        <v>25</v>
      </c>
      <c r="M531" s="59" t="s">
        <v>3365</v>
      </c>
      <c r="N531" s="48"/>
    </row>
    <row r="532" spans="2:17" s="49" customFormat="1" ht="15" customHeight="1">
      <c r="B532" s="48">
        <v>46189</v>
      </c>
      <c r="C532" s="49" t="s">
        <v>3366</v>
      </c>
      <c r="D532" s="48">
        <v>46190</v>
      </c>
      <c r="E532" s="50" t="s">
        <v>3367</v>
      </c>
      <c r="G532" s="49" t="s">
        <v>2782</v>
      </c>
      <c r="H532" s="51">
        <v>530</v>
      </c>
      <c r="I532" s="51" t="s">
        <v>43</v>
      </c>
      <c r="J532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530</v>
      </c>
      <c r="K532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46190</v>
      </c>
      <c r="L532" s="49" t="s">
        <v>25</v>
      </c>
      <c r="M532" s="59" t="s">
        <v>2783</v>
      </c>
      <c r="N532" s="48">
        <v>46189</v>
      </c>
      <c r="O532" s="49" t="s">
        <v>94</v>
      </c>
      <c r="Q532" s="49" t="s">
        <v>3368</v>
      </c>
    </row>
    <row r="533" spans="2:17" s="49" customFormat="1" ht="15" customHeight="1">
      <c r="B533" s="48"/>
      <c r="D533" s="48">
        <v>46190</v>
      </c>
      <c r="E533" s="50">
        <v>147216</v>
      </c>
      <c r="G533" s="49" t="s">
        <v>2596</v>
      </c>
      <c r="H533" s="51">
        <v>481.99</v>
      </c>
      <c r="I533" s="51" t="s">
        <v>55</v>
      </c>
      <c r="J533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481.99</v>
      </c>
      <c r="K533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533" s="49" t="s">
        <v>25</v>
      </c>
      <c r="M533" s="59" t="s">
        <v>3369</v>
      </c>
      <c r="N533" s="48">
        <v>46191</v>
      </c>
      <c r="O533" s="49" t="s">
        <v>27</v>
      </c>
    </row>
    <row r="534" spans="2:17" s="49" customFormat="1" ht="15" customHeight="1">
      <c r="B534" s="48"/>
      <c r="D534" s="48">
        <v>46188</v>
      </c>
      <c r="E534" s="50" t="s">
        <v>3370</v>
      </c>
      <c r="G534" s="49" t="s">
        <v>3371</v>
      </c>
      <c r="H534" s="51">
        <v>650</v>
      </c>
      <c r="I534" s="51" t="s">
        <v>43</v>
      </c>
      <c r="J534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650</v>
      </c>
      <c r="K534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46188</v>
      </c>
      <c r="L534" s="49" t="s">
        <v>25</v>
      </c>
      <c r="M534" s="59" t="s">
        <v>3372</v>
      </c>
      <c r="N534" s="48">
        <v>46191</v>
      </c>
      <c r="O534" s="49" t="s">
        <v>94</v>
      </c>
    </row>
    <row r="535" spans="2:17" s="49" customFormat="1" ht="15" customHeight="1">
      <c r="B535" s="48"/>
      <c r="D535" s="48">
        <v>46178</v>
      </c>
      <c r="E535" s="50">
        <v>997</v>
      </c>
      <c r="G535" s="49" t="s">
        <v>2475</v>
      </c>
      <c r="H535" s="51">
        <v>1101.0999999999999</v>
      </c>
      <c r="I535" s="51" t="s">
        <v>43</v>
      </c>
      <c r="J535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1101.0999999999999</v>
      </c>
      <c r="K535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46178</v>
      </c>
      <c r="L535" s="49" t="s">
        <v>25</v>
      </c>
      <c r="M535" s="59" t="s">
        <v>3373</v>
      </c>
      <c r="N535" s="48">
        <v>46191</v>
      </c>
      <c r="O535" s="49" t="s">
        <v>94</v>
      </c>
    </row>
    <row r="536" spans="2:17" s="49" customFormat="1" ht="15" customHeight="1">
      <c r="B536" s="48"/>
      <c r="D536" s="48">
        <v>46191</v>
      </c>
      <c r="E536" s="50" t="s">
        <v>3374</v>
      </c>
      <c r="G536" s="49" t="s">
        <v>2491</v>
      </c>
      <c r="H536" s="51">
        <v>231</v>
      </c>
      <c r="I536" s="51" t="s">
        <v>43</v>
      </c>
      <c r="J536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231</v>
      </c>
      <c r="K536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46191</v>
      </c>
      <c r="L536" s="49" t="s">
        <v>25</v>
      </c>
      <c r="M536" s="59" t="s">
        <v>2492</v>
      </c>
      <c r="N536" s="48">
        <v>46191</v>
      </c>
    </row>
    <row r="537" spans="2:17" s="49" customFormat="1" ht="15" customHeight="1">
      <c r="B537" s="48"/>
      <c r="D537" s="48">
        <v>46188</v>
      </c>
      <c r="E537" s="50" t="s">
        <v>3375</v>
      </c>
      <c r="G537" s="49" t="s">
        <v>2498</v>
      </c>
      <c r="H537" s="51">
        <v>279.47000000000003</v>
      </c>
      <c r="I537" s="51" t="s">
        <v>98</v>
      </c>
      <c r="J53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279.47000000000003</v>
      </c>
      <c r="K537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537" s="59" t="s">
        <v>3376</v>
      </c>
      <c r="N537" s="48"/>
    </row>
    <row r="538" spans="2:17" s="49" customFormat="1" ht="15" customHeight="1">
      <c r="B538" s="48"/>
      <c r="D538" s="48">
        <v>46191</v>
      </c>
      <c r="E538" s="50" t="s">
        <v>3377</v>
      </c>
      <c r="G538" s="49" t="s">
        <v>2484</v>
      </c>
      <c r="H538" s="51">
        <v>110.09</v>
      </c>
      <c r="I538" s="51" t="s">
        <v>43</v>
      </c>
      <c r="J53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110.09</v>
      </c>
      <c r="K538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46191</v>
      </c>
      <c r="L538" s="49" t="s">
        <v>25</v>
      </c>
      <c r="M538" s="59" t="s">
        <v>3253</v>
      </c>
      <c r="N538" s="48">
        <v>46191</v>
      </c>
    </row>
    <row r="539" spans="2:17" s="49" customFormat="1" ht="15" customHeight="1">
      <c r="B539" s="48"/>
      <c r="D539" s="48">
        <v>46193</v>
      </c>
      <c r="E539" s="50" t="s">
        <v>3378</v>
      </c>
      <c r="G539" s="49" t="s">
        <v>2484</v>
      </c>
      <c r="H539" s="51">
        <v>82.89</v>
      </c>
      <c r="I539" s="51" t="s">
        <v>43</v>
      </c>
      <c r="J539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82.89</v>
      </c>
      <c r="K539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46193</v>
      </c>
      <c r="L539" s="49" t="s">
        <v>25</v>
      </c>
      <c r="M539" s="59" t="s">
        <v>3253</v>
      </c>
      <c r="N539" s="48">
        <v>46191</v>
      </c>
    </row>
    <row r="540" spans="2:17" s="49" customFormat="1" ht="15" customHeight="1">
      <c r="B540" s="48"/>
      <c r="D540" s="48">
        <v>46189</v>
      </c>
      <c r="E540" s="50" t="s">
        <v>751</v>
      </c>
      <c r="G540" s="49" t="s">
        <v>2477</v>
      </c>
      <c r="H540" s="51">
        <v>23.25</v>
      </c>
      <c r="I540" s="51" t="s">
        <v>43</v>
      </c>
      <c r="J540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23.25</v>
      </c>
      <c r="K540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46189</v>
      </c>
      <c r="L540" s="49" t="s">
        <v>25</v>
      </c>
      <c r="M540" s="59" t="s">
        <v>3379</v>
      </c>
      <c r="N540" s="48">
        <v>46198</v>
      </c>
      <c r="O540" s="49" t="s">
        <v>27</v>
      </c>
    </row>
    <row r="541" spans="2:17" s="49" customFormat="1" ht="15" customHeight="1">
      <c r="B541" s="48"/>
      <c r="D541" s="48">
        <v>46191</v>
      </c>
      <c r="E541" s="50" t="s">
        <v>3380</v>
      </c>
      <c r="G541" s="49" t="s">
        <v>2477</v>
      </c>
      <c r="H541" s="51">
        <v>88.06</v>
      </c>
      <c r="I541" s="51" t="s">
        <v>43</v>
      </c>
      <c r="J541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88.06</v>
      </c>
      <c r="K541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46191</v>
      </c>
      <c r="L541" s="49" t="s">
        <v>25</v>
      </c>
      <c r="M541" s="59" t="s">
        <v>3381</v>
      </c>
      <c r="N541" s="48">
        <v>46198</v>
      </c>
      <c r="O541" s="49" t="s">
        <v>27</v>
      </c>
    </row>
    <row r="542" spans="2:17" s="49" customFormat="1" ht="15" customHeight="1">
      <c r="B542" s="48"/>
      <c r="D542" s="48">
        <v>46225</v>
      </c>
      <c r="E542" s="50" t="s">
        <v>3382</v>
      </c>
      <c r="G542" s="49" t="s">
        <v>2712</v>
      </c>
      <c r="H542" s="51">
        <v>1049.53</v>
      </c>
      <c r="I542" s="51" t="s">
        <v>43</v>
      </c>
      <c r="J542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1049.53</v>
      </c>
      <c r="K542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46225</v>
      </c>
      <c r="L542" s="49" t="s">
        <v>25</v>
      </c>
      <c r="M542" s="59" t="s">
        <v>3383</v>
      </c>
      <c r="N542" s="48">
        <v>46191</v>
      </c>
    </row>
    <row r="543" spans="2:17" s="49" customFormat="1" ht="15" customHeight="1">
      <c r="B543" s="48"/>
      <c r="D543" s="48">
        <v>46195</v>
      </c>
      <c r="E543" s="50" t="s">
        <v>3384</v>
      </c>
      <c r="G543" s="59" t="s">
        <v>3225</v>
      </c>
      <c r="H543" s="51">
        <v>40.74</v>
      </c>
      <c r="I543" s="51" t="s">
        <v>98</v>
      </c>
      <c r="J54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40.74</v>
      </c>
      <c r="K543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543" s="59" t="s">
        <v>3385</v>
      </c>
      <c r="N543" s="48"/>
    </row>
    <row r="544" spans="2:17" s="49" customFormat="1" ht="15" customHeight="1">
      <c r="B544" s="48"/>
      <c r="D544" s="48">
        <v>46195</v>
      </c>
      <c r="E544" s="50" t="s">
        <v>3386</v>
      </c>
      <c r="G544" s="49" t="s">
        <v>2944</v>
      </c>
      <c r="H544" s="51">
        <v>1270.5</v>
      </c>
      <c r="I544" s="51" t="s">
        <v>98</v>
      </c>
      <c r="J54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1270.5</v>
      </c>
      <c r="K544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544" s="59" t="s">
        <v>3387</v>
      </c>
      <c r="N544" s="48"/>
    </row>
    <row r="545" spans="2:18" s="49" customFormat="1" ht="15" customHeight="1">
      <c r="B545" s="48">
        <v>46195</v>
      </c>
      <c r="C545" s="49">
        <v>11753</v>
      </c>
      <c r="D545" s="1">
        <v>46212</v>
      </c>
      <c r="E545" s="29">
        <v>112590</v>
      </c>
      <c r="G545" s="49" t="s">
        <v>2680</v>
      </c>
      <c r="H545" s="51">
        <v>1008</v>
      </c>
      <c r="I545" s="51" t="s">
        <v>43</v>
      </c>
      <c r="J545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1008</v>
      </c>
      <c r="K545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46212</v>
      </c>
      <c r="L545" s="49" t="s">
        <v>25</v>
      </c>
      <c r="M545" s="59" t="s">
        <v>3388</v>
      </c>
      <c r="N545" s="48">
        <v>46198</v>
      </c>
      <c r="O545" s="49" t="s">
        <v>27</v>
      </c>
    </row>
    <row r="546" spans="2:18" s="49" customFormat="1" ht="15" customHeight="1">
      <c r="B546" s="48"/>
      <c r="D546" s="48">
        <v>46197</v>
      </c>
      <c r="E546" s="50" t="s">
        <v>3389</v>
      </c>
      <c r="G546" s="49" t="s">
        <v>2484</v>
      </c>
      <c r="H546" s="51">
        <v>77.67</v>
      </c>
      <c r="I546" s="51" t="s">
        <v>43</v>
      </c>
      <c r="J546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77.67</v>
      </c>
      <c r="K546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46197</v>
      </c>
      <c r="L546" s="49" t="s">
        <v>25</v>
      </c>
      <c r="M546" s="59" t="s">
        <v>3253</v>
      </c>
      <c r="N546" s="48">
        <v>46191</v>
      </c>
    </row>
    <row r="547" spans="2:18" s="49" customFormat="1" ht="15" customHeight="1">
      <c r="B547" s="48"/>
      <c r="D547" s="48">
        <v>46197</v>
      </c>
      <c r="E547" s="50" t="s">
        <v>3390</v>
      </c>
      <c r="G547" s="49" t="s">
        <v>2810</v>
      </c>
      <c r="H547" s="51">
        <v>326.69</v>
      </c>
      <c r="I547" s="51" t="s">
        <v>98</v>
      </c>
      <c r="J54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326.69</v>
      </c>
      <c r="K547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547" s="59" t="s">
        <v>3391</v>
      </c>
      <c r="N547" s="48"/>
      <c r="O547" s="49" t="s">
        <v>27</v>
      </c>
    </row>
    <row r="548" spans="2:18" s="49" customFormat="1" ht="15" customHeight="1">
      <c r="B548" s="48"/>
      <c r="D548" s="48">
        <v>46196</v>
      </c>
      <c r="E548" s="50">
        <v>70</v>
      </c>
      <c r="G548" s="49" t="s">
        <v>2776</v>
      </c>
      <c r="H548" s="51">
        <v>74.19</v>
      </c>
      <c r="I548" s="51" t="s">
        <v>43</v>
      </c>
      <c r="J548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74.19</v>
      </c>
      <c r="K548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46196</v>
      </c>
      <c r="L548" s="49" t="s">
        <v>25</v>
      </c>
      <c r="M548" s="59" t="s">
        <v>3392</v>
      </c>
      <c r="N548" s="48">
        <v>46212</v>
      </c>
      <c r="O548" s="49" t="s">
        <v>27</v>
      </c>
    </row>
    <row r="549" spans="2:18" s="49" customFormat="1" ht="15" customHeight="1">
      <c r="B549" s="48"/>
      <c r="D549" s="48">
        <v>46196</v>
      </c>
      <c r="E549" s="50">
        <v>71</v>
      </c>
      <c r="G549" s="49" t="s">
        <v>2776</v>
      </c>
      <c r="H549" s="51">
        <v>98.89</v>
      </c>
      <c r="I549" s="51" t="s">
        <v>43</v>
      </c>
      <c r="J549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98.89</v>
      </c>
      <c r="K549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46196</v>
      </c>
      <c r="L549" s="49" t="s">
        <v>25</v>
      </c>
      <c r="M549" s="59" t="s">
        <v>3393</v>
      </c>
      <c r="N549" s="48">
        <v>46212</v>
      </c>
      <c r="O549" s="49" t="s">
        <v>27</v>
      </c>
    </row>
    <row r="550" spans="2:18" s="49" customFormat="1" ht="15" customHeight="1">
      <c r="B550" s="48"/>
      <c r="D550" s="48">
        <v>46195</v>
      </c>
      <c r="E550" s="50" t="s">
        <v>3394</v>
      </c>
      <c r="G550" s="49" t="s">
        <v>2565</v>
      </c>
      <c r="H550" s="51">
        <v>13.21</v>
      </c>
      <c r="I550" s="51" t="s">
        <v>98</v>
      </c>
      <c r="J550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13.21</v>
      </c>
      <c r="K550" s="52">
        <v>46195</v>
      </c>
      <c r="M550" s="59"/>
      <c r="N550" s="48"/>
    </row>
    <row r="551" spans="2:18" s="49" customFormat="1" ht="15" customHeight="1">
      <c r="B551" s="48">
        <v>46192</v>
      </c>
      <c r="C551" s="49" t="s">
        <v>3395</v>
      </c>
      <c r="D551" s="48">
        <v>46202</v>
      </c>
      <c r="E551" s="50" t="s">
        <v>3396</v>
      </c>
      <c r="G551" s="49" t="s">
        <v>3397</v>
      </c>
      <c r="H551" s="51">
        <v>77</v>
      </c>
      <c r="I551" s="51" t="s">
        <v>43</v>
      </c>
      <c r="J551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77</v>
      </c>
      <c r="K551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46202</v>
      </c>
      <c r="L551" s="49" t="s">
        <v>25</v>
      </c>
      <c r="M551" s="59" t="s">
        <v>3398</v>
      </c>
      <c r="N551" s="48">
        <v>46198</v>
      </c>
      <c r="O551" s="49" t="s">
        <v>27</v>
      </c>
    </row>
    <row r="552" spans="2:18" s="106" customFormat="1" ht="15" customHeight="1">
      <c r="B552" s="238"/>
      <c r="D552" s="238">
        <v>46192</v>
      </c>
      <c r="E552" s="239">
        <v>933</v>
      </c>
      <c r="G552" s="106" t="s">
        <v>3399</v>
      </c>
      <c r="H552" s="240">
        <v>234</v>
      </c>
      <c r="I552" s="240" t="s">
        <v>43</v>
      </c>
      <c r="J552" s="24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234</v>
      </c>
      <c r="K552" s="24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46192</v>
      </c>
      <c r="L552" s="106" t="s">
        <v>25</v>
      </c>
      <c r="M552" s="243" t="s">
        <v>3400</v>
      </c>
      <c r="N552" s="238">
        <v>46198</v>
      </c>
      <c r="O552" s="106" t="s">
        <v>27</v>
      </c>
    </row>
    <row r="553" spans="2:18" s="49" customFormat="1" ht="15" customHeight="1">
      <c r="B553" s="48"/>
      <c r="D553" s="48">
        <v>46200</v>
      </c>
      <c r="E553" s="50" t="s">
        <v>3401</v>
      </c>
      <c r="G553" s="49" t="s">
        <v>2484</v>
      </c>
      <c r="H553" s="51">
        <v>85.28</v>
      </c>
      <c r="I553" s="51" t="s">
        <v>43</v>
      </c>
      <c r="J55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85.28</v>
      </c>
      <c r="K553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46200</v>
      </c>
      <c r="L553" s="49" t="s">
        <v>25</v>
      </c>
      <c r="M553" s="59" t="s">
        <v>3253</v>
      </c>
      <c r="N553" s="48">
        <v>46198</v>
      </c>
    </row>
    <row r="554" spans="2:18" s="49" customFormat="1" ht="15" customHeight="1">
      <c r="B554" s="48"/>
      <c r="D554" s="48">
        <v>46198</v>
      </c>
      <c r="E554" s="50" t="s">
        <v>3402</v>
      </c>
      <c r="G554" s="49" t="s">
        <v>3403</v>
      </c>
      <c r="H554" s="51">
        <v>435.6</v>
      </c>
      <c r="I554" s="51" t="s">
        <v>43</v>
      </c>
      <c r="J55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435.6</v>
      </c>
      <c r="K554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46198</v>
      </c>
      <c r="L554" s="49" t="s">
        <v>25</v>
      </c>
      <c r="M554" s="59" t="s">
        <v>3404</v>
      </c>
      <c r="N554" s="48">
        <v>46198</v>
      </c>
    </row>
    <row r="555" spans="2:18" s="49" customFormat="1" ht="15" customHeight="1">
      <c r="B555" s="48"/>
      <c r="D555" s="48">
        <v>46202</v>
      </c>
      <c r="E555" s="50" t="s">
        <v>3405</v>
      </c>
      <c r="G555" s="49" t="s">
        <v>2495</v>
      </c>
      <c r="H555" s="51">
        <v>52.76</v>
      </c>
      <c r="I555" s="51" t="s">
        <v>55</v>
      </c>
      <c r="J555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52.76</v>
      </c>
      <c r="K555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555" s="49" t="s">
        <v>25</v>
      </c>
      <c r="M555" s="59" t="s">
        <v>3406</v>
      </c>
      <c r="N555" s="48">
        <v>46205</v>
      </c>
      <c r="O555" s="49" t="s">
        <v>45</v>
      </c>
    </row>
    <row r="556" spans="2:18" s="49" customFormat="1" ht="15" customHeight="1">
      <c r="B556" s="150">
        <v>46087</v>
      </c>
      <c r="C556" s="151"/>
      <c r="D556" s="150"/>
      <c r="E556" s="152"/>
      <c r="F556" s="151"/>
      <c r="G556" s="151" t="s">
        <v>1067</v>
      </c>
      <c r="H556" s="153">
        <v>79.989999999999995</v>
      </c>
      <c r="I556" s="153" t="s">
        <v>43</v>
      </c>
      <c r="J556" s="153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79.989999999999995</v>
      </c>
      <c r="K556" s="154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556" s="151" t="s">
        <v>25</v>
      </c>
      <c r="M556" s="151" t="s">
        <v>3407</v>
      </c>
      <c r="N556" s="150">
        <v>46087</v>
      </c>
      <c r="O556" s="151"/>
      <c r="P556" s="151"/>
      <c r="Q556" s="151"/>
      <c r="R556" s="151"/>
    </row>
    <row r="557" spans="2:18" s="49" customFormat="1" ht="15" customHeight="1">
      <c r="B557" s="48"/>
      <c r="D557" s="48">
        <v>46203</v>
      </c>
      <c r="E557" s="50" t="s">
        <v>3408</v>
      </c>
      <c r="G557" s="59" t="s">
        <v>3409</v>
      </c>
      <c r="H557" s="51">
        <v>491.35</v>
      </c>
      <c r="I557" s="51" t="s">
        <v>43</v>
      </c>
      <c r="J557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491.35</v>
      </c>
      <c r="K557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46203</v>
      </c>
      <c r="L557" s="49" t="s">
        <v>25</v>
      </c>
      <c r="M557" s="59" t="s">
        <v>3410</v>
      </c>
      <c r="N557" s="48">
        <v>46205</v>
      </c>
      <c r="O557" s="49" t="s">
        <v>27</v>
      </c>
    </row>
    <row r="558" spans="2:18" s="190" customFormat="1" ht="15" customHeight="1">
      <c r="B558" s="76">
        <v>46198</v>
      </c>
      <c r="C558" s="63">
        <v>11761</v>
      </c>
      <c r="D558" s="1">
        <v>46212</v>
      </c>
      <c r="E558" s="29">
        <v>112590</v>
      </c>
      <c r="F558" s="63"/>
      <c r="G558" s="63" t="s">
        <v>2680</v>
      </c>
      <c r="H558" s="79">
        <v>280</v>
      </c>
      <c r="I558" s="79" t="s">
        <v>43</v>
      </c>
      <c r="J558" s="99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280</v>
      </c>
      <c r="K558" s="80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46212</v>
      </c>
      <c r="L558" s="63" t="s">
        <v>25</v>
      </c>
      <c r="M558" s="59" t="s">
        <v>3388</v>
      </c>
      <c r="N558" s="76">
        <v>46205</v>
      </c>
      <c r="O558" s="63" t="s">
        <v>27</v>
      </c>
      <c r="P558" s="63"/>
      <c r="Q558" s="63"/>
      <c r="R558" s="63"/>
    </row>
    <row r="559" spans="2:18" s="49" customFormat="1" ht="15" customHeight="1">
      <c r="B559" s="48"/>
      <c r="D559" s="48">
        <v>46203</v>
      </c>
      <c r="E559" s="50">
        <v>2602512</v>
      </c>
      <c r="G559" s="49" t="s">
        <v>2636</v>
      </c>
      <c r="H559" s="51">
        <v>677.6</v>
      </c>
      <c r="I559" s="51" t="s">
        <v>55</v>
      </c>
      <c r="J559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677.6</v>
      </c>
      <c r="K559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559" s="49" t="s">
        <v>25</v>
      </c>
      <c r="M559" s="59" t="s">
        <v>3411</v>
      </c>
      <c r="N559" s="48">
        <v>46205</v>
      </c>
      <c r="O559" s="49" t="s">
        <v>27</v>
      </c>
    </row>
    <row r="560" spans="2:18" s="49" customFormat="1" ht="15" customHeight="1">
      <c r="B560" s="48"/>
      <c r="D560" s="48">
        <v>46203</v>
      </c>
      <c r="E560" s="50" t="s">
        <v>3412</v>
      </c>
      <c r="G560" s="49" t="s">
        <v>2506</v>
      </c>
      <c r="H560" s="51">
        <v>72.599999999999994</v>
      </c>
      <c r="I560" s="51" t="s">
        <v>98</v>
      </c>
      <c r="J560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72.599999999999994</v>
      </c>
      <c r="K560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560" s="59" t="s">
        <v>3413</v>
      </c>
      <c r="N560" s="48"/>
    </row>
    <row r="561" spans="2:15" s="49" customFormat="1" ht="15" customHeight="1">
      <c r="B561" s="48">
        <v>46133</v>
      </c>
      <c r="D561" s="48">
        <v>46135</v>
      </c>
      <c r="E561" s="50" t="s">
        <v>3414</v>
      </c>
      <c r="G561" s="49" t="s">
        <v>1067</v>
      </c>
      <c r="H561" s="51">
        <v>81.790000000000006</v>
      </c>
      <c r="I561" s="51" t="s">
        <v>43</v>
      </c>
      <c r="J56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81.790000000000006</v>
      </c>
      <c r="K561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46135</v>
      </c>
      <c r="L561" s="49" t="s">
        <v>25</v>
      </c>
      <c r="M561" s="59" t="s">
        <v>3415</v>
      </c>
      <c r="N561" s="48">
        <v>46133</v>
      </c>
    </row>
    <row r="562" spans="2:15" s="49" customFormat="1" ht="15" customHeight="1">
      <c r="B562" s="48">
        <v>46150</v>
      </c>
      <c r="D562" s="48">
        <v>46153</v>
      </c>
      <c r="E562" s="50" t="s">
        <v>3416</v>
      </c>
      <c r="G562" s="49" t="s">
        <v>1067</v>
      </c>
      <c r="H562" s="51">
        <v>110.82</v>
      </c>
      <c r="I562" s="51" t="s">
        <v>43</v>
      </c>
      <c r="J562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110.82</v>
      </c>
      <c r="K562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46153</v>
      </c>
      <c r="L562" s="49" t="s">
        <v>25</v>
      </c>
      <c r="M562" s="59" t="s">
        <v>3417</v>
      </c>
      <c r="N562" s="48">
        <v>46150</v>
      </c>
    </row>
    <row r="563" spans="2:15" s="49" customFormat="1" ht="15" customHeight="1">
      <c r="B563" s="48">
        <v>46090</v>
      </c>
      <c r="D563" s="48">
        <v>46090</v>
      </c>
      <c r="E563" s="50" t="s">
        <v>3418</v>
      </c>
      <c r="G563" s="49" t="s">
        <v>1067</v>
      </c>
      <c r="H563" s="51">
        <v>117.28</v>
      </c>
      <c r="I563" s="51" t="s">
        <v>43</v>
      </c>
      <c r="J56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117.28</v>
      </c>
      <c r="K563" s="52">
        <v>46090</v>
      </c>
      <c r="L563" s="49" t="s">
        <v>25</v>
      </c>
      <c r="M563" s="49" t="s">
        <v>3419</v>
      </c>
      <c r="N563" s="48">
        <v>46087</v>
      </c>
    </row>
    <row r="564" spans="2:15" s="49" customFormat="1" ht="15" customHeight="1">
      <c r="B564" s="48">
        <v>46132</v>
      </c>
      <c r="D564" s="48">
        <v>46133</v>
      </c>
      <c r="E564" s="50" t="s">
        <v>3420</v>
      </c>
      <c r="G564" s="49" t="s">
        <v>1067</v>
      </c>
      <c r="H564" s="51">
        <v>120.9</v>
      </c>
      <c r="I564" s="51" t="s">
        <v>43</v>
      </c>
      <c r="J56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120.9</v>
      </c>
      <c r="K564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46133</v>
      </c>
      <c r="L564" s="49" t="s">
        <v>25</v>
      </c>
      <c r="M564" s="59" t="s">
        <v>3421</v>
      </c>
      <c r="N564" s="48">
        <v>46132</v>
      </c>
    </row>
    <row r="565" spans="2:15" s="49" customFormat="1" ht="15" customHeight="1">
      <c r="B565" s="48"/>
      <c r="D565" s="48">
        <v>46204</v>
      </c>
      <c r="E565" s="50" t="s">
        <v>3422</v>
      </c>
      <c r="G565" s="49" t="s">
        <v>2461</v>
      </c>
      <c r="H565" s="51">
        <v>58.9</v>
      </c>
      <c r="I565" s="51" t="s">
        <v>98</v>
      </c>
      <c r="J565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58.9</v>
      </c>
      <c r="K565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565" s="59" t="s">
        <v>2627</v>
      </c>
      <c r="N565" s="48"/>
    </row>
    <row r="566" spans="2:15" s="49" customFormat="1" ht="15" customHeight="1">
      <c r="B566" s="48"/>
      <c r="D566" s="48">
        <v>46204</v>
      </c>
      <c r="E566" s="50" t="s">
        <v>3423</v>
      </c>
      <c r="G566" s="49" t="s">
        <v>2461</v>
      </c>
      <c r="H566" s="51">
        <v>58.72</v>
      </c>
      <c r="I566" s="51" t="s">
        <v>98</v>
      </c>
      <c r="J566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58.72</v>
      </c>
      <c r="K566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566" s="59" t="s">
        <v>2635</v>
      </c>
      <c r="N566" s="48"/>
    </row>
    <row r="567" spans="2:15" s="49" customFormat="1" ht="15" customHeight="1">
      <c r="B567" s="48"/>
      <c r="D567" s="48">
        <v>46204</v>
      </c>
      <c r="E567" s="50" t="s">
        <v>3424</v>
      </c>
      <c r="G567" s="49" t="s">
        <v>2461</v>
      </c>
      <c r="H567" s="51">
        <v>60.97</v>
      </c>
      <c r="I567" s="51" t="s">
        <v>98</v>
      </c>
      <c r="J56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60.97</v>
      </c>
      <c r="K567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567" s="59" t="s">
        <v>2633</v>
      </c>
      <c r="N567" s="48"/>
    </row>
    <row r="568" spans="2:15" s="49" customFormat="1" ht="15" customHeight="1">
      <c r="B568" s="48"/>
      <c r="D568" s="48">
        <v>46204</v>
      </c>
      <c r="E568" s="50" t="s">
        <v>3425</v>
      </c>
      <c r="G568" s="49" t="s">
        <v>2984</v>
      </c>
      <c r="H568" s="51">
        <v>532.4</v>
      </c>
      <c r="I568" s="51" t="s">
        <v>55</v>
      </c>
      <c r="J568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532.4</v>
      </c>
      <c r="K568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568" s="49" t="s">
        <v>25</v>
      </c>
      <c r="M568" s="59" t="s">
        <v>3426</v>
      </c>
      <c r="N568" s="48">
        <v>46205</v>
      </c>
      <c r="O568" s="49" t="s">
        <v>45</v>
      </c>
    </row>
    <row r="569" spans="2:15" s="49" customFormat="1" ht="15" customHeight="1">
      <c r="B569" s="48">
        <v>46204</v>
      </c>
      <c r="C569" s="49" t="s">
        <v>3427</v>
      </c>
      <c r="D569" s="48">
        <v>46216</v>
      </c>
      <c r="E569" s="213" t="s">
        <v>3428</v>
      </c>
      <c r="G569" s="49" t="s">
        <v>3429</v>
      </c>
      <c r="H569" s="51">
        <v>518.26</v>
      </c>
      <c r="I569" s="51" t="s">
        <v>55</v>
      </c>
      <c r="J569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518.26</v>
      </c>
      <c r="K569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569" s="49" t="s">
        <v>25</v>
      </c>
      <c r="M569" s="59" t="s">
        <v>3430</v>
      </c>
      <c r="N569" s="48">
        <v>46205</v>
      </c>
      <c r="O569" s="49" t="s">
        <v>27</v>
      </c>
    </row>
    <row r="570" spans="2:15" s="49" customFormat="1" ht="15" customHeight="1">
      <c r="B570" s="48"/>
      <c r="D570" s="48">
        <v>46204</v>
      </c>
      <c r="E570" s="50">
        <v>548936338</v>
      </c>
      <c r="G570" s="49" t="s">
        <v>2609</v>
      </c>
      <c r="H570" s="51">
        <v>45.4</v>
      </c>
      <c r="I570" s="51" t="s">
        <v>43</v>
      </c>
      <c r="J570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45.4</v>
      </c>
      <c r="K570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46204</v>
      </c>
      <c r="M570" s="82" t="s">
        <v>3431</v>
      </c>
      <c r="N570" s="48"/>
    </row>
    <row r="571" spans="2:15" s="49" customFormat="1" ht="15" customHeight="1">
      <c r="B571" s="48"/>
      <c r="D571" s="48">
        <v>46203</v>
      </c>
      <c r="E571" s="50" t="s">
        <v>3432</v>
      </c>
      <c r="G571" s="49" t="s">
        <v>3355</v>
      </c>
      <c r="H571" s="51">
        <v>4.63</v>
      </c>
      <c r="I571" s="51" t="s">
        <v>43</v>
      </c>
      <c r="J57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4.63</v>
      </c>
      <c r="K571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46203</v>
      </c>
      <c r="L571" s="49" t="s">
        <v>25</v>
      </c>
      <c r="M571" s="59" t="s">
        <v>3433</v>
      </c>
      <c r="N571" s="48">
        <v>46203</v>
      </c>
    </row>
    <row r="572" spans="2:15" s="49" customFormat="1" ht="15" customHeight="1">
      <c r="B572" s="48"/>
      <c r="D572" s="48">
        <v>46147</v>
      </c>
      <c r="E572" s="50">
        <v>742</v>
      </c>
      <c r="G572" s="49" t="s">
        <v>2475</v>
      </c>
      <c r="H572" s="51">
        <v>121</v>
      </c>
      <c r="I572" s="51" t="s">
        <v>43</v>
      </c>
      <c r="J572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121</v>
      </c>
      <c r="K572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46147</v>
      </c>
      <c r="L572" s="49" t="s">
        <v>25</v>
      </c>
      <c r="M572" s="59" t="s">
        <v>3434</v>
      </c>
      <c r="N572" s="48">
        <v>46205</v>
      </c>
      <c r="O572" s="49" t="s">
        <v>94</v>
      </c>
    </row>
    <row r="573" spans="2:15" s="49" customFormat="1" ht="15" customHeight="1">
      <c r="B573" s="48"/>
      <c r="D573" s="48">
        <v>46204</v>
      </c>
      <c r="E573" s="50" t="s">
        <v>3435</v>
      </c>
      <c r="G573" s="49" t="s">
        <v>3436</v>
      </c>
      <c r="H573" s="51">
        <v>23.08</v>
      </c>
      <c r="I573" s="51" t="s">
        <v>98</v>
      </c>
      <c r="J57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23.08</v>
      </c>
      <c r="K573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573" s="59" t="s">
        <v>3437</v>
      </c>
      <c r="N573" s="48"/>
    </row>
    <row r="574" spans="2:15" s="49" customFormat="1" ht="15" customHeight="1">
      <c r="B574" s="48"/>
      <c r="D574" s="48">
        <v>46204</v>
      </c>
      <c r="E574" s="50" t="s">
        <v>3438</v>
      </c>
      <c r="G574" s="49" t="s">
        <v>2484</v>
      </c>
      <c r="H574" s="51">
        <v>112.34</v>
      </c>
      <c r="I574" s="51" t="s">
        <v>43</v>
      </c>
      <c r="J57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112.34</v>
      </c>
      <c r="K574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46204</v>
      </c>
      <c r="L574" s="49" t="s">
        <v>25</v>
      </c>
      <c r="M574" s="59" t="s">
        <v>2559</v>
      </c>
      <c r="N574" s="48">
        <v>46198</v>
      </c>
    </row>
    <row r="575" spans="2:15" s="49" customFormat="1" ht="15" customHeight="1">
      <c r="B575" s="48"/>
      <c r="D575" s="48">
        <v>46205</v>
      </c>
      <c r="E575" s="50">
        <v>57321</v>
      </c>
      <c r="G575" s="49" t="s">
        <v>2554</v>
      </c>
      <c r="H575" s="51">
        <v>128.5</v>
      </c>
      <c r="I575" s="51" t="s">
        <v>43</v>
      </c>
      <c r="J575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128.5</v>
      </c>
      <c r="K575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46205</v>
      </c>
      <c r="L575" s="49" t="s">
        <v>25</v>
      </c>
      <c r="M575" s="59" t="s">
        <v>3439</v>
      </c>
      <c r="N575" s="48">
        <v>46212</v>
      </c>
      <c r="O575" s="49" t="s">
        <v>27</v>
      </c>
    </row>
    <row r="576" spans="2:15" s="49" customFormat="1" ht="15" customHeight="1">
      <c r="B576" s="48"/>
      <c r="D576" s="48">
        <v>46205</v>
      </c>
      <c r="E576" s="50" t="s">
        <v>3440</v>
      </c>
      <c r="G576" s="49" t="s">
        <v>2491</v>
      </c>
      <c r="H576" s="51">
        <v>231</v>
      </c>
      <c r="I576" s="51" t="s">
        <v>43</v>
      </c>
      <c r="J576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231</v>
      </c>
      <c r="K576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46205</v>
      </c>
      <c r="L576" s="49" t="s">
        <v>25</v>
      </c>
      <c r="M576" s="59" t="s">
        <v>2492</v>
      </c>
      <c r="N576" s="48">
        <v>46205</v>
      </c>
      <c r="O576" s="49" t="s">
        <v>27</v>
      </c>
    </row>
    <row r="577" spans="2:15" s="49" customFormat="1" ht="15" customHeight="1">
      <c r="B577" s="48"/>
      <c r="D577" s="48">
        <v>46203</v>
      </c>
      <c r="E577" s="50" t="s">
        <v>3441</v>
      </c>
      <c r="G577" s="49" t="s">
        <v>2795</v>
      </c>
      <c r="H577" s="51">
        <v>20</v>
      </c>
      <c r="I577" s="51" t="s">
        <v>43</v>
      </c>
      <c r="J57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20</v>
      </c>
      <c r="K577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46203</v>
      </c>
      <c r="L577" s="49" t="s">
        <v>25</v>
      </c>
      <c r="M577" s="59" t="s">
        <v>2796</v>
      </c>
      <c r="N577" s="48">
        <v>46203</v>
      </c>
    </row>
    <row r="578" spans="2:15" s="49" customFormat="1" ht="15" customHeight="1">
      <c r="B578" s="48"/>
      <c r="D578" s="48">
        <v>46204</v>
      </c>
      <c r="E578" s="50">
        <v>2600127</v>
      </c>
      <c r="G578" s="49" t="s">
        <v>2585</v>
      </c>
      <c r="H578" s="51">
        <v>8.5</v>
      </c>
      <c r="I578" s="51" t="s">
        <v>43</v>
      </c>
      <c r="J57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8.5</v>
      </c>
      <c r="K578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46204</v>
      </c>
      <c r="L578" s="49" t="s">
        <v>25</v>
      </c>
      <c r="M578" s="59" t="s">
        <v>3442</v>
      </c>
      <c r="N578" s="48">
        <v>46204</v>
      </c>
    </row>
    <row r="579" spans="2:15" s="49" customFormat="1" ht="15" customHeight="1">
      <c r="B579" s="48"/>
      <c r="D579" s="48">
        <v>46205</v>
      </c>
      <c r="E579" s="50" t="s">
        <v>3443</v>
      </c>
      <c r="G579" s="49" t="s">
        <v>2612</v>
      </c>
      <c r="H579" s="51">
        <v>500</v>
      </c>
      <c r="I579" s="51" t="s">
        <v>43</v>
      </c>
      <c r="J579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500</v>
      </c>
      <c r="K579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46205</v>
      </c>
      <c r="L579" s="49" t="s">
        <v>25</v>
      </c>
      <c r="M579" s="59" t="s">
        <v>3444</v>
      </c>
      <c r="N579" s="48">
        <v>46205</v>
      </c>
      <c r="O579" s="49" t="s">
        <v>27</v>
      </c>
    </row>
    <row r="580" spans="2:15" s="49" customFormat="1" ht="15" customHeight="1">
      <c r="B580" s="48">
        <v>46153</v>
      </c>
      <c r="D580" s="48">
        <v>46153</v>
      </c>
      <c r="E580" s="50" t="s">
        <v>3445</v>
      </c>
      <c r="G580" s="49" t="s">
        <v>1067</v>
      </c>
      <c r="H580" s="51">
        <v>132.93</v>
      </c>
      <c r="I580" s="51" t="s">
        <v>43</v>
      </c>
      <c r="J580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132.93</v>
      </c>
      <c r="K580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46153</v>
      </c>
      <c r="L580" s="49" t="s">
        <v>25</v>
      </c>
      <c r="M580" s="59" t="s">
        <v>2952</v>
      </c>
      <c r="N580" s="48">
        <v>46153</v>
      </c>
    </row>
    <row r="581" spans="2:15" s="49" customFormat="1" ht="15" customHeight="1">
      <c r="B581" s="48">
        <v>46157</v>
      </c>
      <c r="D581" s="48"/>
      <c r="E581" s="50"/>
      <c r="G581" s="49" t="s">
        <v>1067</v>
      </c>
      <c r="H581" s="51">
        <v>154.9</v>
      </c>
      <c r="I581" s="51" t="s">
        <v>43</v>
      </c>
      <c r="J58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154.9</v>
      </c>
      <c r="K581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581" s="49" t="s">
        <v>25</v>
      </c>
      <c r="M581" s="59" t="s">
        <v>3446</v>
      </c>
      <c r="N581" s="48">
        <v>46157</v>
      </c>
    </row>
    <row r="582" spans="2:15" s="49" customFormat="1" ht="15" customHeight="1">
      <c r="B582" s="48"/>
      <c r="D582" s="48">
        <v>46204</v>
      </c>
      <c r="E582" s="50" t="s">
        <v>3447</v>
      </c>
      <c r="G582" s="49" t="s">
        <v>2551</v>
      </c>
      <c r="H582" s="51">
        <v>2.9</v>
      </c>
      <c r="I582" s="51" t="s">
        <v>55</v>
      </c>
      <c r="J582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2.9</v>
      </c>
      <c r="K582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582" s="49" t="s">
        <v>25</v>
      </c>
      <c r="M582" s="59" t="s">
        <v>3448</v>
      </c>
      <c r="N582" s="48">
        <v>46204</v>
      </c>
    </row>
    <row r="583" spans="2:15" s="49" customFormat="1" ht="15" customHeight="1">
      <c r="B583" s="48"/>
      <c r="D583" s="48">
        <v>46204</v>
      </c>
      <c r="E583" s="50" t="s">
        <v>3449</v>
      </c>
      <c r="G583" s="49" t="s">
        <v>2551</v>
      </c>
      <c r="H583" s="51">
        <v>21.78</v>
      </c>
      <c r="I583" s="51" t="s">
        <v>55</v>
      </c>
      <c r="J58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21.78</v>
      </c>
      <c r="K583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583" s="49" t="s">
        <v>25</v>
      </c>
      <c r="M583" s="59" t="s">
        <v>3061</v>
      </c>
      <c r="N583" s="48">
        <v>46204</v>
      </c>
    </row>
    <row r="584" spans="2:15" s="49" customFormat="1" ht="15" customHeight="1">
      <c r="B584" s="48"/>
      <c r="D584" s="48">
        <v>46204</v>
      </c>
      <c r="E584" s="50" t="s">
        <v>3450</v>
      </c>
      <c r="G584" s="49" t="s">
        <v>3451</v>
      </c>
      <c r="H584" s="51">
        <v>50</v>
      </c>
      <c r="I584" s="51" t="s">
        <v>55</v>
      </c>
      <c r="J58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50</v>
      </c>
      <c r="K584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584" s="49" t="s">
        <v>25</v>
      </c>
      <c r="M584" s="59" t="s">
        <v>2796</v>
      </c>
      <c r="N584" s="48">
        <v>46204</v>
      </c>
    </row>
    <row r="585" spans="2:15" s="49" customFormat="1" ht="15" customHeight="1">
      <c r="B585" s="48">
        <v>46147</v>
      </c>
      <c r="D585" s="48"/>
      <c r="E585" s="50"/>
      <c r="G585" s="49" t="s">
        <v>1067</v>
      </c>
      <c r="H585" s="51">
        <v>173.84</v>
      </c>
      <c r="I585" s="51" t="s">
        <v>43</v>
      </c>
      <c r="J585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173.84</v>
      </c>
      <c r="K585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585" s="49" t="s">
        <v>25</v>
      </c>
      <c r="M585" s="59" t="s">
        <v>3452</v>
      </c>
      <c r="N585" s="48">
        <v>46147</v>
      </c>
    </row>
    <row r="586" spans="2:15" s="49" customFormat="1" ht="15" customHeight="1">
      <c r="B586" s="48">
        <v>46133</v>
      </c>
      <c r="D586" s="48">
        <v>46135</v>
      </c>
      <c r="E586" s="50" t="s">
        <v>3453</v>
      </c>
      <c r="G586" s="49" t="s">
        <v>1067</v>
      </c>
      <c r="H586" s="51">
        <v>193.08</v>
      </c>
      <c r="I586" s="51" t="s">
        <v>43</v>
      </c>
      <c r="J586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193.08</v>
      </c>
      <c r="K586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46135</v>
      </c>
      <c r="L586" s="49" t="s">
        <v>25</v>
      </c>
      <c r="M586" s="59" t="s">
        <v>3454</v>
      </c>
      <c r="N586" s="48">
        <v>46133</v>
      </c>
    </row>
    <row r="587" spans="2:15" s="49" customFormat="1" ht="15" customHeight="1">
      <c r="B587" s="48"/>
      <c r="D587" s="48">
        <v>46203</v>
      </c>
      <c r="E587" s="50" t="s">
        <v>3455</v>
      </c>
      <c r="G587" s="49" t="s">
        <v>3456</v>
      </c>
      <c r="H587" s="51">
        <v>220.22</v>
      </c>
      <c r="I587" s="51" t="s">
        <v>55</v>
      </c>
      <c r="J587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220.22</v>
      </c>
      <c r="K587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587" s="49" t="s">
        <v>25</v>
      </c>
      <c r="M587" s="59" t="s">
        <v>3457</v>
      </c>
      <c r="N587" s="48">
        <v>46212</v>
      </c>
      <c r="O587" s="49" t="s">
        <v>45</v>
      </c>
    </row>
    <row r="588" spans="2:15" s="49" customFormat="1" ht="15" customHeight="1">
      <c r="B588" s="48">
        <v>46205</v>
      </c>
      <c r="D588" s="48">
        <v>46210</v>
      </c>
      <c r="E588" s="50" t="s">
        <v>3458</v>
      </c>
      <c r="G588" s="49" t="s">
        <v>2765</v>
      </c>
      <c r="H588" s="51">
        <v>66.5</v>
      </c>
      <c r="I588" s="51" t="s">
        <v>43</v>
      </c>
      <c r="J58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66.5</v>
      </c>
      <c r="K588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46210</v>
      </c>
      <c r="L588" s="49" t="s">
        <v>25</v>
      </c>
      <c r="M588" s="59" t="s">
        <v>3459</v>
      </c>
      <c r="N588" s="48">
        <v>46205</v>
      </c>
    </row>
    <row r="589" spans="2:15" s="49" customFormat="1" ht="15" customHeight="1">
      <c r="B589" s="48">
        <v>46157</v>
      </c>
      <c r="D589" s="48">
        <v>46157</v>
      </c>
      <c r="E589" s="50" t="s">
        <v>3460</v>
      </c>
      <c r="G589" s="49" t="s">
        <v>1067</v>
      </c>
      <c r="H589" s="51">
        <v>218.74</v>
      </c>
      <c r="I589" s="51" t="s">
        <v>43</v>
      </c>
      <c r="J589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218.74</v>
      </c>
      <c r="K589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46157</v>
      </c>
      <c r="L589" s="49" t="s">
        <v>25</v>
      </c>
      <c r="M589" s="59" t="s">
        <v>3461</v>
      </c>
      <c r="N589" s="48">
        <v>46157</v>
      </c>
    </row>
    <row r="590" spans="2:15" s="49" customFormat="1" ht="15" customHeight="1">
      <c r="B590" s="48">
        <v>46121</v>
      </c>
      <c r="D590" s="48">
        <v>46121</v>
      </c>
      <c r="E590" s="50" t="s">
        <v>3462</v>
      </c>
      <c r="G590" s="49" t="s">
        <v>1067</v>
      </c>
      <c r="H590" s="51">
        <v>228.01</v>
      </c>
      <c r="I590" s="51" t="s">
        <v>43</v>
      </c>
      <c r="J590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228.01</v>
      </c>
      <c r="K590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46121</v>
      </c>
      <c r="L590" s="49" t="s">
        <v>25</v>
      </c>
      <c r="M590" s="49" t="s">
        <v>3463</v>
      </c>
      <c r="N590" s="48">
        <v>46121</v>
      </c>
    </row>
    <row r="591" spans="2:15" s="49" customFormat="1" ht="15" customHeight="1">
      <c r="B591" s="48">
        <v>46094</v>
      </c>
      <c r="D591" s="48">
        <v>46095</v>
      </c>
      <c r="E591" s="50" t="s">
        <v>3464</v>
      </c>
      <c r="G591" s="49" t="s">
        <v>1067</v>
      </c>
      <c r="H591" s="51">
        <v>237.92</v>
      </c>
      <c r="I591" s="51" t="s">
        <v>43</v>
      </c>
      <c r="J59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237.92</v>
      </c>
      <c r="K591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46095</v>
      </c>
      <c r="L591" s="49" t="s">
        <v>25</v>
      </c>
      <c r="M591" s="49" t="s">
        <v>3465</v>
      </c>
      <c r="N591" s="48">
        <v>46094</v>
      </c>
    </row>
    <row r="592" spans="2:15" s="49" customFormat="1" ht="15" customHeight="1">
      <c r="B592" s="48">
        <v>46125</v>
      </c>
      <c r="D592" s="48">
        <v>46126</v>
      </c>
      <c r="E592" s="50" t="s">
        <v>3466</v>
      </c>
      <c r="G592" s="49" t="s">
        <v>1067</v>
      </c>
      <c r="H592" s="51">
        <v>339.51</v>
      </c>
      <c r="I592" s="51" t="s">
        <v>43</v>
      </c>
      <c r="J592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339.51</v>
      </c>
      <c r="K592" s="52">
        <v>46125</v>
      </c>
      <c r="L592" s="49" t="s">
        <v>25</v>
      </c>
      <c r="M592" s="49" t="s">
        <v>3467</v>
      </c>
      <c r="N592" s="48">
        <v>46094</v>
      </c>
    </row>
    <row r="593" spans="2:15" s="49" customFormat="1" ht="15" customHeight="1">
      <c r="B593" s="48">
        <v>46140</v>
      </c>
      <c r="D593" s="48">
        <v>46141</v>
      </c>
      <c r="E593" s="50" t="s">
        <v>3468</v>
      </c>
      <c r="G593" s="49" t="s">
        <v>1067</v>
      </c>
      <c r="H593" s="51">
        <v>465.62</v>
      </c>
      <c r="I593" s="51" t="s">
        <v>43</v>
      </c>
      <c r="J59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465.62</v>
      </c>
      <c r="K593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46141</v>
      </c>
      <c r="L593" s="49" t="s">
        <v>25</v>
      </c>
      <c r="M593" s="59" t="s">
        <v>3469</v>
      </c>
      <c r="N593" s="48">
        <v>46140</v>
      </c>
    </row>
    <row r="594" spans="2:15" s="49" customFormat="1" ht="15" customHeight="1">
      <c r="B594" s="48"/>
      <c r="D594" s="48">
        <v>46209</v>
      </c>
      <c r="E594" s="50" t="s">
        <v>3470</v>
      </c>
      <c r="G594" s="49" t="s">
        <v>3471</v>
      </c>
      <c r="H594" s="51">
        <v>60.5</v>
      </c>
      <c r="I594" s="51" t="s">
        <v>43</v>
      </c>
      <c r="J59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60.5</v>
      </c>
      <c r="K594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46209</v>
      </c>
      <c r="L594" s="49" t="s">
        <v>25</v>
      </c>
      <c r="M594" s="59" t="s">
        <v>3472</v>
      </c>
      <c r="N594" s="48">
        <v>46209</v>
      </c>
    </row>
    <row r="595" spans="2:15" s="49" customFormat="1" ht="15" customHeight="1">
      <c r="B595" s="48">
        <v>46141</v>
      </c>
      <c r="D595" s="48">
        <v>46142</v>
      </c>
      <c r="E595" s="50" t="s">
        <v>3473</v>
      </c>
      <c r="G595" s="49" t="s">
        <v>1067</v>
      </c>
      <c r="H595" s="51">
        <v>760.86</v>
      </c>
      <c r="I595" s="51" t="s">
        <v>43</v>
      </c>
      <c r="J595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760.86</v>
      </c>
      <c r="K595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46142</v>
      </c>
      <c r="L595" s="49" t="s">
        <v>25</v>
      </c>
      <c r="M595" s="59" t="s">
        <v>3474</v>
      </c>
      <c r="N595" s="48">
        <v>46141</v>
      </c>
    </row>
    <row r="596" spans="2:15" s="49" customFormat="1" ht="15" customHeight="1">
      <c r="B596" s="48"/>
      <c r="D596" s="48">
        <v>46210</v>
      </c>
      <c r="E596" s="50" t="s">
        <v>3475</v>
      </c>
      <c r="G596" s="49" t="s">
        <v>2484</v>
      </c>
      <c r="H596" s="51">
        <v>87.51</v>
      </c>
      <c r="I596" s="51" t="s">
        <v>43</v>
      </c>
      <c r="J596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87.51</v>
      </c>
      <c r="K596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46210</v>
      </c>
      <c r="L596" s="49" t="s">
        <v>25</v>
      </c>
      <c r="M596" s="59" t="s">
        <v>3253</v>
      </c>
      <c r="N596" s="48">
        <v>46205</v>
      </c>
    </row>
    <row r="597" spans="2:15" s="49" customFormat="1" ht="15" customHeight="1">
      <c r="B597" s="48"/>
      <c r="D597" s="48">
        <v>46206</v>
      </c>
      <c r="E597" s="50" t="s">
        <v>3476</v>
      </c>
      <c r="G597" s="49" t="s">
        <v>2612</v>
      </c>
      <c r="H597" s="51">
        <v>4832</v>
      </c>
      <c r="I597" s="51" t="s">
        <v>43</v>
      </c>
      <c r="J597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4832</v>
      </c>
      <c r="K597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46206</v>
      </c>
      <c r="L597" s="49" t="s">
        <v>25</v>
      </c>
      <c r="M597" s="59" t="s">
        <v>3477</v>
      </c>
      <c r="N597" s="48">
        <v>46212</v>
      </c>
      <c r="O597" s="49" t="s">
        <v>27</v>
      </c>
    </row>
    <row r="598" spans="2:15" s="49" customFormat="1" ht="15" customHeight="1">
      <c r="B598" s="48"/>
      <c r="D598" s="48">
        <v>46209</v>
      </c>
      <c r="E598" s="50" t="s">
        <v>3478</v>
      </c>
      <c r="G598" s="49" t="s">
        <v>2506</v>
      </c>
      <c r="H598" s="51">
        <v>22.25</v>
      </c>
      <c r="I598" s="51" t="s">
        <v>98</v>
      </c>
      <c r="J59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22.25</v>
      </c>
      <c r="K598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598" s="59" t="s">
        <v>3479</v>
      </c>
      <c r="N598" s="48"/>
    </row>
    <row r="599" spans="2:15" s="49" customFormat="1" ht="15" customHeight="1">
      <c r="B599" s="48"/>
      <c r="D599" s="48">
        <v>46207</v>
      </c>
      <c r="E599" s="50" t="s">
        <v>3480</v>
      </c>
      <c r="G599" s="49" t="s">
        <v>2484</v>
      </c>
      <c r="H599" s="51">
        <v>84.38</v>
      </c>
      <c r="I599" s="51" t="s">
        <v>43</v>
      </c>
      <c r="J599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84.38</v>
      </c>
      <c r="K599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46207</v>
      </c>
      <c r="L599" s="49" t="s">
        <v>25</v>
      </c>
      <c r="M599" s="59" t="s">
        <v>3253</v>
      </c>
      <c r="N599" s="48">
        <v>46205</v>
      </c>
    </row>
    <row r="600" spans="2:15" s="49" customFormat="1" ht="15" customHeight="1">
      <c r="B600" s="48"/>
      <c r="D600" s="48">
        <v>46189</v>
      </c>
      <c r="E600" s="50" t="s">
        <v>3481</v>
      </c>
      <c r="G600" s="49" t="s">
        <v>2592</v>
      </c>
      <c r="H600" s="51">
        <v>77.099999999999994</v>
      </c>
      <c r="I600" s="51" t="s">
        <v>55</v>
      </c>
      <c r="J600" s="62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77.099999999999994</v>
      </c>
      <c r="K600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600" s="49" t="s">
        <v>25</v>
      </c>
      <c r="M600" s="59" t="s">
        <v>3482</v>
      </c>
      <c r="N600" s="48">
        <v>46212</v>
      </c>
      <c r="O600" s="49" t="s">
        <v>27</v>
      </c>
    </row>
    <row r="601" spans="2:15" s="49" customFormat="1" ht="15" customHeight="1">
      <c r="B601" s="48"/>
      <c r="D601" s="48">
        <v>46211</v>
      </c>
      <c r="E601" s="50" t="s">
        <v>3483</v>
      </c>
      <c r="G601" s="49" t="s">
        <v>2551</v>
      </c>
      <c r="H601" s="51">
        <v>21.85</v>
      </c>
      <c r="I601" s="51" t="s">
        <v>55</v>
      </c>
      <c r="J60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21.85</v>
      </c>
      <c r="K601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601" s="49" t="s">
        <v>25</v>
      </c>
      <c r="M601" s="59" t="s">
        <v>3484</v>
      </c>
      <c r="N601" s="48">
        <v>46211</v>
      </c>
    </row>
    <row r="602" spans="2:15" s="49" customFormat="1" ht="15" customHeight="1">
      <c r="B602" s="48"/>
      <c r="D602" s="48">
        <v>46198</v>
      </c>
      <c r="E602" s="50" t="s">
        <v>3485</v>
      </c>
      <c r="G602" s="49" t="s">
        <v>2790</v>
      </c>
      <c r="H602" s="51">
        <v>90.75</v>
      </c>
      <c r="I602" s="51" t="s">
        <v>98</v>
      </c>
      <c r="J602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90.75</v>
      </c>
      <c r="K602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602" s="59" t="s">
        <v>2791</v>
      </c>
      <c r="N602" s="48"/>
    </row>
    <row r="603" spans="2:15" s="49" customFormat="1" ht="15" customHeight="1">
      <c r="B603" s="48"/>
      <c r="D603" s="48">
        <v>46203</v>
      </c>
      <c r="E603" s="50" t="s">
        <v>3486</v>
      </c>
      <c r="G603" s="49" t="s">
        <v>2532</v>
      </c>
      <c r="H603" s="51">
        <v>287.01</v>
      </c>
      <c r="I603" s="51" t="s">
        <v>98</v>
      </c>
      <c r="J60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287.01</v>
      </c>
      <c r="K603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603" s="59" t="s">
        <v>2642</v>
      </c>
      <c r="N603" s="48"/>
    </row>
    <row r="604" spans="2:15" s="49" customFormat="1" ht="15" customHeight="1">
      <c r="B604" s="48"/>
      <c r="D604" s="48">
        <v>46211</v>
      </c>
      <c r="E604" s="50" t="s">
        <v>3487</v>
      </c>
      <c r="G604" s="49" t="s">
        <v>2769</v>
      </c>
      <c r="H604" s="51">
        <v>67.95</v>
      </c>
      <c r="I604" s="51" t="s">
        <v>98</v>
      </c>
      <c r="J60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67.95</v>
      </c>
      <c r="K604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604" s="59" t="s">
        <v>3488</v>
      </c>
      <c r="N604" s="48"/>
    </row>
    <row r="605" spans="2:15" s="49" customFormat="1" ht="15" customHeight="1">
      <c r="B605" s="48"/>
      <c r="D605" s="48">
        <v>46212</v>
      </c>
      <c r="E605" s="50" t="s">
        <v>3489</v>
      </c>
      <c r="G605" s="49" t="s">
        <v>3490</v>
      </c>
      <c r="H605" s="51">
        <v>65.989999999999995</v>
      </c>
      <c r="I605" s="51" t="s">
        <v>43</v>
      </c>
      <c r="J605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65.989999999999995</v>
      </c>
      <c r="K605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46212</v>
      </c>
      <c r="L605" s="49" t="s">
        <v>25</v>
      </c>
      <c r="M605" s="59" t="s">
        <v>3491</v>
      </c>
      <c r="N605" s="48">
        <v>46212</v>
      </c>
      <c r="O605" s="49" t="s">
        <v>27</v>
      </c>
    </row>
    <row r="606" spans="2:15" s="49" customFormat="1" ht="15" customHeight="1">
      <c r="B606" s="48"/>
      <c r="D606" s="48">
        <v>46203</v>
      </c>
      <c r="E606" s="50" t="s">
        <v>3492</v>
      </c>
      <c r="G606" s="49" t="s">
        <v>2477</v>
      </c>
      <c r="H606" s="51">
        <v>100.71</v>
      </c>
      <c r="I606" s="51" t="s">
        <v>43</v>
      </c>
      <c r="J606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100.71</v>
      </c>
      <c r="K606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46203</v>
      </c>
      <c r="M606" s="59" t="s">
        <v>2993</v>
      </c>
      <c r="N606" s="48">
        <v>46219</v>
      </c>
      <c r="O606" s="49" t="s">
        <v>27</v>
      </c>
    </row>
    <row r="607" spans="2:15" s="49" customFormat="1" ht="15" customHeight="1">
      <c r="B607" s="48"/>
      <c r="D607" s="48">
        <v>46207</v>
      </c>
      <c r="E607" s="50" t="s">
        <v>3493</v>
      </c>
      <c r="G607" s="49" t="s">
        <v>2477</v>
      </c>
      <c r="H607" s="51">
        <v>90.3</v>
      </c>
      <c r="I607" s="51" t="s">
        <v>43</v>
      </c>
      <c r="J60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90.3</v>
      </c>
      <c r="K607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46207</v>
      </c>
      <c r="M607" s="59" t="s">
        <v>3494</v>
      </c>
      <c r="N607" s="48">
        <v>46219</v>
      </c>
      <c r="O607" s="49" t="s">
        <v>27</v>
      </c>
    </row>
    <row r="608" spans="2:15" s="49" customFormat="1" ht="15" customHeight="1">
      <c r="B608" s="48"/>
      <c r="D608" s="48">
        <v>46213</v>
      </c>
      <c r="E608" s="50" t="s">
        <v>3495</v>
      </c>
      <c r="G608" s="49" t="s">
        <v>3355</v>
      </c>
      <c r="H608" s="51">
        <v>27.03</v>
      </c>
      <c r="I608" s="51" t="s">
        <v>43</v>
      </c>
      <c r="J60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27.03</v>
      </c>
      <c r="K608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46213</v>
      </c>
      <c r="L608" s="49" t="s">
        <v>25</v>
      </c>
      <c r="M608" s="59" t="s">
        <v>3496</v>
      </c>
      <c r="N608" s="48">
        <v>46213</v>
      </c>
    </row>
    <row r="609" spans="2:17" s="49" customFormat="1" ht="15" customHeight="1">
      <c r="B609" s="48">
        <v>46212</v>
      </c>
      <c r="C609" s="49" t="s">
        <v>453</v>
      </c>
      <c r="D609" s="48"/>
      <c r="E609" s="50"/>
      <c r="G609" s="49" t="s">
        <v>2765</v>
      </c>
      <c r="H609" s="51">
        <v>196.75</v>
      </c>
      <c r="I609" s="51" t="s">
        <v>43</v>
      </c>
      <c r="J609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196.75</v>
      </c>
      <c r="K609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609" s="49" t="s">
        <v>25</v>
      </c>
      <c r="M609" s="59" t="s">
        <v>3459</v>
      </c>
      <c r="N609" s="48">
        <v>46212</v>
      </c>
    </row>
    <row r="610" spans="2:17" s="49" customFormat="1" ht="15" customHeight="1">
      <c r="B610" s="48"/>
      <c r="D610" s="48">
        <v>46213</v>
      </c>
      <c r="E610" s="50" t="s">
        <v>3497</v>
      </c>
      <c r="G610" s="49" t="s">
        <v>2506</v>
      </c>
      <c r="H610" s="51">
        <v>73.69</v>
      </c>
      <c r="I610" s="51" t="s">
        <v>98</v>
      </c>
      <c r="J610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73.69</v>
      </c>
      <c r="K610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610" s="59" t="s">
        <v>3498</v>
      </c>
      <c r="N610" s="48"/>
    </row>
    <row r="611" spans="2:17" s="49" customFormat="1" ht="15" customHeight="1">
      <c r="B611" s="48"/>
      <c r="D611" s="48">
        <v>46212</v>
      </c>
      <c r="E611" s="50">
        <v>202600138</v>
      </c>
      <c r="G611" s="49" t="s">
        <v>2489</v>
      </c>
      <c r="H611" s="51">
        <v>892.5</v>
      </c>
      <c r="I611" s="51" t="s">
        <v>98</v>
      </c>
      <c r="J61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892.5</v>
      </c>
      <c r="K611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611" s="59" t="s">
        <v>3364</v>
      </c>
      <c r="N611" s="48"/>
    </row>
    <row r="612" spans="2:17" s="49" customFormat="1" ht="15" customHeight="1">
      <c r="B612" s="48"/>
      <c r="D612" s="48">
        <v>46213</v>
      </c>
      <c r="E612" s="50" t="s">
        <v>3499</v>
      </c>
      <c r="G612" s="49" t="s">
        <v>2551</v>
      </c>
      <c r="H612" s="51">
        <v>27.35</v>
      </c>
      <c r="I612" s="51" t="s">
        <v>55</v>
      </c>
      <c r="J612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27.35</v>
      </c>
      <c r="K612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L612" s="49" t="s">
        <v>25</v>
      </c>
      <c r="M612" s="59" t="s">
        <v>3500</v>
      </c>
      <c r="N612" s="48">
        <v>46213</v>
      </c>
    </row>
    <row r="613" spans="2:17" s="49" customFormat="1" ht="15" customHeight="1">
      <c r="B613" s="48"/>
      <c r="D613" s="48">
        <v>46213</v>
      </c>
      <c r="E613" s="50" t="s">
        <v>3501</v>
      </c>
      <c r="G613" s="49" t="s">
        <v>3355</v>
      </c>
      <c r="H613" s="51">
        <v>6.7</v>
      </c>
      <c r="I613" s="51" t="s">
        <v>43</v>
      </c>
      <c r="J61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6.7</v>
      </c>
      <c r="K613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46213</v>
      </c>
      <c r="L613" s="49" t="s">
        <v>25</v>
      </c>
      <c r="M613" s="59" t="s">
        <v>3502</v>
      </c>
      <c r="N613" s="48">
        <v>46213</v>
      </c>
    </row>
    <row r="614" spans="2:17" s="49" customFormat="1" ht="15" customHeight="1">
      <c r="B614" s="48"/>
      <c r="D614" s="48">
        <v>46212</v>
      </c>
      <c r="E614" s="50">
        <v>112590</v>
      </c>
      <c r="G614" s="49" t="s">
        <v>2680</v>
      </c>
      <c r="H614" s="51">
        <v>280</v>
      </c>
      <c r="I614" s="51" t="s">
        <v>43</v>
      </c>
      <c r="J61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280</v>
      </c>
      <c r="K614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46212</v>
      </c>
      <c r="M614" s="59" t="s">
        <v>3388</v>
      </c>
      <c r="N614" s="48">
        <v>46219</v>
      </c>
      <c r="O614" s="49" t="s">
        <v>27</v>
      </c>
    </row>
    <row r="615" spans="2:17" s="49" customFormat="1" ht="15" customHeight="1">
      <c r="B615" s="48">
        <v>46212</v>
      </c>
      <c r="C615" s="49" t="s">
        <v>3503</v>
      </c>
      <c r="D615" s="48"/>
      <c r="E615" s="50"/>
      <c r="G615" s="49" t="s">
        <v>2814</v>
      </c>
      <c r="H615" s="51">
        <v>223.8</v>
      </c>
      <c r="I615" s="51" t="s">
        <v>55</v>
      </c>
      <c r="J615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223.8</v>
      </c>
      <c r="K615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615" s="59" t="s">
        <v>3504</v>
      </c>
      <c r="N615" s="48">
        <v>46219</v>
      </c>
    </row>
    <row r="616" spans="2:17" s="49" customFormat="1" ht="15" customHeight="1">
      <c r="B616" s="48"/>
      <c r="D616" s="48">
        <v>46203</v>
      </c>
      <c r="E616" s="50" t="s">
        <v>3505</v>
      </c>
      <c r="G616" s="49" t="s">
        <v>2469</v>
      </c>
      <c r="H616" s="51">
        <v>105.27</v>
      </c>
      <c r="I616" s="51" t="s">
        <v>98</v>
      </c>
      <c r="J616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105.27</v>
      </c>
      <c r="K616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616" s="59"/>
      <c r="N616" s="48"/>
    </row>
    <row r="617" spans="2:17" s="49" customFormat="1" ht="15" customHeight="1">
      <c r="B617" s="48"/>
      <c r="D617" s="48">
        <v>46204</v>
      </c>
      <c r="E617" s="50" t="s">
        <v>3506</v>
      </c>
      <c r="G617" s="49" t="s">
        <v>2461</v>
      </c>
      <c r="H617" s="51">
        <v>26.62</v>
      </c>
      <c r="I617" s="51" t="s">
        <v>98</v>
      </c>
      <c r="J61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26.62</v>
      </c>
      <c r="K617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617" s="59" t="s">
        <v>3507</v>
      </c>
      <c r="N617" s="48"/>
      <c r="Q617" s="49" t="s">
        <v>3508</v>
      </c>
    </row>
    <row r="618" spans="2:17" s="49" customFormat="1" ht="15" customHeight="1">
      <c r="B618" s="48"/>
      <c r="D618" s="48">
        <v>46204</v>
      </c>
      <c r="E618" s="50" t="s">
        <v>3509</v>
      </c>
      <c r="G618" s="49" t="s">
        <v>2461</v>
      </c>
      <c r="H618" s="51">
        <v>53.24</v>
      </c>
      <c r="I618" s="51" t="s">
        <v>98</v>
      </c>
      <c r="J61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53.24</v>
      </c>
      <c r="K618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618" s="59" t="s">
        <v>3507</v>
      </c>
      <c r="N618" s="48"/>
      <c r="Q618" s="49" t="s">
        <v>3508</v>
      </c>
    </row>
    <row r="619" spans="2:17" s="49" customFormat="1" ht="15" customHeight="1">
      <c r="B619" s="48"/>
      <c r="D619" s="48">
        <v>46190</v>
      </c>
      <c r="E619" s="50" t="s">
        <v>3510</v>
      </c>
      <c r="G619" s="49" t="s">
        <v>2461</v>
      </c>
      <c r="H619" s="51">
        <v>119.79</v>
      </c>
      <c r="I619" s="51" t="s">
        <v>98</v>
      </c>
      <c r="J619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119.79</v>
      </c>
      <c r="K619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619" s="59" t="s">
        <v>3507</v>
      </c>
      <c r="N619" s="48"/>
      <c r="Q619" s="49" t="s">
        <v>3508</v>
      </c>
    </row>
    <row r="620" spans="2:17" s="49" customFormat="1" ht="15" customHeight="1">
      <c r="B620" s="48"/>
      <c r="D620" s="48">
        <v>46214</v>
      </c>
      <c r="E620" s="50" t="s">
        <v>3511</v>
      </c>
      <c r="G620" s="49" t="s">
        <v>2484</v>
      </c>
      <c r="H620" s="51">
        <v>72.760000000000005</v>
      </c>
      <c r="I620" s="51" t="s">
        <v>43</v>
      </c>
      <c r="J620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72.760000000000005</v>
      </c>
      <c r="K620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46214</v>
      </c>
      <c r="L620" s="49" t="s">
        <v>25</v>
      </c>
      <c r="M620" s="59" t="s">
        <v>3253</v>
      </c>
      <c r="N620" s="48">
        <v>46212</v>
      </c>
    </row>
    <row r="621" spans="2:17" s="49" customFormat="1" ht="15" customHeight="1">
      <c r="B621" s="48">
        <v>46212</v>
      </c>
      <c r="D621" s="48">
        <v>46212</v>
      </c>
      <c r="E621" s="50" t="s">
        <v>3512</v>
      </c>
      <c r="G621" s="49" t="s">
        <v>1067</v>
      </c>
      <c r="H621" s="51">
        <v>9.99</v>
      </c>
      <c r="I621" s="51" t="s">
        <v>43</v>
      </c>
      <c r="J62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9.99</v>
      </c>
      <c r="K621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46212</v>
      </c>
      <c r="L621" s="49" t="s">
        <v>25</v>
      </c>
      <c r="M621" s="59" t="s">
        <v>3513</v>
      </c>
      <c r="N621" s="48">
        <v>46212</v>
      </c>
    </row>
    <row r="622" spans="2:17" s="49" customFormat="1" ht="15" customHeight="1">
      <c r="B622" s="48"/>
      <c r="D622" s="48">
        <v>46216</v>
      </c>
      <c r="E622" s="50" t="s">
        <v>3514</v>
      </c>
      <c r="G622" s="49" t="s">
        <v>2495</v>
      </c>
      <c r="H622" s="51">
        <v>500.94</v>
      </c>
      <c r="I622" s="51" t="s">
        <v>55</v>
      </c>
      <c r="J622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500.94</v>
      </c>
      <c r="K622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622" s="59" t="s">
        <v>3515</v>
      </c>
      <c r="N622" s="48">
        <v>46219</v>
      </c>
      <c r="O622" s="49" t="s">
        <v>45</v>
      </c>
    </row>
    <row r="623" spans="2:17" s="49" customFormat="1" ht="15" customHeight="1">
      <c r="B623" s="48"/>
      <c r="D623" s="48">
        <v>46216</v>
      </c>
      <c r="E623" s="213" t="s">
        <v>3428</v>
      </c>
      <c r="G623" s="49" t="s">
        <v>3429</v>
      </c>
      <c r="H623" s="51">
        <v>20.73</v>
      </c>
      <c r="I623" s="51" t="s">
        <v>55</v>
      </c>
      <c r="J623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20.73</v>
      </c>
      <c r="K623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623" s="59" t="s">
        <v>3430</v>
      </c>
      <c r="N623" s="48">
        <v>46219</v>
      </c>
      <c r="O623" s="49" t="s">
        <v>27</v>
      </c>
    </row>
    <row r="624" spans="2:17" s="49" customFormat="1" ht="15" customHeight="1">
      <c r="B624" s="48">
        <v>46216</v>
      </c>
      <c r="D624" s="48"/>
      <c r="E624" s="50"/>
      <c r="G624" s="49" t="s">
        <v>1067</v>
      </c>
      <c r="H624" s="51">
        <v>10.74</v>
      </c>
      <c r="I624" s="51" t="s">
        <v>43</v>
      </c>
      <c r="J624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10.74</v>
      </c>
      <c r="K624" s="52">
        <v>46216</v>
      </c>
      <c r="L624" s="49" t="s">
        <v>25</v>
      </c>
      <c r="M624" s="59" t="s">
        <v>3516</v>
      </c>
      <c r="N624" s="48">
        <v>46216</v>
      </c>
    </row>
    <row r="625" spans="2:15" s="49" customFormat="1" ht="15" customHeight="1">
      <c r="B625" s="48"/>
      <c r="D625" s="48">
        <v>46217</v>
      </c>
      <c r="E625" s="50">
        <v>1852403594</v>
      </c>
      <c r="G625" s="49" t="s">
        <v>2530</v>
      </c>
      <c r="H625" s="51">
        <v>95.95</v>
      </c>
      <c r="I625" s="51" t="s">
        <v>43</v>
      </c>
      <c r="J625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95.95</v>
      </c>
      <c r="K625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46217</v>
      </c>
      <c r="L625" s="49" t="s">
        <v>25</v>
      </c>
      <c r="M625" s="59" t="s">
        <v>3517</v>
      </c>
      <c r="N625" s="48"/>
    </row>
    <row r="626" spans="2:15" s="49" customFormat="1" ht="15" customHeight="1">
      <c r="B626" s="48"/>
      <c r="D626" s="48">
        <v>46217</v>
      </c>
      <c r="E626" s="50">
        <v>1852403591</v>
      </c>
      <c r="G626" s="49" t="s">
        <v>2530</v>
      </c>
      <c r="H626" s="51">
        <v>43.7</v>
      </c>
      <c r="I626" s="51" t="s">
        <v>43</v>
      </c>
      <c r="J626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43.7</v>
      </c>
      <c r="K626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46217</v>
      </c>
      <c r="L626" s="49" t="s">
        <v>25</v>
      </c>
      <c r="M626" s="59" t="s">
        <v>3518</v>
      </c>
      <c r="N626" s="48"/>
    </row>
    <row r="627" spans="2:15" s="49" customFormat="1" ht="15" customHeight="1">
      <c r="B627" s="48"/>
      <c r="D627" s="48">
        <v>46217</v>
      </c>
      <c r="E627" s="50">
        <v>1852403595</v>
      </c>
      <c r="G627" s="49" t="s">
        <v>2530</v>
      </c>
      <c r="H627" s="51">
        <v>87.4</v>
      </c>
      <c r="I627" s="51" t="s">
        <v>43</v>
      </c>
      <c r="J627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87.4</v>
      </c>
      <c r="K627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46217</v>
      </c>
      <c r="L627" s="49" t="s">
        <v>25</v>
      </c>
      <c r="M627" s="59" t="s">
        <v>3519</v>
      </c>
      <c r="N627" s="48"/>
    </row>
    <row r="628" spans="2:15" s="49" customFormat="1" ht="15" customHeight="1">
      <c r="B628" s="48"/>
      <c r="D628" s="48">
        <v>46217</v>
      </c>
      <c r="E628" s="50">
        <v>1852403593</v>
      </c>
      <c r="G628" s="49" t="s">
        <v>2530</v>
      </c>
      <c r="H628" s="51">
        <v>87.4</v>
      </c>
      <c r="I628" s="51" t="s">
        <v>43</v>
      </c>
      <c r="J628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87.4</v>
      </c>
      <c r="K628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46217</v>
      </c>
      <c r="L628" s="49" t="s">
        <v>25</v>
      </c>
      <c r="M628" s="59" t="s">
        <v>3520</v>
      </c>
      <c r="N628" s="48"/>
    </row>
    <row r="629" spans="2:15" s="49" customFormat="1" ht="15" customHeight="1">
      <c r="B629" s="48"/>
      <c r="D629" s="48">
        <v>46217</v>
      </c>
      <c r="E629" s="50">
        <v>1852403590</v>
      </c>
      <c r="G629" s="49" t="s">
        <v>2530</v>
      </c>
      <c r="H629" s="51">
        <v>21.6</v>
      </c>
      <c r="I629" s="51" t="s">
        <v>43</v>
      </c>
      <c r="J629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21.6</v>
      </c>
      <c r="K629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46217</v>
      </c>
      <c r="L629" s="49" t="s">
        <v>25</v>
      </c>
      <c r="M629" s="59" t="s">
        <v>3521</v>
      </c>
      <c r="N629" s="48"/>
    </row>
    <row r="630" spans="2:15" s="49" customFormat="1" ht="15" customHeight="1">
      <c r="B630" s="48"/>
      <c r="D630" s="48">
        <v>46215</v>
      </c>
      <c r="E630" s="50" t="s">
        <v>3522</v>
      </c>
      <c r="G630" s="49" t="s">
        <v>3523</v>
      </c>
      <c r="H630" s="51">
        <v>28.52</v>
      </c>
      <c r="I630" s="51" t="s">
        <v>98</v>
      </c>
      <c r="J630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28.52</v>
      </c>
      <c r="K630" s="52" t="str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/>
      </c>
      <c r="M630" s="59" t="s">
        <v>3524</v>
      </c>
      <c r="N630" s="48"/>
    </row>
    <row r="631" spans="2:15" s="49" customFormat="1" ht="15" customHeight="1">
      <c r="B631" s="48"/>
      <c r="D631" s="48">
        <v>46217</v>
      </c>
      <c r="E631" s="50" t="s">
        <v>3525</v>
      </c>
      <c r="G631" s="49" t="s">
        <v>3355</v>
      </c>
      <c r="H631" s="51">
        <v>62.76</v>
      </c>
      <c r="I631" s="51" t="s">
        <v>43</v>
      </c>
      <c r="J631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62.76</v>
      </c>
      <c r="K631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46217</v>
      </c>
      <c r="L631" s="49" t="s">
        <v>25</v>
      </c>
      <c r="M631" s="59" t="s">
        <v>3526</v>
      </c>
      <c r="N631" s="48">
        <v>46217</v>
      </c>
    </row>
    <row r="632" spans="2:15" s="49" customFormat="1" ht="15" customHeight="1">
      <c r="B632" s="48"/>
      <c r="D632" s="48">
        <v>46216</v>
      </c>
      <c r="E632" s="50" t="s">
        <v>3527</v>
      </c>
      <c r="G632" s="49" t="s">
        <v>3331</v>
      </c>
      <c r="H632" s="51">
        <v>298.49</v>
      </c>
      <c r="I632" s="51" t="s">
        <v>43</v>
      </c>
      <c r="J632" s="51">
        <f>_xlfn.IFS(Tabla14[[#This Row],[Forma Pago]]="30PP70-60D",Tabla14[[#This Row],[Importe Total]]*0.7,Tabla14[[#This Row],[Forma Pago]]="50PP50-60D",Tabla14[[#This Row],[Importe Total]]*0.5,Tabla14[[#This Row],[Forma Pago]]="100PP",Tabla14[[#This Row],[Importe Total]],Tabla14[[#This Row],[Forma Pago]]="0D",Tabla14[[#This Row],[Importe Total]],Tabla14[[#This Row],[Forma Pago]]="60D",Tabla14[[#This Row],[Importe Total]],Tabla14[[#This Row],[Forma Pago]]="30D",Tabla14[[#This Row],[Importe Total]],Tabla14[[#This Row],[Forma Pago]]="DOMICILIADO",Tabla14[[#This Row],[Importe Total]],Tabla14[[#This Row],[Forma Pago]]="DOMICILIADO 30D",Tabla14[[#This Row],[Importe Total]],Tabla14[[#This Row],[Forma Pago]]="DOMICILIADO 60D",Tabla14[[#This Row],[Importe Total]])</f>
        <v>298.49</v>
      </c>
      <c r="K632" s="52">
        <f>_xlfn.IFS(Tabla14[[#This Row],[Forma Pago]]="30PP70-60D",IF(Tabla14[[#This Row],[Fecha Factura]]="","",Tabla14[[#This Row],[Fecha Factura]]+60),Tabla14[[#This Row],[Forma Pago]]="50PP50-60D",IF(Tabla14[[#This Row],[Fecha Factura]]="","",Tabla14[[#This Row],[Fecha Factura]]+60),Tabla14[[#This Row],[Forma Pago]]="100PP",IF(Tabla14[[#This Row],[Fecha Prep.]]="","",Tabla14[[#This Row],[Fecha Prep.]]),Tabla14[[#This Row],[Forma Pago]]="0D",IF(Tabla14[[#This Row],[Fecha Factura]]="","",Tabla14[[#This Row],[Fecha Factura]]),Tabla14[[#This Row],[Forma Pago]]="60D",IF(Tabla14[[#This Row],[Fecha Factura]]="","",Tabla14[[#This Row],[Fecha Factura]]+60),Tabla14[[#This Row],[Forma Pago]]="30D",IF(Tabla14[[#This Row],[Fecha Factura]]="","",Tabla14[[#This Row],[Fecha Factura]]+60),Tabla14[[#This Row],[Forma Pago]]="DOMICILIADO","")</f>
        <v>46216</v>
      </c>
      <c r="M632" s="59" t="s">
        <v>3528</v>
      </c>
      <c r="N632" s="48">
        <v>46219</v>
      </c>
      <c r="O632" s="49" t="s">
        <v>2197</v>
      </c>
    </row>
  </sheetData>
  <conditionalFormatting sqref="B2:R632">
    <cfRule type="expression" dxfId="134" priority="13">
      <formula>$L2="PAGADO"</formula>
    </cfRule>
  </conditionalFormatting>
  <conditionalFormatting sqref="H546">
    <cfRule type="expression" dxfId="133" priority="56">
      <formula>$L545="PAGADO"</formula>
    </cfRule>
  </conditionalFormatting>
  <dataValidations count="2">
    <dataValidation type="list" allowBlank="1" showInputMessage="1" showErrorMessage="1" sqref="J86 I2:I632" xr:uid="{D98B20DC-0EE7-4F4E-B20C-46D43B58666F}">
      <formula1>INDIRECT("tablaformapago[Forma pago]")</formula1>
    </dataValidation>
    <dataValidation type="list" allowBlank="1" showInputMessage="1" showErrorMessage="1" sqref="L86:M86 L87:L89 L2:L85 L115 L118 L218" xr:uid="{EE261E05-8491-4E74-AA89-868EEACF3A83}">
      <formula1>INDIRECT("tablaestado[ESTADO]")</formula1>
    </dataValidation>
  </dataValidations>
  <pageMargins left="0.25" right="0.25" top="0.75" bottom="0.75" header="0.3" footer="0.3"/>
  <pageSetup paperSize="9" scale="68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EB768-9FB1-43A1-8E4D-AA2E65AD29B8}">
  <dimension ref="A1:T19"/>
  <sheetViews>
    <sheetView workbookViewId="0">
      <selection activeCell="E28" sqref="E28"/>
    </sheetView>
  </sheetViews>
  <sheetFormatPr defaultRowHeight="15"/>
  <cols>
    <col min="1" max="1" width="6" customWidth="1"/>
    <col min="2" max="2" width="17.7109375" bestFit="1" customWidth="1"/>
    <col min="3" max="3" width="14.7109375" customWidth="1"/>
    <col min="4" max="4" width="15.85546875" bestFit="1" customWidth="1"/>
    <col min="5" max="5" width="12.85546875" customWidth="1"/>
    <col min="6" max="6" width="13.7109375" bestFit="1" customWidth="1"/>
    <col min="7" max="7" width="40.5703125" customWidth="1"/>
    <col min="8" max="8" width="17.85546875" style="221" customWidth="1"/>
    <col min="9" max="9" width="14" customWidth="1"/>
    <col min="10" max="10" width="14.140625" style="221" customWidth="1"/>
    <col min="11" max="11" width="16.7109375" customWidth="1"/>
    <col min="12" max="12" width="9.42578125" bestFit="1" customWidth="1"/>
    <col min="13" max="13" width="34" customWidth="1"/>
    <col min="14" max="14" width="19.140625" style="1" customWidth="1"/>
    <col min="15" max="15" width="15.85546875" bestFit="1" customWidth="1"/>
    <col min="16" max="16" width="9.85546875" bestFit="1" customWidth="1"/>
    <col min="17" max="17" width="16.5703125" bestFit="1" customWidth="1"/>
    <col min="18" max="18" width="28.5703125" bestFit="1" customWidth="1"/>
  </cols>
  <sheetData>
    <row r="1" spans="1:20" ht="15.75">
      <c r="A1" s="219" t="s">
        <v>3529</v>
      </c>
    </row>
    <row r="2" spans="1:20" ht="30.75">
      <c r="B2" s="217" t="s">
        <v>2451</v>
      </c>
      <c r="C2" s="217" t="s">
        <v>2</v>
      </c>
      <c r="D2" s="217" t="s">
        <v>3</v>
      </c>
      <c r="E2" s="217" t="s">
        <v>4</v>
      </c>
      <c r="F2" s="217" t="s">
        <v>5</v>
      </c>
      <c r="G2" s="217" t="s">
        <v>7</v>
      </c>
      <c r="H2" s="222" t="s">
        <v>8</v>
      </c>
      <c r="I2" s="217" t="s">
        <v>9</v>
      </c>
      <c r="J2" s="222" t="s">
        <v>2452</v>
      </c>
      <c r="K2" s="217" t="s">
        <v>2453</v>
      </c>
      <c r="L2" s="217" t="s">
        <v>2454</v>
      </c>
      <c r="M2" s="218" t="s">
        <v>2455</v>
      </c>
      <c r="N2" s="220" t="s">
        <v>2456</v>
      </c>
      <c r="O2" s="217" t="s">
        <v>2457</v>
      </c>
      <c r="P2" s="217" t="s">
        <v>2458</v>
      </c>
      <c r="Q2" s="217" t="s">
        <v>19</v>
      </c>
      <c r="R2" s="217" t="s">
        <v>2459</v>
      </c>
    </row>
    <row r="3" spans="1:20" s="49" customFormat="1">
      <c r="B3" s="56">
        <v>46170</v>
      </c>
      <c r="C3" s="57">
        <v>53</v>
      </c>
      <c r="D3" s="48"/>
      <c r="E3" s="50"/>
      <c r="F3" s="48"/>
      <c r="G3" s="48" t="s">
        <v>3530</v>
      </c>
      <c r="H3" s="223">
        <v>364</v>
      </c>
      <c r="I3" s="51" t="s">
        <v>43</v>
      </c>
      <c r="J3" s="256">
        <f>_xlfn.IFS(Tabla20[[#This Row],[Forma Pago]]="30PP70-60D",Tabla20[[#This Row],[Importe Total]]*0.7,Tabla20[[#This Row],[Forma Pago]]="50PP50-60D",Tabla20[[#This Row],[Importe Total]]*0.5,Tabla20[[#This Row],[Forma Pago]]="100PP",Tabla20[[#This Row],[Importe Total]],Tabla20[[#This Row],[Forma Pago]]="0D",Tabla20[[#This Row],[Importe Total]],Tabla20[[#This Row],[Forma Pago]]="60D",Tabla20[[#This Row],[Importe Total]],Tabla20[[#This Row],[Forma Pago]]="30D",Tabla20[[#This Row],[Importe Total]],Tabla20[[#This Row],[Forma Pago]]="DOMICILIADO",Tabla20[[#This Row],[Importe Total]],Tabla20[[#This Row],[Forma Pago]]="DOMICILIADO 30D",Tabla20[[#This Row],[Importe Total]],Tabla20[[#This Row],[Forma Pago]]="DOMICILIADO 60D",Tabla20[[#This Row],[Importe Total]])</f>
        <v>364</v>
      </c>
      <c r="K3" s="58" t="str">
        <f>_xlfn.IFS(Tabla146891116[[#This Row],[Forma Pago]]="30PP70-60D",IF(Tabla146891116[[#This Row],[Fecha Factura]]="","",Tabla146891116[[#This Row],[Fecha Factura]]+60),Tabla146891116[[#This Row],[Forma Pago]]="50PP50-60D",IF(Tabla146891116[[#This Row],[Fecha Factura]]="","",Tabla146891116[[#This Row],[Fecha Factura]]+60),Tabla146891116[[#This Row],[Forma Pago]]="100PP",IF(Tabla146891116[[#This Row],[Fecha Prep.]]="","",Tabla146891116[[#This Row],[Fecha Prep.]]),Tabla146891116[[#This Row],[Forma Pago]]="0D",IF(Tabla146891116[[#This Row],[Fecha Factura]]="","",Tabla146891116[[#This Row],[Fecha Factura]]),Tabla146891116[[#This Row],[Forma Pago]]="60D",IF(Tabla146891116[[#This Row],[Fecha Factura]]="","",Tabla146891116[[#This Row],[Fecha Factura]]+60),Tabla146891116[[#This Row],[Forma Pago]]="30D",IF(Tabla146891116[[#This Row],[Fecha Factura]]="","",Tabla146891116[[#This Row],[Fecha Factura]]+60),Tabla146891116[[#This Row],[Forma Pago]]="DOMICILIADO","")</f>
        <v/>
      </c>
      <c r="L3" s="52" t="s">
        <v>25</v>
      </c>
      <c r="M3" s="58" t="s">
        <v>2845</v>
      </c>
      <c r="N3" s="90">
        <v>46191</v>
      </c>
      <c r="O3" s="90" t="s">
        <v>94</v>
      </c>
      <c r="R3" s="48"/>
      <c r="S3" s="59"/>
    </row>
    <row r="4" spans="1:20" s="49" customFormat="1">
      <c r="B4" s="56">
        <v>46170</v>
      </c>
      <c r="C4" s="57" t="s">
        <v>3531</v>
      </c>
      <c r="D4" s="48"/>
      <c r="E4" s="50"/>
      <c r="F4" s="48"/>
      <c r="G4" s="48" t="s">
        <v>3530</v>
      </c>
      <c r="H4" s="223">
        <v>2700</v>
      </c>
      <c r="I4" s="51" t="s">
        <v>43</v>
      </c>
      <c r="J4" s="256">
        <f>_xlfn.IFS(Tabla20[[#This Row],[Forma Pago]]="30PP70-60D",Tabla20[[#This Row],[Importe Total]]*0.7,Tabla20[[#This Row],[Forma Pago]]="50PP50-60D",Tabla20[[#This Row],[Importe Total]]*0.5,Tabla20[[#This Row],[Forma Pago]]="100PP",Tabla20[[#This Row],[Importe Total]],Tabla20[[#This Row],[Forma Pago]]="0D",Tabla20[[#This Row],[Importe Total]],Tabla20[[#This Row],[Forma Pago]]="60D",Tabla20[[#This Row],[Importe Total]],Tabla20[[#This Row],[Forma Pago]]="30D",Tabla20[[#This Row],[Importe Total]],Tabla20[[#This Row],[Forma Pago]]="DOMICILIADO",Tabla20[[#This Row],[Importe Total]],Tabla20[[#This Row],[Forma Pago]]="DOMICILIADO 30D",Tabla20[[#This Row],[Importe Total]],Tabla20[[#This Row],[Forma Pago]]="DOMICILIADO 60D",Tabla20[[#This Row],[Importe Total]])</f>
        <v>2700</v>
      </c>
      <c r="K4" s="58"/>
      <c r="L4" s="52" t="s">
        <v>25</v>
      </c>
      <c r="M4" s="58" t="s">
        <v>3532</v>
      </c>
      <c r="N4" s="90">
        <v>46191</v>
      </c>
      <c r="O4" s="90" t="s">
        <v>94</v>
      </c>
      <c r="R4" s="48"/>
      <c r="S4" s="59"/>
    </row>
    <row r="5" spans="1:20" s="49" customFormat="1">
      <c r="B5" s="94">
        <v>46189</v>
      </c>
      <c r="C5" s="65" t="s">
        <v>3533</v>
      </c>
      <c r="D5" s="94"/>
      <c r="E5" s="65"/>
      <c r="F5" s="65"/>
      <c r="G5" s="65" t="s">
        <v>3534</v>
      </c>
      <c r="H5" s="256">
        <v>135.84</v>
      </c>
      <c r="I5" s="51" t="s">
        <v>43</v>
      </c>
      <c r="J5" s="257">
        <f>_xlfn.IFS(Tabla20[[#This Row],[Forma Pago]]="30PP70-60D",Tabla20[[#This Row],[Importe Total]]*0.7,Tabla20[[#This Row],[Forma Pago]]="50PP50-60D",Tabla20[[#This Row],[Importe Total]]*0.5,Tabla20[[#This Row],[Forma Pago]]="100PP",Tabla20[[#This Row],[Importe Total]],Tabla20[[#This Row],[Forma Pago]]="0D",Tabla20[[#This Row],[Importe Total]],Tabla20[[#This Row],[Forma Pago]]="60D",Tabla20[[#This Row],[Importe Total]],Tabla20[[#This Row],[Forma Pago]]="30D",Tabla20[[#This Row],[Importe Total]],Tabla20[[#This Row],[Forma Pago]]="DOMICILIADO",Tabla20[[#This Row],[Importe Total]],Tabla20[[#This Row],[Forma Pago]]="DOMICILIADO 30D",Tabla20[[#This Row],[Importe Total]],Tabla20[[#This Row],[Forma Pago]]="DOMICILIADO 60D",Tabla20[[#This Row],[Importe Total]])</f>
        <v>135.84</v>
      </c>
      <c r="K5" s="65"/>
      <c r="L5" s="52" t="s">
        <v>25</v>
      </c>
      <c r="M5" s="65" t="s">
        <v>3535</v>
      </c>
      <c r="N5" s="94">
        <v>46205</v>
      </c>
      <c r="O5" s="65" t="s">
        <v>94</v>
      </c>
      <c r="P5" s="65"/>
      <c r="Q5" s="65"/>
      <c r="R5" s="65"/>
    </row>
    <row r="6" spans="1:20" s="49" customFormat="1">
      <c r="B6" s="94">
        <v>46189</v>
      </c>
      <c r="C6" s="49" t="s">
        <v>3536</v>
      </c>
      <c r="D6" s="65"/>
      <c r="E6" s="65"/>
      <c r="F6" s="94"/>
      <c r="G6" s="65" t="s">
        <v>3534</v>
      </c>
      <c r="H6" s="256">
        <v>26.62</v>
      </c>
      <c r="I6" s="51" t="s">
        <v>43</v>
      </c>
      <c r="J6" s="257">
        <f>_xlfn.IFS(Tabla20[[#This Row],[Forma Pago]]="30PP70-60D",Tabla20[[#This Row],[Importe Total]]*0.7,Tabla20[[#This Row],[Forma Pago]]="50PP50-60D",Tabla20[[#This Row],[Importe Total]]*0.5,Tabla20[[#This Row],[Forma Pago]]="100PP",Tabla20[[#This Row],[Importe Total]],Tabla20[[#This Row],[Forma Pago]]="0D",Tabla20[[#This Row],[Importe Total]],Tabla20[[#This Row],[Forma Pago]]="60D",Tabla20[[#This Row],[Importe Total]],Tabla20[[#This Row],[Forma Pago]]="30D",Tabla20[[#This Row],[Importe Total]],Tabla20[[#This Row],[Forma Pago]]="DOMICILIADO",Tabla20[[#This Row],[Importe Total]],Tabla20[[#This Row],[Forma Pago]]="DOMICILIADO 30D",Tabla20[[#This Row],[Importe Total]],Tabla20[[#This Row],[Forma Pago]]="DOMICILIADO 60D",Tabla20[[#This Row],[Importe Total]])</f>
        <v>26.62</v>
      </c>
      <c r="K6" s="65"/>
      <c r="L6" s="52" t="s">
        <v>25</v>
      </c>
      <c r="M6" s="65" t="s">
        <v>3537</v>
      </c>
      <c r="N6" s="94">
        <v>46205</v>
      </c>
      <c r="O6" s="65" t="s">
        <v>94</v>
      </c>
      <c r="P6" s="94"/>
      <c r="Q6" s="65"/>
      <c r="R6" s="65"/>
      <c r="S6" s="65"/>
      <c r="T6" s="65"/>
    </row>
    <row r="7" spans="1:20">
      <c r="B7" s="9"/>
      <c r="C7" s="9"/>
      <c r="D7" s="40"/>
      <c r="E7" s="9"/>
      <c r="F7" s="9"/>
      <c r="G7" s="9"/>
      <c r="H7" s="224"/>
      <c r="I7" s="9"/>
      <c r="J7" s="224"/>
      <c r="K7" s="9"/>
      <c r="L7" s="52"/>
      <c r="M7" s="9"/>
      <c r="N7" s="40"/>
      <c r="O7" s="9"/>
      <c r="P7" s="9"/>
      <c r="Q7" s="9"/>
      <c r="R7" s="9"/>
    </row>
    <row r="8" spans="1:20">
      <c r="B8" s="9"/>
      <c r="C8" s="9"/>
      <c r="D8" s="40"/>
      <c r="E8" s="9"/>
      <c r="F8" s="9"/>
      <c r="G8" s="9"/>
      <c r="H8" s="224"/>
      <c r="I8" s="9"/>
      <c r="J8" s="224"/>
      <c r="K8" s="9"/>
      <c r="L8" s="52"/>
      <c r="M8" s="9"/>
      <c r="N8" s="40"/>
      <c r="O8" s="9"/>
      <c r="P8" s="9"/>
      <c r="Q8" s="9"/>
      <c r="R8" s="9"/>
    </row>
    <row r="9" spans="1:20">
      <c r="L9" s="52"/>
    </row>
    <row r="10" spans="1:20">
      <c r="L10" s="52"/>
    </row>
    <row r="11" spans="1:20">
      <c r="L11" s="52"/>
    </row>
    <row r="12" spans="1:20">
      <c r="L12" s="52"/>
    </row>
    <row r="13" spans="1:20">
      <c r="L13" s="52"/>
    </row>
    <row r="14" spans="1:20">
      <c r="L14" s="52"/>
    </row>
    <row r="15" spans="1:20">
      <c r="L15" s="52"/>
    </row>
    <row r="16" spans="1:20">
      <c r="L16" s="52"/>
    </row>
    <row r="17" spans="12:12">
      <c r="L17" s="52"/>
    </row>
    <row r="18" spans="12:12">
      <c r="L18" s="52"/>
    </row>
    <row r="19" spans="12:12">
      <c r="L19" s="52"/>
    </row>
  </sheetData>
  <conditionalFormatting sqref="B3:R19">
    <cfRule type="expression" dxfId="124" priority="1">
      <formula>$L3="PAGADO"</formula>
    </cfRule>
  </conditionalFormatting>
  <dataValidations count="2">
    <dataValidation type="list" allowBlank="1" showInputMessage="1" showErrorMessage="1" sqref="I3:I6" xr:uid="{31C04628-0A1A-4B17-821B-45F9B6E62DA3}">
      <formula1>INDIRECT("tablaformapago[Forma pago]")</formula1>
    </dataValidation>
    <dataValidation type="list" allowBlank="1" showInputMessage="1" showErrorMessage="1" sqref="L3:L19" xr:uid="{DB2D3FE8-282C-43D1-A772-4D0C72886779}">
      <formula1>INDIRECT("tablaestado[ESTADO]")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9C2B4-B085-4E10-A496-2DE8469E8AE3}">
  <dimension ref="A1:P8"/>
  <sheetViews>
    <sheetView workbookViewId="0">
      <selection activeCell="K14" sqref="K14"/>
    </sheetView>
  </sheetViews>
  <sheetFormatPr defaultColWidth="9.140625" defaultRowHeight="15"/>
  <cols>
    <col min="2" max="2" width="11.7109375" bestFit="1" customWidth="1"/>
    <col min="3" max="3" width="14.7109375" bestFit="1" customWidth="1"/>
    <col min="4" max="4" width="15.85546875" bestFit="1" customWidth="1"/>
    <col min="5" max="5" width="11.7109375" bestFit="1" customWidth="1"/>
    <col min="6" max="6" width="12.7109375" customWidth="1"/>
    <col min="7" max="7" width="37.85546875" customWidth="1"/>
    <col min="8" max="8" width="26.7109375" customWidth="1"/>
    <col min="10" max="10" width="15.85546875" customWidth="1"/>
    <col min="11" max="11" width="14.5703125" customWidth="1"/>
    <col min="13" max="13" width="22.42578125" customWidth="1"/>
    <col min="14" max="14" width="14.42578125" customWidth="1"/>
    <col min="15" max="15" width="13.7109375" customWidth="1"/>
  </cols>
  <sheetData>
    <row r="1" spans="1:16">
      <c r="A1" t="s">
        <v>3538</v>
      </c>
    </row>
    <row r="2" spans="1:16" ht="21">
      <c r="B2" s="100" t="s">
        <v>3539</v>
      </c>
    </row>
    <row r="3" spans="1:16">
      <c r="B3" t="s">
        <v>2451</v>
      </c>
      <c r="C3" t="s">
        <v>2</v>
      </c>
      <c r="D3" t="s">
        <v>3</v>
      </c>
      <c r="E3" t="s">
        <v>4</v>
      </c>
      <c r="F3" t="s">
        <v>5</v>
      </c>
      <c r="G3" t="s">
        <v>7</v>
      </c>
      <c r="H3" t="s">
        <v>8</v>
      </c>
      <c r="I3" t="s">
        <v>9</v>
      </c>
      <c r="J3" t="s">
        <v>2452</v>
      </c>
      <c r="K3" t="s">
        <v>2453</v>
      </c>
      <c r="L3" t="s">
        <v>2454</v>
      </c>
      <c r="M3" t="s">
        <v>2455</v>
      </c>
      <c r="N3" t="s">
        <v>3540</v>
      </c>
      <c r="O3" t="s">
        <v>18</v>
      </c>
      <c r="P3" t="s">
        <v>3541</v>
      </c>
    </row>
    <row r="4" spans="1:16" s="49" customFormat="1">
      <c r="B4" s="48">
        <v>46111</v>
      </c>
      <c r="D4" s="48"/>
      <c r="F4" s="101"/>
      <c r="G4" s="49" t="s">
        <v>92</v>
      </c>
      <c r="H4" s="62">
        <v>1.3</v>
      </c>
      <c r="I4" s="51" t="s">
        <v>55</v>
      </c>
      <c r="J4" s="58"/>
      <c r="K4" s="48" t="str">
        <f>_xlfn.IFS(Tabla14689111217[[#This Row],[Forma Pago]]="30PP70-60D",IF(Tabla14689111217[[#This Row],[Fecha Factura]]="","",Tabla14689111217[[#This Row],[Fecha Factura]]+60),Tabla14689111217[[#This Row],[Forma Pago]]="50PP50-60D",IF(Tabla14689111217[[#This Row],[Fecha Factura]]="","",Tabla14689111217[[#This Row],[Fecha Factura]]+60),Tabla14689111217[[#This Row],[Forma Pago]]="100PP",IF(Tabla14689111217[[#This Row],[Fecha Prep.]]="","",Tabla14689111217[[#This Row],[Fecha Prep.]]),Tabla14689111217[[#This Row],[Forma Pago]]="0D",IF(Tabla14689111217[[#This Row],[Fecha Factura]]="","",Tabla14689111217[[#This Row],[Fecha Factura]]),Tabla14689111217[[#This Row],[Forma Pago]]="60D",IF(Tabla14689111217[[#This Row],[Fecha Factura]]="","",Tabla14689111217[[#This Row],[Fecha Factura]]+60),Tabla14689111217[[#This Row],[Forma Pago]]="30D",IF(Tabla14689111217[[#This Row],[Fecha Factura]]="","",Tabla14689111217[[#This Row],[Fecha Factura]]+60),Tabla14689111217[[#This Row],[Forma Pago]]="DOMICILIADO","")</f>
        <v/>
      </c>
      <c r="L4" s="49" t="s">
        <v>25</v>
      </c>
      <c r="M4" s="49" t="s">
        <v>3542</v>
      </c>
      <c r="N4" s="48">
        <v>46128</v>
      </c>
      <c r="O4" s="48" t="s">
        <v>94</v>
      </c>
    </row>
    <row r="5" spans="1:16" s="49" customFormat="1">
      <c r="B5" s="48">
        <v>46111</v>
      </c>
      <c r="D5" s="48"/>
      <c r="G5" s="49" t="s">
        <v>92</v>
      </c>
      <c r="H5" s="62">
        <v>615</v>
      </c>
      <c r="I5" s="51" t="s">
        <v>55</v>
      </c>
      <c r="J5" s="58"/>
      <c r="K5" s="52"/>
      <c r="L5" s="49" t="s">
        <v>25</v>
      </c>
      <c r="M5" s="49" t="s">
        <v>3543</v>
      </c>
      <c r="N5" s="48">
        <v>46128</v>
      </c>
      <c r="O5" s="48" t="s">
        <v>94</v>
      </c>
    </row>
    <row r="6" spans="1:16">
      <c r="B6" s="48">
        <v>46111</v>
      </c>
      <c r="C6" s="49"/>
      <c r="D6" s="48"/>
      <c r="E6" s="49"/>
      <c r="F6" s="49"/>
      <c r="G6" s="49" t="s">
        <v>92</v>
      </c>
      <c r="H6" s="62">
        <v>115</v>
      </c>
      <c r="I6" s="51" t="s">
        <v>55</v>
      </c>
      <c r="J6" s="58"/>
      <c r="K6" s="52" t="str">
        <f>_xlfn.IFS(Tabla14689111217[[#This Row],[Forma Pago]]="30PP70-60D",IF(Tabla14689111217[[#This Row],[Fecha Factura]]="","",Tabla14689111217[[#This Row],[Fecha Factura]]+60),Tabla14689111217[[#This Row],[Forma Pago]]="50PP50-60D",IF(Tabla14689111217[[#This Row],[Fecha Factura]]="","",Tabla14689111217[[#This Row],[Fecha Factura]]+60),Tabla14689111217[[#This Row],[Forma Pago]]="100PP",IF(Tabla14689111217[[#This Row],[Fecha Prep.]]="","",Tabla14689111217[[#This Row],[Fecha Prep.]]),Tabla14689111217[[#This Row],[Forma Pago]]="0D",IF(Tabla14689111217[[#This Row],[Fecha Factura]]="","",Tabla14689111217[[#This Row],[Fecha Factura]]),Tabla14689111217[[#This Row],[Forma Pago]]="60D",IF(Tabla14689111217[[#This Row],[Fecha Factura]]="","",Tabla14689111217[[#This Row],[Fecha Factura]]+60),Tabla14689111217[[#This Row],[Forma Pago]]="30D",IF(Tabla14689111217[[#This Row],[Fecha Factura]]="","",Tabla14689111217[[#This Row],[Fecha Factura]]+60),Tabla14689111217[[#This Row],[Forma Pago]]="DOMICILIADO","")</f>
        <v/>
      </c>
      <c r="L6" s="49" t="s">
        <v>25</v>
      </c>
      <c r="M6" s="49" t="s">
        <v>3544</v>
      </c>
      <c r="N6" s="48">
        <v>46128</v>
      </c>
      <c r="O6" s="48" t="s">
        <v>94</v>
      </c>
      <c r="P6" s="49"/>
    </row>
    <row r="7" spans="1:16" s="49" customFormat="1">
      <c r="B7" s="48"/>
      <c r="D7" s="48">
        <v>46212</v>
      </c>
      <c r="E7" s="48" t="s">
        <v>3545</v>
      </c>
      <c r="G7" s="49" t="s">
        <v>3546</v>
      </c>
      <c r="H7" s="58">
        <v>29971.8</v>
      </c>
      <c r="I7" s="51" t="s">
        <v>30</v>
      </c>
      <c r="J7" s="58">
        <f>_xlfn.IFS(Tabla14689111217[[#This Row],[Forma Pago]]="30PP70-60D",Tabla14689111217[[#This Row],[Importe Total]]*0.7,Tabla14689111217[[#This Row],[Forma Pago]]="50PP50-60D",Tabla14689111217[[#This Row],[Importe Total]]*0.5,Tabla14689111217[[#This Row],[Forma Pago]]="100PP",Tabla14689111217[[#This Row],[Importe Total]],Tabla14689111217[[#This Row],[Forma Pago]]="0D",Tabla14689111217[[#This Row],[Importe Total]],Tabla14689111217[[#This Row],[Forma Pago]]="60D",Tabla14689111217[[#This Row],[Importe Total]],Tabla14689111217[[#This Row],[Forma Pago]]="30D",Tabla14689111217[[#This Row],[Importe Total]],Tabla14689111217[[#This Row],[Forma Pago]]="DOMICILIADO",Tabla14689111217[[#This Row],[Importe Total]],Tabla14689111217[[#This Row],[Forma Pago]]="DOMICILIADO 30D",Tabla14689111217[[#This Row],[Importe Total]],Tabla14689111217[[#This Row],[Forma Pago]]="DOMICILIADO 60D",Tabla14689111217[[#This Row],[Importe Total]])</f>
        <v>29971.8</v>
      </c>
      <c r="K7" s="52">
        <v>46212</v>
      </c>
      <c r="N7" s="48">
        <v>46268</v>
      </c>
      <c r="O7" s="48" t="s">
        <v>27</v>
      </c>
    </row>
    <row r="8" spans="1:16" s="49" customFormat="1">
      <c r="B8" s="48"/>
      <c r="D8" s="48">
        <v>46213</v>
      </c>
      <c r="E8" s="49" t="s">
        <v>3547</v>
      </c>
      <c r="G8" s="49" t="s">
        <v>29</v>
      </c>
      <c r="H8" s="58">
        <v>42.92</v>
      </c>
      <c r="I8" s="58" t="s">
        <v>30</v>
      </c>
      <c r="J8" s="58">
        <f>_xlfn.IFS(Tabla14689111217[[#This Row],[Forma Pago]]="30PP70-60D",Tabla14689111217[[#This Row],[Importe Total]]*0.7,Tabla14689111217[[#This Row],[Forma Pago]]="50PP50-60D",Tabla14689111217[[#This Row],[Importe Total]]*0.5,Tabla14689111217[[#This Row],[Forma Pago]]="100PP",Tabla14689111217[[#This Row],[Importe Total]],Tabla14689111217[[#This Row],[Forma Pago]]="0D",Tabla14689111217[[#This Row],[Importe Total]],Tabla14689111217[[#This Row],[Forma Pago]]="60D",Tabla14689111217[[#This Row],[Importe Total]],Tabla14689111217[[#This Row],[Forma Pago]]="30D",Tabla14689111217[[#This Row],[Importe Total]],Tabla14689111217[[#This Row],[Forma Pago]]="DOMICILIADO",Tabla14689111217[[#This Row],[Importe Total]],Tabla14689111217[[#This Row],[Forma Pago]]="DOMICILIADO 30D",Tabla14689111217[[#This Row],[Importe Total]],Tabla14689111217[[#This Row],[Forma Pago]]="DOMICILIADO 60D",Tabla14689111217[[#This Row],[Importe Total]])</f>
        <v>42.92</v>
      </c>
      <c r="K8" s="90">
        <f>_xlfn.IFS(Tabla14689111217[[#This Row],[Forma Pago]]="30PP70-60D",IF(Tabla14689111217[[#This Row],[Fecha Factura]]="","",Tabla14689111217[[#This Row],[Fecha Factura]]+60),Tabla14689111217[[#This Row],[Forma Pago]]="50PP50-60D",IF(Tabla14689111217[[#This Row],[Fecha Factura]]="","",Tabla14689111217[[#This Row],[Fecha Factura]]+60),Tabla14689111217[[#This Row],[Forma Pago]]="100PP",IF(Tabla14689111217[[#This Row],[Fecha Prep.]]="","",Tabla14689111217[[#This Row],[Fecha Prep.]]),Tabla14689111217[[#This Row],[Forma Pago]]="0D",IF(Tabla14689111217[[#This Row],[Fecha Factura]]="","",Tabla14689111217[[#This Row],[Fecha Factura]]),Tabla14689111217[[#This Row],[Forma Pago]]="60D",IF(Tabla14689111217[[#This Row],[Fecha Factura]]="","",Tabla14689111217[[#This Row],[Fecha Factura]]+60),Tabla14689111217[[#This Row],[Forma Pago]]="30D",IF(Tabla14689111217[[#This Row],[Fecha Factura]]="","",Tabla14689111217[[#This Row],[Fecha Factura]]+60),Tabla14689111217[[#This Row],[Forma Pago]]="DOMICILIADO","")</f>
        <v>46273</v>
      </c>
      <c r="M8" s="49" t="s">
        <v>885</v>
      </c>
      <c r="N8" s="48">
        <v>46268</v>
      </c>
      <c r="O8" s="48" t="s">
        <v>27</v>
      </c>
    </row>
  </sheetData>
  <conditionalFormatting sqref="B4:O8">
    <cfRule type="expression" dxfId="119" priority="1">
      <formula>$L4="PAGADO"</formula>
    </cfRule>
  </conditionalFormatting>
  <dataValidations count="2">
    <dataValidation type="list" allowBlank="1" showInputMessage="1" showErrorMessage="1" sqref="L4:L8" xr:uid="{C436D3F4-19EC-496E-8E27-5D701F48006E}">
      <formula1>INDIRECT("tablaestado[ESTADO]")</formula1>
    </dataValidation>
    <dataValidation type="list" allowBlank="1" showInputMessage="1" showErrorMessage="1" sqref="I4:I8" xr:uid="{8BE714DB-3A31-4B2D-AED9-C17E54779977}">
      <formula1>INDIRECT("tablaformapago[Forma pago]")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27D99-F7F3-4D79-9469-BB8DD636FC6F}">
  <dimension ref="B1:P8"/>
  <sheetViews>
    <sheetView showGridLines="0" workbookViewId="0">
      <selection activeCell="M8" sqref="M8"/>
    </sheetView>
  </sheetViews>
  <sheetFormatPr defaultColWidth="8.7109375" defaultRowHeight="15"/>
  <cols>
    <col min="1" max="1" width="3.42578125" customWidth="1"/>
    <col min="2" max="2" width="17.140625" bestFit="1" customWidth="1"/>
    <col min="3" max="3" width="14.42578125" bestFit="1" customWidth="1"/>
    <col min="4" max="4" width="15.28515625" bestFit="1" customWidth="1"/>
    <col min="5" max="5" width="12.5703125" bestFit="1" customWidth="1"/>
    <col min="6" max="6" width="12.5703125" customWidth="1"/>
    <col min="7" max="7" width="30.42578125" customWidth="1"/>
    <col min="8" max="8" width="15.28515625" bestFit="1" customWidth="1"/>
    <col min="9" max="9" width="13.5703125" bestFit="1" customWidth="1"/>
    <col min="10" max="10" width="11" bestFit="1" customWidth="1"/>
    <col min="11" max="11" width="20.85546875" bestFit="1" customWidth="1"/>
    <col min="12" max="12" width="9.140625" bestFit="1" customWidth="1"/>
    <col min="13" max="13" width="13.5703125" bestFit="1" customWidth="1"/>
    <col min="14" max="14" width="17.42578125" bestFit="1" customWidth="1"/>
    <col min="15" max="15" width="17.42578125" customWidth="1"/>
    <col min="16" max="16" width="6.7109375" bestFit="1" customWidth="1"/>
  </cols>
  <sheetData>
    <row r="1" spans="2:16" ht="21">
      <c r="B1" s="100" t="s">
        <v>3548</v>
      </c>
    </row>
    <row r="2" spans="2:16">
      <c r="B2" t="s">
        <v>2451</v>
      </c>
      <c r="C2" t="s">
        <v>2</v>
      </c>
      <c r="D2" t="s">
        <v>3</v>
      </c>
      <c r="E2" t="s">
        <v>4</v>
      </c>
      <c r="F2" t="s">
        <v>5</v>
      </c>
      <c r="G2" t="s">
        <v>7</v>
      </c>
      <c r="H2" t="s">
        <v>8</v>
      </c>
      <c r="I2" t="s">
        <v>9</v>
      </c>
      <c r="J2" t="s">
        <v>2452</v>
      </c>
      <c r="K2" t="s">
        <v>2453</v>
      </c>
      <c r="L2" t="s">
        <v>2454</v>
      </c>
      <c r="M2" t="s">
        <v>2455</v>
      </c>
      <c r="N2" t="s">
        <v>3540</v>
      </c>
      <c r="O2" t="s">
        <v>18</v>
      </c>
      <c r="P2" t="s">
        <v>3541</v>
      </c>
    </row>
    <row r="3" spans="2:16">
      <c r="B3" s="1"/>
      <c r="D3" s="1">
        <v>46091</v>
      </c>
      <c r="E3" t="s">
        <v>3549</v>
      </c>
      <c r="F3" s="26"/>
      <c r="G3" t="s">
        <v>2503</v>
      </c>
      <c r="H3" s="2">
        <v>16.149999999999999</v>
      </c>
      <c r="I3" s="2" t="s">
        <v>55</v>
      </c>
      <c r="J3" s="10">
        <f>_xlfn.IFS(Tabla1468911[[#This Row],[Forma Pago]]="30PP70-60D",Tabla1468911[[#This Row],[Importe Total]]*0.7,Tabla1468911[[#This Row],[Forma Pago]]="50PP50-60D",Tabla1468911[[#This Row],[Importe Total]]*0.5,Tabla1468911[[#This Row],[Forma Pago]]="100PP",Tabla1468911[[#This Row],[Importe Total]],Tabla1468911[[#This Row],[Forma Pago]]="0D",Tabla1468911[[#This Row],[Importe Total]],Tabla1468911[[#This Row],[Forma Pago]]="60D",Tabla1468911[[#This Row],[Importe Total]],Tabla1468911[[#This Row],[Forma Pago]]="30D",Tabla1468911[[#This Row],[Importe Total]],Tabla1468911[[#This Row],[Forma Pago]]="DOMICILIADO",Tabla1468911[[#This Row],[Importe Total]],Tabla1468911[[#This Row],[Forma Pago]]="DOMICILIADO 30D",Tabla1468911[[#This Row],[Importe Total]],Tabla1468911[[#This Row],[Forma Pago]]="DOMICILIADO 60D",Tabla1468911[[#This Row],[Importe Total]])</f>
        <v>16.149999999999999</v>
      </c>
      <c r="K3" s="1" t="str">
        <f>_xlfn.IFS(Tabla1468911[[#This Row],[Forma Pago]]="30PP70-60D",IF(Tabla1468911[[#This Row],[Fecha Factura]]="","",Tabla1468911[[#This Row],[Fecha Factura]]+60),Tabla1468911[[#This Row],[Forma Pago]]="50PP50-60D",IF(Tabla1468911[[#This Row],[Fecha Factura]]="","",Tabla1468911[[#This Row],[Fecha Factura]]+60),Tabla1468911[[#This Row],[Forma Pago]]="100PP",IF(Tabla1468911[[#This Row],[Fecha Prep.]]="","",Tabla1468911[[#This Row],[Fecha Prep.]]),Tabla1468911[[#This Row],[Forma Pago]]="0D",IF(Tabla1468911[[#This Row],[Fecha Factura]]="","",Tabla1468911[[#This Row],[Fecha Factura]]),Tabla1468911[[#This Row],[Forma Pago]]="60D",IF(Tabla1468911[[#This Row],[Fecha Factura]]="","",Tabla1468911[[#This Row],[Fecha Factura]]+60),Tabla1468911[[#This Row],[Forma Pago]]="30D",IF(Tabla1468911[[#This Row],[Fecha Factura]]="","",Tabla1468911[[#This Row],[Fecha Factura]]+60),Tabla1468911[[#This Row],[Forma Pago]]="DOMICILIADO","")</f>
        <v/>
      </c>
      <c r="L3" t="s">
        <v>25</v>
      </c>
      <c r="M3" t="s">
        <v>2720</v>
      </c>
      <c r="N3" s="1">
        <v>46093</v>
      </c>
      <c r="O3" s="1" t="s">
        <v>94</v>
      </c>
    </row>
    <row r="4" spans="2:16">
      <c r="B4" s="1"/>
      <c r="D4" s="1">
        <v>46090</v>
      </c>
      <c r="E4" t="s">
        <v>3550</v>
      </c>
      <c r="G4" t="s">
        <v>2503</v>
      </c>
      <c r="H4" s="2">
        <v>23.32</v>
      </c>
      <c r="I4" s="2" t="s">
        <v>55</v>
      </c>
      <c r="J4" s="10">
        <f>_xlfn.IFS(Tabla1468911[[#This Row],[Forma Pago]]="30PP70-60D",Tabla1468911[[#This Row],[Importe Total]]*0.7,Tabla1468911[[#This Row],[Forma Pago]]="50PP50-60D",Tabla1468911[[#This Row],[Importe Total]]*0.5,Tabla1468911[[#This Row],[Forma Pago]]="100PP",Tabla1468911[[#This Row],[Importe Total]],Tabla1468911[[#This Row],[Forma Pago]]="0D",Tabla1468911[[#This Row],[Importe Total]],Tabla1468911[[#This Row],[Forma Pago]]="60D",Tabla1468911[[#This Row],[Importe Total]],Tabla1468911[[#This Row],[Forma Pago]]="30D",Tabla1468911[[#This Row],[Importe Total]],Tabla1468911[[#This Row],[Forma Pago]]="DOMICILIADO",Tabla1468911[[#This Row],[Importe Total]],Tabla1468911[[#This Row],[Forma Pago]]="DOMICILIADO 30D",Tabla1468911[[#This Row],[Importe Total]],Tabla1468911[[#This Row],[Forma Pago]]="DOMICILIADO 60D",Tabla1468911[[#This Row],[Importe Total]])</f>
        <v>23.32</v>
      </c>
      <c r="K4" s="3" t="str">
        <f>_xlfn.IFS(Tabla1468911[[#This Row],[Forma Pago]]="30PP70-60D",IF(Tabla1468911[[#This Row],[Fecha Factura]]="","",Tabla1468911[[#This Row],[Fecha Factura]]+60),Tabla1468911[[#This Row],[Forma Pago]]="50PP50-60D",IF(Tabla1468911[[#This Row],[Fecha Factura]]="","",Tabla1468911[[#This Row],[Fecha Factura]]+60),Tabla1468911[[#This Row],[Forma Pago]]="100PP",IF(Tabla1468911[[#This Row],[Fecha Prep.]]="","",Tabla1468911[[#This Row],[Fecha Prep.]]),Tabla1468911[[#This Row],[Forma Pago]]="0D",IF(Tabla1468911[[#This Row],[Fecha Factura]]="","",Tabla1468911[[#This Row],[Fecha Factura]]),Tabla1468911[[#This Row],[Forma Pago]]="60D",IF(Tabla1468911[[#This Row],[Fecha Factura]]="","",Tabla1468911[[#This Row],[Fecha Factura]]+60),Tabla1468911[[#This Row],[Forma Pago]]="30D",IF(Tabla1468911[[#This Row],[Fecha Factura]]="","",Tabla1468911[[#This Row],[Fecha Factura]]+60),Tabla1468911[[#This Row],[Forma Pago]]="DOMICILIADO","")</f>
        <v/>
      </c>
      <c r="L4" t="s">
        <v>25</v>
      </c>
      <c r="M4" t="s">
        <v>2720</v>
      </c>
      <c r="N4" s="1">
        <v>46093</v>
      </c>
      <c r="O4" s="1" t="s">
        <v>94</v>
      </c>
    </row>
    <row r="5" spans="2:16" s="49" customFormat="1">
      <c r="B5" s="48"/>
      <c r="D5" s="48">
        <v>46094</v>
      </c>
      <c r="E5" s="49" t="s">
        <v>3551</v>
      </c>
      <c r="G5" s="49" t="s">
        <v>2503</v>
      </c>
      <c r="H5" s="51">
        <v>265.35000000000002</v>
      </c>
      <c r="I5" s="51" t="s">
        <v>43</v>
      </c>
      <c r="J5" s="62">
        <f>_xlfn.IFS(Tabla1468911[[#This Row],[Forma Pago]]="30PP70-60D",Tabla1468911[[#This Row],[Importe Total]]*0.7,Tabla1468911[[#This Row],[Forma Pago]]="50PP50-60D",Tabla1468911[[#This Row],[Importe Total]]*0.5,Tabla1468911[[#This Row],[Forma Pago]]="100PP",Tabla1468911[[#This Row],[Importe Total]],Tabla1468911[[#This Row],[Forma Pago]]="0D",Tabla1468911[[#This Row],[Importe Total]],Tabla1468911[[#This Row],[Forma Pago]]="60D",Tabla1468911[[#This Row],[Importe Total]],Tabla1468911[[#This Row],[Forma Pago]]="30D",Tabla1468911[[#This Row],[Importe Total]],Tabla1468911[[#This Row],[Forma Pago]]="DOMICILIADO",Tabla1468911[[#This Row],[Importe Total]],Tabla1468911[[#This Row],[Forma Pago]]="DOMICILIADO 30D",Tabla1468911[[#This Row],[Importe Total]],Tabla1468911[[#This Row],[Forma Pago]]="DOMICILIADO 60D",Tabla1468911[[#This Row],[Importe Total]])</f>
        <v>265.35000000000002</v>
      </c>
      <c r="K5" s="52">
        <f>_xlfn.IFS(Tabla1468911[[#This Row],[Forma Pago]]="30PP70-60D",IF(Tabla1468911[[#This Row],[Fecha Factura]]="","",Tabla1468911[[#This Row],[Fecha Factura]]+60),Tabla1468911[[#This Row],[Forma Pago]]="50PP50-60D",IF(Tabla1468911[[#This Row],[Fecha Factura]]="","",Tabla1468911[[#This Row],[Fecha Factura]]+60),Tabla1468911[[#This Row],[Forma Pago]]="100PP",IF(Tabla1468911[[#This Row],[Fecha Prep.]]="","",Tabla1468911[[#This Row],[Fecha Prep.]]),Tabla1468911[[#This Row],[Forma Pago]]="0D",IF(Tabla1468911[[#This Row],[Fecha Factura]]="","",Tabla1468911[[#This Row],[Fecha Factura]]),Tabla1468911[[#This Row],[Forma Pago]]="60D",IF(Tabla1468911[[#This Row],[Fecha Factura]]="","",Tabla1468911[[#This Row],[Fecha Factura]]+60),Tabla1468911[[#This Row],[Forma Pago]]="30D",IF(Tabla1468911[[#This Row],[Fecha Factura]]="","",Tabla1468911[[#This Row],[Fecha Factura]]+60),Tabla1468911[[#This Row],[Forma Pago]]="DOMICILIADO","")</f>
        <v>46094</v>
      </c>
      <c r="L5" s="49" t="s">
        <v>25</v>
      </c>
      <c r="M5" s="49" t="s">
        <v>2845</v>
      </c>
      <c r="N5" s="48">
        <v>46121</v>
      </c>
      <c r="O5" s="48" t="s">
        <v>94</v>
      </c>
    </row>
    <row r="6" spans="2:16" s="49" customFormat="1">
      <c r="B6" s="48"/>
      <c r="D6" s="48">
        <v>46099</v>
      </c>
      <c r="E6" s="49" t="s">
        <v>3552</v>
      </c>
      <c r="G6" s="49" t="s">
        <v>3553</v>
      </c>
      <c r="H6" s="51">
        <v>145.47</v>
      </c>
      <c r="I6" s="51" t="s">
        <v>43</v>
      </c>
      <c r="J6" s="62">
        <f>_xlfn.IFS(Tabla1468911[[#This Row],[Forma Pago]]="30PP70-60D",Tabla1468911[[#This Row],[Importe Total]]*0.7,Tabla1468911[[#This Row],[Forma Pago]]="50PP50-60D",Tabla1468911[[#This Row],[Importe Total]]*0.5,Tabla1468911[[#This Row],[Forma Pago]]="100PP",Tabla1468911[[#This Row],[Importe Total]],Tabla1468911[[#This Row],[Forma Pago]]="0D",Tabla1468911[[#This Row],[Importe Total]],Tabla1468911[[#This Row],[Forma Pago]]="60D",Tabla1468911[[#This Row],[Importe Total]],Tabla1468911[[#This Row],[Forma Pago]]="30D",Tabla1468911[[#This Row],[Importe Total]],Tabla1468911[[#This Row],[Forma Pago]]="DOMICILIADO",Tabla1468911[[#This Row],[Importe Total]],Tabla1468911[[#This Row],[Forma Pago]]="DOMICILIADO 30D",Tabla1468911[[#This Row],[Importe Total]],Tabla1468911[[#This Row],[Forma Pago]]="DOMICILIADO 60D",Tabla1468911[[#This Row],[Importe Total]])</f>
        <v>145.47</v>
      </c>
      <c r="K6" s="52">
        <f>_xlfn.IFS(Tabla1468911[[#This Row],[Forma Pago]]="30PP70-60D",IF(Tabla1468911[[#This Row],[Fecha Factura]]="","",Tabla1468911[[#This Row],[Fecha Factura]]+60),Tabla1468911[[#This Row],[Forma Pago]]="50PP50-60D",IF(Tabla1468911[[#This Row],[Fecha Factura]]="","",Tabla1468911[[#This Row],[Fecha Factura]]+60),Tabla1468911[[#This Row],[Forma Pago]]="100PP",IF(Tabla1468911[[#This Row],[Fecha Prep.]]="","",Tabla1468911[[#This Row],[Fecha Prep.]]),Tabla1468911[[#This Row],[Forma Pago]]="0D",IF(Tabla1468911[[#This Row],[Fecha Factura]]="","",Tabla1468911[[#This Row],[Fecha Factura]]),Tabla1468911[[#This Row],[Forma Pago]]="60D",IF(Tabla1468911[[#This Row],[Fecha Factura]]="","",Tabla1468911[[#This Row],[Fecha Factura]]+60),Tabla1468911[[#This Row],[Forma Pago]]="30D",IF(Tabla1468911[[#This Row],[Fecha Factura]]="","",Tabla1468911[[#This Row],[Fecha Factura]]+60),Tabla1468911[[#This Row],[Forma Pago]]="DOMICILIADO","")</f>
        <v>46099</v>
      </c>
      <c r="L6" s="49" t="s">
        <v>25</v>
      </c>
      <c r="M6" s="49" t="s">
        <v>2848</v>
      </c>
      <c r="N6" s="48">
        <v>46121</v>
      </c>
      <c r="O6" s="48" t="s">
        <v>94</v>
      </c>
    </row>
    <row r="7" spans="2:16" s="49" customFormat="1">
      <c r="B7" s="48"/>
      <c r="D7" s="48">
        <v>46168</v>
      </c>
      <c r="E7" s="49" t="s">
        <v>3554</v>
      </c>
      <c r="G7" s="49" t="s">
        <v>2503</v>
      </c>
      <c r="H7" s="51">
        <v>107.83</v>
      </c>
      <c r="I7" s="51" t="s">
        <v>43</v>
      </c>
      <c r="J7" s="62">
        <f>_xlfn.IFS(Tabla1468911[[#This Row],[Forma Pago]]="30PP70-60D",Tabla1468911[[#This Row],[Importe Total]]*0.7,Tabla1468911[[#This Row],[Forma Pago]]="50PP50-60D",Tabla1468911[[#This Row],[Importe Total]]*0.5,Tabla1468911[[#This Row],[Forma Pago]]="100PP",Tabla1468911[[#This Row],[Importe Total]],Tabla1468911[[#This Row],[Forma Pago]]="0D",Tabla1468911[[#This Row],[Importe Total]],Tabla1468911[[#This Row],[Forma Pago]]="60D",Tabla1468911[[#This Row],[Importe Total]],Tabla1468911[[#This Row],[Forma Pago]]="30D",Tabla1468911[[#This Row],[Importe Total]],Tabla1468911[[#This Row],[Forma Pago]]="DOMICILIADO",Tabla1468911[[#This Row],[Importe Total]],Tabla1468911[[#This Row],[Forma Pago]]="DOMICILIADO 30D",Tabla1468911[[#This Row],[Importe Total]],Tabla1468911[[#This Row],[Forma Pago]]="DOMICILIADO 60D",Tabla1468911[[#This Row],[Importe Total]])</f>
        <v>107.83</v>
      </c>
      <c r="K7" s="52">
        <f>_xlfn.IFS(Tabla1468911[[#This Row],[Forma Pago]]="30PP70-60D",IF(Tabla1468911[[#This Row],[Fecha Factura]]="","",Tabla1468911[[#This Row],[Fecha Factura]]+60),Tabla1468911[[#This Row],[Forma Pago]]="50PP50-60D",IF(Tabla1468911[[#This Row],[Fecha Factura]]="","",Tabla1468911[[#This Row],[Fecha Factura]]+60),Tabla1468911[[#This Row],[Forma Pago]]="100PP",IF(Tabla1468911[[#This Row],[Fecha Prep.]]="","",Tabla1468911[[#This Row],[Fecha Prep.]]),Tabla1468911[[#This Row],[Forma Pago]]="0D",IF(Tabla1468911[[#This Row],[Fecha Factura]]="","",Tabla1468911[[#This Row],[Fecha Factura]]),Tabla1468911[[#This Row],[Forma Pago]]="60D",IF(Tabla1468911[[#This Row],[Fecha Factura]]="","",Tabla1468911[[#This Row],[Fecha Factura]]+60),Tabla1468911[[#This Row],[Forma Pago]]="30D",IF(Tabla1468911[[#This Row],[Fecha Factura]]="","",Tabla1468911[[#This Row],[Fecha Factura]]+60),Tabla1468911[[#This Row],[Forma Pago]]="DOMICILIADO","")</f>
        <v>46168</v>
      </c>
      <c r="L7" s="49" t="s">
        <v>25</v>
      </c>
      <c r="M7" s="49" t="s">
        <v>2845</v>
      </c>
      <c r="N7" s="48">
        <v>46170</v>
      </c>
      <c r="O7" s="48" t="s">
        <v>94</v>
      </c>
    </row>
    <row r="8" spans="2:16" s="49" customFormat="1">
      <c r="B8" s="48"/>
      <c r="D8" s="48">
        <v>46168</v>
      </c>
      <c r="E8" s="49" t="s">
        <v>3555</v>
      </c>
      <c r="G8" s="49" t="s">
        <v>3556</v>
      </c>
      <c r="H8" s="51">
        <v>23.32</v>
      </c>
      <c r="I8" s="51" t="s">
        <v>43</v>
      </c>
      <c r="J8" s="62">
        <f>_xlfn.IFS(Tabla1468911[[#This Row],[Forma Pago]]="30PP70-60D",Tabla1468911[[#This Row],[Importe Total]]*0.7,Tabla1468911[[#This Row],[Forma Pago]]="50PP50-60D",Tabla1468911[[#This Row],[Importe Total]]*0.5,Tabla1468911[[#This Row],[Forma Pago]]="100PP",Tabla1468911[[#This Row],[Importe Total]],Tabla1468911[[#This Row],[Forma Pago]]="0D",Tabla1468911[[#This Row],[Importe Total]],Tabla1468911[[#This Row],[Forma Pago]]="60D",Tabla1468911[[#This Row],[Importe Total]],Tabla1468911[[#This Row],[Forma Pago]]="30D",Tabla1468911[[#This Row],[Importe Total]],Tabla1468911[[#This Row],[Forma Pago]]="DOMICILIADO",Tabla1468911[[#This Row],[Importe Total]],Tabla1468911[[#This Row],[Forma Pago]]="DOMICILIADO 30D",Tabla1468911[[#This Row],[Importe Total]],Tabla1468911[[#This Row],[Forma Pago]]="DOMICILIADO 60D",Tabla1468911[[#This Row],[Importe Total]])</f>
        <v>23.32</v>
      </c>
      <c r="K8" s="52">
        <f>_xlfn.IFS(Tabla1468911[[#This Row],[Forma Pago]]="30PP70-60D",IF(Tabla1468911[[#This Row],[Fecha Factura]]="","",Tabla1468911[[#This Row],[Fecha Factura]]+60),Tabla1468911[[#This Row],[Forma Pago]]="50PP50-60D",IF(Tabla1468911[[#This Row],[Fecha Factura]]="","",Tabla1468911[[#This Row],[Fecha Factura]]+60),Tabla1468911[[#This Row],[Forma Pago]]="100PP",IF(Tabla1468911[[#This Row],[Fecha Prep.]]="","",Tabla1468911[[#This Row],[Fecha Prep.]]),Tabla1468911[[#This Row],[Forma Pago]]="0D",IF(Tabla1468911[[#This Row],[Fecha Factura]]="","",Tabla1468911[[#This Row],[Fecha Factura]]),Tabla1468911[[#This Row],[Forma Pago]]="60D",IF(Tabla1468911[[#This Row],[Fecha Factura]]="","",Tabla1468911[[#This Row],[Fecha Factura]]+60),Tabla1468911[[#This Row],[Forma Pago]]="30D",IF(Tabla1468911[[#This Row],[Fecha Factura]]="","",Tabla1468911[[#This Row],[Fecha Factura]]+60),Tabla1468911[[#This Row],[Forma Pago]]="DOMICILIADO","")</f>
        <v>46168</v>
      </c>
      <c r="L8" s="49" t="s">
        <v>25</v>
      </c>
      <c r="M8" s="49" t="s">
        <v>3557</v>
      </c>
      <c r="N8" s="48">
        <v>46170</v>
      </c>
      <c r="O8" s="48" t="s">
        <v>94</v>
      </c>
    </row>
  </sheetData>
  <conditionalFormatting sqref="B3:O8">
    <cfRule type="expression" dxfId="110" priority="38">
      <formula>$L3="PAGADO"</formula>
    </cfRule>
  </conditionalFormatting>
  <dataValidations count="2">
    <dataValidation type="list" allowBlank="1" showInputMessage="1" showErrorMessage="1" sqref="L3:L8" xr:uid="{82558206-0F60-443A-850C-A481D245B0E2}">
      <formula1>INDIRECT("tablaestado[ESTADO]")</formula1>
    </dataValidation>
    <dataValidation type="list" allowBlank="1" showInputMessage="1" showErrorMessage="1" sqref="I3:I8" xr:uid="{56F6DEB8-E47D-43DA-AD54-CB0E10C70054}">
      <formula1>INDIRECT("tablaformapago[Forma pago]")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D8FB7-59F8-4DCA-8DB0-67496AF2275F}">
  <dimension ref="B1:P25"/>
  <sheetViews>
    <sheetView showGridLines="0" workbookViewId="0">
      <selection activeCell="E19" sqref="E19"/>
    </sheetView>
  </sheetViews>
  <sheetFormatPr defaultColWidth="8.7109375" defaultRowHeight="15"/>
  <cols>
    <col min="2" max="2" width="17.140625" bestFit="1" customWidth="1"/>
    <col min="3" max="3" width="14.42578125" bestFit="1" customWidth="1"/>
    <col min="4" max="4" width="15.28515625" bestFit="1" customWidth="1"/>
    <col min="5" max="5" width="12.5703125" bestFit="1" customWidth="1"/>
    <col min="6" max="6" width="13.5703125" bestFit="1" customWidth="1"/>
    <col min="7" max="7" width="37.85546875" bestFit="1" customWidth="1"/>
    <col min="8" max="8" width="15.28515625" bestFit="1" customWidth="1"/>
    <col min="9" max="9" width="17.85546875" customWidth="1"/>
    <col min="10" max="10" width="12.5703125" customWidth="1"/>
    <col min="11" max="11" width="20.85546875" bestFit="1" customWidth="1"/>
    <col min="12" max="12" width="9.140625" bestFit="1" customWidth="1"/>
    <col min="13" max="13" width="14.85546875" customWidth="1"/>
    <col min="14" max="14" width="20.42578125" bestFit="1" customWidth="1"/>
    <col min="15" max="15" width="15.85546875" bestFit="1" customWidth="1"/>
    <col min="16" max="16" width="8.5703125" bestFit="1" customWidth="1"/>
  </cols>
  <sheetData>
    <row r="1" spans="2:16" ht="21">
      <c r="B1" s="100" t="s">
        <v>3558</v>
      </c>
    </row>
    <row r="2" spans="2:16">
      <c r="B2" t="s">
        <v>2451</v>
      </c>
      <c r="C2" t="s">
        <v>2</v>
      </c>
      <c r="D2" t="s">
        <v>3</v>
      </c>
      <c r="E2" t="s">
        <v>4</v>
      </c>
      <c r="F2" t="s">
        <v>5</v>
      </c>
      <c r="G2" t="s">
        <v>7</v>
      </c>
      <c r="H2" t="s">
        <v>8</v>
      </c>
      <c r="I2" t="s">
        <v>9</v>
      </c>
      <c r="J2" t="s">
        <v>2452</v>
      </c>
      <c r="K2" t="s">
        <v>2453</v>
      </c>
      <c r="L2" t="s">
        <v>2454</v>
      </c>
      <c r="M2" t="s">
        <v>2455</v>
      </c>
      <c r="N2" t="s">
        <v>3559</v>
      </c>
      <c r="O2" t="s">
        <v>18</v>
      </c>
      <c r="P2" t="s">
        <v>3560</v>
      </c>
    </row>
    <row r="3" spans="2:16" hidden="1">
      <c r="B3" s="1"/>
      <c r="D3" s="1">
        <v>46030</v>
      </c>
      <c r="E3" s="29">
        <v>1</v>
      </c>
      <c r="F3" s="26">
        <v>46037</v>
      </c>
      <c r="G3" s="142" t="s">
        <v>3561</v>
      </c>
      <c r="H3" s="2">
        <v>788.58</v>
      </c>
      <c r="I3" s="2" t="s">
        <v>55</v>
      </c>
      <c r="J3" s="10">
        <f>_xlfn.IFS(Tabla1468[[#This Row],[Forma Pago]]="30PP70-60D",Tabla1468[[#This Row],[Importe Total]]*0.7,Tabla1468[[#This Row],[Forma Pago]]="50PP50-60D",Tabla1468[[#This Row],[Importe Total]]*0.5,Tabla1468[[#This Row],[Forma Pago]]="100PP",Tabla1468[[#This Row],[Importe Total]],Tabla1468[[#This Row],[Forma Pago]]="0D",Tabla1468[[#This Row],[Importe Total]],Tabla1468[[#This Row],[Forma Pago]]="60D",Tabla1468[[#This Row],[Importe Total]],Tabla1468[[#This Row],[Forma Pago]]="30D",Tabla1468[[#This Row],[Importe Total]],Tabla1468[[#This Row],[Forma Pago]]="DOMICILIADO",Tabla1468[[#This Row],[Importe Total]],Tabla1468[[#This Row],[Forma Pago]]="DOMICILIADO 30D",Tabla1468[[#This Row],[Importe Total]],Tabla1468[[#This Row],[Forma Pago]]="DOMICILIADO 60D",Tabla1468[[#This Row],[Importe Total]])</f>
        <v>788.58</v>
      </c>
      <c r="K3" s="1">
        <f>_xlfn.IFS(Tabla1468[[#This Row],[Forma Pago]]="30PP70-60D",IF(Tabla1468[[#This Row],[Fecha Factura]]="","",Tabla1468[[#This Row],[Fecha Factura]]+60),Tabla1468[[#This Row],[Forma Pago]]="50PP50-60D",IF(Tabla1468[[#This Row],[Fecha Factura]]="","",Tabla1468[[#This Row],[Fecha Factura]]+60),Tabla1468[[#This Row],[Forma Pago]]="100PP",IF(Tabla1468[[#This Row],[Fecha Prep.]]="","",Tabla1468[[#This Row],[Fecha Prep.]]),Tabla1468[[#This Row],[Forma Pago]]="0D",IF(Tabla1468[[#This Row],[Fecha Factura]]="","",Tabla1468[[#This Row],[Fecha Factura]]),Tabla1468[[#This Row],[Forma Pago]]="60D",IF(Tabla1468[[#This Row],[Fecha Factura]]="","",Tabla1468[[#This Row],[Fecha Factura]]+60),Tabla1468[[#This Row],[Forma Pago]]="30D",IF(Tabla1468[[#This Row],[Fecha Factura]]="","",Tabla1468[[#This Row],[Fecha Factura]]+60),Tabla1468[[#This Row],[Forma Pago]]="DOMICILIADO","")</f>
        <v>46037</v>
      </c>
      <c r="L3" t="s">
        <v>25</v>
      </c>
      <c r="N3" s="1">
        <v>46037</v>
      </c>
      <c r="O3" t="s">
        <v>27</v>
      </c>
    </row>
    <row r="4" spans="2:16">
      <c r="B4" s="1"/>
      <c r="D4" s="1">
        <v>46054</v>
      </c>
      <c r="E4" s="29" t="s">
        <v>3562</v>
      </c>
      <c r="G4" t="s">
        <v>3563</v>
      </c>
      <c r="H4" s="2">
        <v>115.62</v>
      </c>
      <c r="I4" s="2" t="s">
        <v>98</v>
      </c>
      <c r="J4" s="11">
        <f>_xlfn.IFS(Tabla1468[[#This Row],[Forma Pago]]="30PP70-60D",Tabla1468[[#This Row],[Importe Total]]*0.7,Tabla1468[[#This Row],[Forma Pago]]="50PP50-60D",Tabla1468[[#This Row],[Importe Total]]*0.5,Tabla1468[[#This Row],[Forma Pago]]="100PP",Tabla1468[[#This Row],[Importe Total]],Tabla1468[[#This Row],[Forma Pago]]="0D",Tabla1468[[#This Row],[Importe Total]],Tabla1468[[#This Row],[Forma Pago]]="60D",Tabla1468[[#This Row],[Importe Total]],Tabla1468[[#This Row],[Forma Pago]]="30D",Tabla1468[[#This Row],[Importe Total]],Tabla1468[[#This Row],[Forma Pago]]="DOMICILIADO",Tabla1468[[#This Row],[Importe Total]],Tabla1468[[#This Row],[Forma Pago]]="DOMICILIADO 30D",Tabla1468[[#This Row],[Importe Total]],Tabla1468[[#This Row],[Forma Pago]]="DOMICILIADO 60D",Tabla1468[[#This Row],[Importe Total]])</f>
        <v>115.62</v>
      </c>
      <c r="K4" s="3" t="str">
        <f>_xlfn.IFS(Tabla1468[[#This Row],[Forma Pago]]="30PP70-60D",IF(Tabla1468[[#This Row],[Fecha Factura]]="","",Tabla1468[[#This Row],[Fecha Factura]]+60),Tabla1468[[#This Row],[Forma Pago]]="50PP50-60D",IF(Tabla1468[[#This Row],[Fecha Factura]]="","",Tabla1468[[#This Row],[Fecha Factura]]+60),Tabla1468[[#This Row],[Forma Pago]]="100PP",IF(Tabla1468[[#This Row],[Fecha Prep.]]="","",Tabla1468[[#This Row],[Fecha Prep.]]),Tabla1468[[#This Row],[Forma Pago]]="0D",IF(Tabla1468[[#This Row],[Fecha Factura]]="","",Tabla1468[[#This Row],[Fecha Factura]]),Tabla1468[[#This Row],[Forma Pago]]="60D",IF(Tabla1468[[#This Row],[Fecha Factura]]="","",Tabla1468[[#This Row],[Fecha Factura]]+60),Tabla1468[[#This Row],[Forma Pago]]="30D",IF(Tabla1468[[#This Row],[Fecha Factura]]="","",Tabla1468[[#This Row],[Fecha Factura]]+60),Tabla1468[[#This Row],[Forma Pago]]="DOMICILIADO","")</f>
        <v/>
      </c>
      <c r="L4" t="s">
        <v>25</v>
      </c>
    </row>
    <row r="5" spans="2:16">
      <c r="B5" s="1"/>
      <c r="D5" s="1">
        <v>46023</v>
      </c>
      <c r="E5" s="29" t="s">
        <v>3564</v>
      </c>
      <c r="G5" t="s">
        <v>3563</v>
      </c>
      <c r="H5" s="2">
        <v>115.62</v>
      </c>
      <c r="I5" s="2" t="s">
        <v>98</v>
      </c>
      <c r="J5" s="11">
        <f>_xlfn.IFS(Tabla1468[[#This Row],[Forma Pago]]="30PP70-60D",Tabla1468[[#This Row],[Importe Total]]*0.7,Tabla1468[[#This Row],[Forma Pago]]="50PP50-60D",Tabla1468[[#This Row],[Importe Total]]*0.5,Tabla1468[[#This Row],[Forma Pago]]="100PP",Tabla1468[[#This Row],[Importe Total]],Tabla1468[[#This Row],[Forma Pago]]="0D",Tabla1468[[#This Row],[Importe Total]],Tabla1468[[#This Row],[Forma Pago]]="60D",Tabla1468[[#This Row],[Importe Total]],Tabla1468[[#This Row],[Forma Pago]]="30D",Tabla1468[[#This Row],[Importe Total]],Tabla1468[[#This Row],[Forma Pago]]="DOMICILIADO",Tabla1468[[#This Row],[Importe Total]],Tabla1468[[#This Row],[Forma Pago]]="DOMICILIADO 30D",Tabla1468[[#This Row],[Importe Total]],Tabla1468[[#This Row],[Forma Pago]]="DOMICILIADO 60D",Tabla1468[[#This Row],[Importe Total]])</f>
        <v>115.62</v>
      </c>
      <c r="K5" s="3" t="str">
        <f>_xlfn.IFS(Tabla1468[[#This Row],[Forma Pago]]="30PP70-60D",IF(Tabla1468[[#This Row],[Fecha Factura]]="","",Tabla1468[[#This Row],[Fecha Factura]]+60),Tabla1468[[#This Row],[Forma Pago]]="50PP50-60D",IF(Tabla1468[[#This Row],[Fecha Factura]]="","",Tabla1468[[#This Row],[Fecha Factura]]+60),Tabla1468[[#This Row],[Forma Pago]]="100PP",IF(Tabla1468[[#This Row],[Fecha Prep.]]="","",Tabla1468[[#This Row],[Fecha Prep.]]),Tabla1468[[#This Row],[Forma Pago]]="0D",IF(Tabla1468[[#This Row],[Fecha Factura]]="","",Tabla1468[[#This Row],[Fecha Factura]]),Tabla1468[[#This Row],[Forma Pago]]="60D",IF(Tabla1468[[#This Row],[Fecha Factura]]="","",Tabla1468[[#This Row],[Fecha Factura]]+60),Tabla1468[[#This Row],[Forma Pago]]="30D",IF(Tabla1468[[#This Row],[Fecha Factura]]="","",Tabla1468[[#This Row],[Fecha Factura]]+60),Tabla1468[[#This Row],[Forma Pago]]="DOMICILIADO","")</f>
        <v/>
      </c>
      <c r="L5" t="s">
        <v>25</v>
      </c>
    </row>
    <row r="6" spans="2:16" hidden="1">
      <c r="B6" s="1"/>
      <c r="D6" s="1">
        <v>46065</v>
      </c>
      <c r="E6" s="29">
        <v>2</v>
      </c>
      <c r="G6" s="142" t="s">
        <v>3561</v>
      </c>
      <c r="H6" s="2">
        <v>788.58</v>
      </c>
      <c r="I6" s="2" t="s">
        <v>55</v>
      </c>
      <c r="J6" s="10">
        <f>_xlfn.IFS(Tabla1468[[#This Row],[Forma Pago]]="30PP70-60D",Tabla1468[[#This Row],[Importe Total]]*0.7,Tabla1468[[#This Row],[Forma Pago]]="50PP50-60D",Tabla1468[[#This Row],[Importe Total]]*0.5,Tabla1468[[#This Row],[Forma Pago]]="100PP",Tabla1468[[#This Row],[Importe Total]],Tabla1468[[#This Row],[Forma Pago]]="0D",Tabla1468[[#This Row],[Importe Total]],Tabla1468[[#This Row],[Forma Pago]]="60D",Tabla1468[[#This Row],[Importe Total]],Tabla1468[[#This Row],[Forma Pago]]="30D",Tabla1468[[#This Row],[Importe Total]],Tabla1468[[#This Row],[Forma Pago]]="DOMICILIADO",Tabla1468[[#This Row],[Importe Total]],Tabla1468[[#This Row],[Forma Pago]]="DOMICILIADO 30D",Tabla1468[[#This Row],[Importe Total]],Tabla1468[[#This Row],[Forma Pago]]="DOMICILIADO 60D",Tabla1468[[#This Row],[Importe Total]])</f>
        <v>788.58</v>
      </c>
      <c r="K6" s="3">
        <v>46072</v>
      </c>
      <c r="L6" t="s">
        <v>25</v>
      </c>
      <c r="N6" s="1">
        <v>46072</v>
      </c>
      <c r="O6" t="s">
        <v>27</v>
      </c>
    </row>
    <row r="7" spans="2:16">
      <c r="B7" s="1"/>
      <c r="D7" s="1">
        <v>46073</v>
      </c>
      <c r="E7" s="29" t="s">
        <v>3565</v>
      </c>
      <c r="G7" t="s">
        <v>3563</v>
      </c>
      <c r="H7" s="2">
        <v>-115.62</v>
      </c>
      <c r="I7" s="2" t="s">
        <v>98</v>
      </c>
      <c r="J7" s="2">
        <f>_xlfn.IFS(Tabla1468[[#This Row],[Forma Pago]]="30PP70-60D",Tabla1468[[#This Row],[Importe Total]]*0.7,Tabla1468[[#This Row],[Forma Pago]]="50PP50-60D",Tabla1468[[#This Row],[Importe Total]]*0.5,Tabla1468[[#This Row],[Forma Pago]]="100PP",Tabla1468[[#This Row],[Importe Total]],Tabla1468[[#This Row],[Forma Pago]]="0D",Tabla1468[[#This Row],[Importe Total]],Tabla1468[[#This Row],[Forma Pago]]="60D",Tabla1468[[#This Row],[Importe Total]],Tabla1468[[#This Row],[Forma Pago]]="30D",Tabla1468[[#This Row],[Importe Total]],Tabla1468[[#This Row],[Forma Pago]]="DOMICILIADO",Tabla1468[[#This Row],[Importe Total]],Tabla1468[[#This Row],[Forma Pago]]="DOMICILIADO 30D",Tabla1468[[#This Row],[Importe Total]],Tabla1468[[#This Row],[Forma Pago]]="DOMICILIADO 60D",Tabla1468[[#This Row],[Importe Total]])</f>
        <v>-115.62</v>
      </c>
      <c r="K7" s="3">
        <v>46073</v>
      </c>
      <c r="L7" t="s">
        <v>25</v>
      </c>
      <c r="M7" t="s">
        <v>3566</v>
      </c>
    </row>
    <row r="8" spans="2:16">
      <c r="B8" s="1"/>
      <c r="D8" s="1">
        <v>46073</v>
      </c>
      <c r="E8" s="29" t="s">
        <v>3567</v>
      </c>
      <c r="G8" t="s">
        <v>3563</v>
      </c>
      <c r="H8" s="2">
        <v>-115.62</v>
      </c>
      <c r="I8" s="2" t="s">
        <v>98</v>
      </c>
      <c r="J8" s="2">
        <f>_xlfn.IFS(Tabla1468[[#This Row],[Forma Pago]]="30PP70-60D",Tabla1468[[#This Row],[Importe Total]]*0.7,Tabla1468[[#This Row],[Forma Pago]]="50PP50-60D",Tabla1468[[#This Row],[Importe Total]]*0.5,Tabla1468[[#This Row],[Forma Pago]]="100PP",Tabla1468[[#This Row],[Importe Total]],Tabla1468[[#This Row],[Forma Pago]]="0D",Tabla1468[[#This Row],[Importe Total]],Tabla1468[[#This Row],[Forma Pago]]="60D",Tabla1468[[#This Row],[Importe Total]],Tabla1468[[#This Row],[Forma Pago]]="30D",Tabla1468[[#This Row],[Importe Total]],Tabla1468[[#This Row],[Forma Pago]]="DOMICILIADO",Tabla1468[[#This Row],[Importe Total]],Tabla1468[[#This Row],[Forma Pago]]="DOMICILIADO 30D",Tabla1468[[#This Row],[Importe Total]],Tabla1468[[#This Row],[Forma Pago]]="DOMICILIADO 60D",Tabla1468[[#This Row],[Importe Total]])</f>
        <v>-115.62</v>
      </c>
      <c r="K8" s="3">
        <v>46073</v>
      </c>
      <c r="L8" t="s">
        <v>25</v>
      </c>
      <c r="M8" t="s">
        <v>3568</v>
      </c>
    </row>
    <row r="9" spans="2:16">
      <c r="B9" s="1"/>
      <c r="D9" s="1">
        <v>46073</v>
      </c>
      <c r="E9" s="29" t="s">
        <v>3569</v>
      </c>
      <c r="G9" t="s">
        <v>3563</v>
      </c>
      <c r="H9" s="2">
        <v>115.62</v>
      </c>
      <c r="I9" s="2" t="s">
        <v>98</v>
      </c>
      <c r="J9" s="2">
        <f>_xlfn.IFS(Tabla1468[[#This Row],[Forma Pago]]="30PP70-60D",Tabla1468[[#This Row],[Importe Total]]*0.7,Tabla1468[[#This Row],[Forma Pago]]="50PP50-60D",Tabla1468[[#This Row],[Importe Total]]*0.5,Tabla1468[[#This Row],[Forma Pago]]="100PP",Tabla1468[[#This Row],[Importe Total]],Tabla1468[[#This Row],[Forma Pago]]="0D",Tabla1468[[#This Row],[Importe Total]],Tabla1468[[#This Row],[Forma Pago]]="60D",Tabla1468[[#This Row],[Importe Total]],Tabla1468[[#This Row],[Forma Pago]]="30D",Tabla1468[[#This Row],[Importe Total]],Tabla1468[[#This Row],[Forma Pago]]="DOMICILIADO",Tabla1468[[#This Row],[Importe Total]],Tabla1468[[#This Row],[Forma Pago]]="DOMICILIADO 30D",Tabla1468[[#This Row],[Importe Total]],Tabla1468[[#This Row],[Forma Pago]]="DOMICILIADO 60D",Tabla1468[[#This Row],[Importe Total]])</f>
        <v>115.62</v>
      </c>
      <c r="K9" s="3">
        <v>46073</v>
      </c>
      <c r="L9" t="s">
        <v>25</v>
      </c>
    </row>
    <row r="10" spans="2:16">
      <c r="B10" s="1"/>
      <c r="D10" s="1">
        <v>46073</v>
      </c>
      <c r="E10" s="29" t="s">
        <v>3570</v>
      </c>
      <c r="G10" t="s">
        <v>3563</v>
      </c>
      <c r="H10" s="2">
        <v>115.62</v>
      </c>
      <c r="I10" s="2" t="s">
        <v>98</v>
      </c>
      <c r="J10" s="2">
        <f>_xlfn.IFS(Tabla1468[[#This Row],[Forma Pago]]="30PP70-60D",Tabla1468[[#This Row],[Importe Total]]*0.7,Tabla1468[[#This Row],[Forma Pago]]="50PP50-60D",Tabla1468[[#This Row],[Importe Total]]*0.5,Tabla1468[[#This Row],[Forma Pago]]="100PP",Tabla1468[[#This Row],[Importe Total]],Tabla1468[[#This Row],[Forma Pago]]="0D",Tabla1468[[#This Row],[Importe Total]],Tabla1468[[#This Row],[Forma Pago]]="60D",Tabla1468[[#This Row],[Importe Total]],Tabla1468[[#This Row],[Forma Pago]]="30D",Tabla1468[[#This Row],[Importe Total]],Tabla1468[[#This Row],[Forma Pago]]="DOMICILIADO",Tabla1468[[#This Row],[Importe Total]],Tabla1468[[#This Row],[Forma Pago]]="DOMICILIADO 30D",Tabla1468[[#This Row],[Importe Total]],Tabla1468[[#This Row],[Forma Pago]]="DOMICILIADO 60D",Tabla1468[[#This Row],[Importe Total]])</f>
        <v>115.62</v>
      </c>
      <c r="K10" s="3">
        <v>46073</v>
      </c>
      <c r="L10" t="s">
        <v>25</v>
      </c>
    </row>
    <row r="11" spans="2:16" s="49" customFormat="1" hidden="1">
      <c r="B11" s="48"/>
      <c r="D11" s="48">
        <v>46083</v>
      </c>
      <c r="E11" s="50">
        <v>3</v>
      </c>
      <c r="G11" s="142" t="s">
        <v>3561</v>
      </c>
      <c r="H11" s="51">
        <v>788.58</v>
      </c>
      <c r="I11" s="51" t="s">
        <v>55</v>
      </c>
      <c r="J11" s="62">
        <f>_xlfn.IFS(Tabla1468[[#This Row],[Forma Pago]]="30PP70-60D",Tabla1468[[#This Row],[Importe Total]]*0.7,Tabla1468[[#This Row],[Forma Pago]]="50PP50-60D",Tabla1468[[#This Row],[Importe Total]]*0.5,Tabla1468[[#This Row],[Forma Pago]]="100PP",Tabla1468[[#This Row],[Importe Total]],Tabla1468[[#This Row],[Forma Pago]]="0D",Tabla1468[[#This Row],[Importe Total]],Tabla1468[[#This Row],[Forma Pago]]="60D",Tabla1468[[#This Row],[Importe Total]],Tabla1468[[#This Row],[Forma Pago]]="30D",Tabla1468[[#This Row],[Importe Total]],Tabla1468[[#This Row],[Forma Pago]]="DOMICILIADO",Tabla1468[[#This Row],[Importe Total]],Tabla1468[[#This Row],[Forma Pago]]="DOMICILIADO 30D",Tabla1468[[#This Row],[Importe Total]],Tabla1468[[#This Row],[Forma Pago]]="DOMICILIADO 60D",Tabla1468[[#This Row],[Importe Total]])</f>
        <v>788.58</v>
      </c>
      <c r="K11" s="52" t="str">
        <f>_xlfn.IFS(Tabla1468[[#This Row],[Forma Pago]]="30PP70-60D",IF(Tabla1468[[#This Row],[Fecha Factura]]="","",Tabla1468[[#This Row],[Fecha Factura]]+60),Tabla1468[[#This Row],[Forma Pago]]="50PP50-60D",IF(Tabla1468[[#This Row],[Fecha Factura]]="","",Tabla1468[[#This Row],[Fecha Factura]]+60),Tabla1468[[#This Row],[Forma Pago]]="100PP",IF(Tabla1468[[#This Row],[Fecha Prep.]]="","",Tabla1468[[#This Row],[Fecha Prep.]]),Tabla1468[[#This Row],[Forma Pago]]="0D",IF(Tabla1468[[#This Row],[Fecha Factura]]="","",Tabla1468[[#This Row],[Fecha Factura]]),Tabla1468[[#This Row],[Forma Pago]]="60D",IF(Tabla1468[[#This Row],[Fecha Factura]]="","",Tabla1468[[#This Row],[Fecha Factura]]+60),Tabla1468[[#This Row],[Forma Pago]]="30D",IF(Tabla1468[[#This Row],[Fecha Factura]]="","",Tabla1468[[#This Row],[Fecha Factura]]+60),Tabla1468[[#This Row],[Forma Pago]]="DOMICILIADO","")</f>
        <v/>
      </c>
      <c r="L11" s="49" t="s">
        <v>25</v>
      </c>
      <c r="N11" s="48">
        <v>46086</v>
      </c>
      <c r="O11" s="49" t="s">
        <v>27</v>
      </c>
    </row>
    <row r="12" spans="2:16" s="49" customFormat="1">
      <c r="B12" s="48"/>
      <c r="D12" s="48">
        <v>46082</v>
      </c>
      <c r="E12" s="50" t="s">
        <v>3571</v>
      </c>
      <c r="G12" s="49" t="s">
        <v>3563</v>
      </c>
      <c r="H12" s="51">
        <v>158.66999999999999</v>
      </c>
      <c r="I12" s="51" t="s">
        <v>98</v>
      </c>
      <c r="J12" s="51">
        <f>_xlfn.IFS(Tabla1468[[#This Row],[Forma Pago]]="30PP70-60D",Tabla1468[[#This Row],[Importe Total]]*0.7,Tabla1468[[#This Row],[Forma Pago]]="50PP50-60D",Tabla1468[[#This Row],[Importe Total]]*0.5,Tabla1468[[#This Row],[Forma Pago]]="100PP",Tabla1468[[#This Row],[Importe Total]],Tabla1468[[#This Row],[Forma Pago]]="0D",Tabla1468[[#This Row],[Importe Total]],Tabla1468[[#This Row],[Forma Pago]]="60D",Tabla1468[[#This Row],[Importe Total]],Tabla1468[[#This Row],[Forma Pago]]="30D",Tabla1468[[#This Row],[Importe Total]],Tabla1468[[#This Row],[Forma Pago]]="DOMICILIADO",Tabla1468[[#This Row],[Importe Total]],Tabla1468[[#This Row],[Forma Pago]]="DOMICILIADO 30D",Tabla1468[[#This Row],[Importe Total]],Tabla1468[[#This Row],[Forma Pago]]="DOMICILIADO 60D",Tabla1468[[#This Row],[Importe Total]])</f>
        <v>158.66999999999999</v>
      </c>
      <c r="K12" s="52" t="str">
        <f>_xlfn.IFS(Tabla1468[[#This Row],[Forma Pago]]="30PP70-60D",IF(Tabla1468[[#This Row],[Fecha Factura]]="","",Tabla1468[[#This Row],[Fecha Factura]]+60),Tabla1468[[#This Row],[Forma Pago]]="50PP50-60D",IF(Tabla1468[[#This Row],[Fecha Factura]]="","",Tabla1468[[#This Row],[Fecha Factura]]+60),Tabla1468[[#This Row],[Forma Pago]]="100PP",IF(Tabla1468[[#This Row],[Fecha Prep.]]="","",Tabla1468[[#This Row],[Fecha Prep.]]),Tabla1468[[#This Row],[Forma Pago]]="0D",IF(Tabla1468[[#This Row],[Fecha Factura]]="","",Tabla1468[[#This Row],[Fecha Factura]]),Tabla1468[[#This Row],[Forma Pago]]="60D",IF(Tabla1468[[#This Row],[Fecha Factura]]="","",Tabla1468[[#This Row],[Fecha Factura]]+60),Tabla1468[[#This Row],[Forma Pago]]="30D",IF(Tabla1468[[#This Row],[Fecha Factura]]="","",Tabla1468[[#This Row],[Fecha Factura]]+60),Tabla1468[[#This Row],[Forma Pago]]="DOMICILIADO","")</f>
        <v/>
      </c>
      <c r="L12" s="49" t="s">
        <v>25</v>
      </c>
      <c r="M12" s="49" t="s">
        <v>3572</v>
      </c>
    </row>
    <row r="13" spans="2:16" s="49" customFormat="1">
      <c r="B13" s="48"/>
      <c r="D13" s="48">
        <v>46086</v>
      </c>
      <c r="E13" s="50" t="s">
        <v>3573</v>
      </c>
      <c r="G13" s="49" t="s">
        <v>3563</v>
      </c>
      <c r="H13" s="51">
        <v>-43.05</v>
      </c>
      <c r="I13" s="51" t="s">
        <v>98</v>
      </c>
      <c r="J13" s="51">
        <f>_xlfn.IFS(Tabla1468[[#This Row],[Forma Pago]]="30PP70-60D",Tabla1468[[#This Row],[Importe Total]]*0.7,Tabla1468[[#This Row],[Forma Pago]]="50PP50-60D",Tabla1468[[#This Row],[Importe Total]]*0.5,Tabla1468[[#This Row],[Forma Pago]]="100PP",Tabla1468[[#This Row],[Importe Total]],Tabla1468[[#This Row],[Forma Pago]]="0D",Tabla1468[[#This Row],[Importe Total]],Tabla1468[[#This Row],[Forma Pago]]="60D",Tabla1468[[#This Row],[Importe Total]],Tabla1468[[#This Row],[Forma Pago]]="30D",Tabla1468[[#This Row],[Importe Total]],Tabla1468[[#This Row],[Forma Pago]]="DOMICILIADO",Tabla1468[[#This Row],[Importe Total]],Tabla1468[[#This Row],[Forma Pago]]="DOMICILIADO 30D",Tabla1468[[#This Row],[Importe Total]],Tabla1468[[#This Row],[Forma Pago]]="DOMICILIADO 60D",Tabla1468[[#This Row],[Importe Total]])</f>
        <v>-43.05</v>
      </c>
      <c r="K13" s="52" t="str">
        <f>_xlfn.IFS(Tabla1468[[#This Row],[Forma Pago]]="30PP70-60D",IF(Tabla1468[[#This Row],[Fecha Factura]]="","",Tabla1468[[#This Row],[Fecha Factura]]+60),Tabla1468[[#This Row],[Forma Pago]]="50PP50-60D",IF(Tabla1468[[#This Row],[Fecha Factura]]="","",Tabla1468[[#This Row],[Fecha Factura]]+60),Tabla1468[[#This Row],[Forma Pago]]="100PP",IF(Tabla1468[[#This Row],[Fecha Prep.]]="","",Tabla1468[[#This Row],[Fecha Prep.]]),Tabla1468[[#This Row],[Forma Pago]]="0D",IF(Tabla1468[[#This Row],[Fecha Factura]]="","",Tabla1468[[#This Row],[Fecha Factura]]),Tabla1468[[#This Row],[Forma Pago]]="60D",IF(Tabla1468[[#This Row],[Fecha Factura]]="","",Tabla1468[[#This Row],[Fecha Factura]]+60),Tabla1468[[#This Row],[Forma Pago]]="30D",IF(Tabla1468[[#This Row],[Fecha Factura]]="","",Tabla1468[[#This Row],[Fecha Factura]]+60),Tabla1468[[#This Row],[Forma Pago]]="DOMICILIADO","")</f>
        <v/>
      </c>
      <c r="M13" s="49" t="s">
        <v>3574</v>
      </c>
    </row>
    <row r="14" spans="2:16" s="49" customFormat="1">
      <c r="B14" s="48"/>
      <c r="D14" s="48">
        <v>46113</v>
      </c>
      <c r="E14" s="50" t="s">
        <v>3575</v>
      </c>
      <c r="G14" s="49" t="s">
        <v>3563</v>
      </c>
      <c r="H14" s="51">
        <v>158.66999999999999</v>
      </c>
      <c r="I14" s="51" t="s">
        <v>98</v>
      </c>
      <c r="J14" s="51">
        <f>_xlfn.IFS(Tabla1468[[#This Row],[Forma Pago]]="30PP70-60D",Tabla1468[[#This Row],[Importe Total]]*0.7,Tabla1468[[#This Row],[Forma Pago]]="50PP50-60D",Tabla1468[[#This Row],[Importe Total]]*0.5,Tabla1468[[#This Row],[Forma Pago]]="100PP",Tabla1468[[#This Row],[Importe Total]],Tabla1468[[#This Row],[Forma Pago]]="0D",Tabla1468[[#This Row],[Importe Total]],Tabla1468[[#This Row],[Forma Pago]]="60D",Tabla1468[[#This Row],[Importe Total]],Tabla1468[[#This Row],[Forma Pago]]="30D",Tabla1468[[#This Row],[Importe Total]],Tabla1468[[#This Row],[Forma Pago]]="DOMICILIADO",Tabla1468[[#This Row],[Importe Total]],Tabla1468[[#This Row],[Forma Pago]]="DOMICILIADO 30D",Tabla1468[[#This Row],[Importe Total]],Tabla1468[[#This Row],[Forma Pago]]="DOMICILIADO 60D",Tabla1468[[#This Row],[Importe Total]])</f>
        <v>158.66999999999999</v>
      </c>
      <c r="K14" s="52" t="str">
        <f>_xlfn.IFS(Tabla1468[[#This Row],[Forma Pago]]="30PP70-60D",IF(Tabla1468[[#This Row],[Fecha Factura]]="","",Tabla1468[[#This Row],[Fecha Factura]]+60),Tabla1468[[#This Row],[Forma Pago]]="50PP50-60D",IF(Tabla1468[[#This Row],[Fecha Factura]]="","",Tabla1468[[#This Row],[Fecha Factura]]+60),Tabla1468[[#This Row],[Forma Pago]]="100PP",IF(Tabla1468[[#This Row],[Fecha Prep.]]="","",Tabla1468[[#This Row],[Fecha Prep.]]),Tabla1468[[#This Row],[Forma Pago]]="0D",IF(Tabla1468[[#This Row],[Fecha Factura]]="","",Tabla1468[[#This Row],[Fecha Factura]]),Tabla1468[[#This Row],[Forma Pago]]="60D",IF(Tabla1468[[#This Row],[Fecha Factura]]="","",Tabla1468[[#This Row],[Fecha Factura]]+60),Tabla1468[[#This Row],[Forma Pago]]="30D",IF(Tabla1468[[#This Row],[Fecha Factura]]="","",Tabla1468[[#This Row],[Fecha Factura]]+60),Tabla1468[[#This Row],[Forma Pago]]="DOMICILIADO","")</f>
        <v/>
      </c>
      <c r="M14" s="49" t="s">
        <v>3576</v>
      </c>
    </row>
    <row r="15" spans="2:16" s="49" customFormat="1" hidden="1">
      <c r="B15" s="48"/>
      <c r="D15" s="48">
        <v>46118</v>
      </c>
      <c r="E15" s="50">
        <v>4</v>
      </c>
      <c r="G15" s="142" t="s">
        <v>3561</v>
      </c>
      <c r="H15" s="51">
        <v>788.58</v>
      </c>
      <c r="I15" s="51" t="s">
        <v>55</v>
      </c>
      <c r="J15" s="62">
        <f>_xlfn.IFS(Tabla1468[[#This Row],[Forma Pago]]="30PP70-60D",Tabla1468[[#This Row],[Importe Total]]*0.7,Tabla1468[[#This Row],[Forma Pago]]="50PP50-60D",Tabla1468[[#This Row],[Importe Total]]*0.5,Tabla1468[[#This Row],[Forma Pago]]="100PP",Tabla1468[[#This Row],[Importe Total]],Tabla1468[[#This Row],[Forma Pago]]="0D",Tabla1468[[#This Row],[Importe Total]],Tabla1468[[#This Row],[Forma Pago]]="60D",Tabla1468[[#This Row],[Importe Total]],Tabla1468[[#This Row],[Forma Pago]]="30D",Tabla1468[[#This Row],[Importe Total]],Tabla1468[[#This Row],[Forma Pago]]="DOMICILIADO",Tabla1468[[#This Row],[Importe Total]],Tabla1468[[#This Row],[Forma Pago]]="DOMICILIADO 30D",Tabla1468[[#This Row],[Importe Total]],Tabla1468[[#This Row],[Forma Pago]]="DOMICILIADO 60D",Tabla1468[[#This Row],[Importe Total]])</f>
        <v>788.58</v>
      </c>
      <c r="K15" s="52" t="str">
        <f>_xlfn.IFS(Tabla1468[[#This Row],[Forma Pago]]="30PP70-60D",IF(Tabla1468[[#This Row],[Fecha Factura]]="","",Tabla1468[[#This Row],[Fecha Factura]]+60),Tabla1468[[#This Row],[Forma Pago]]="50PP50-60D",IF(Tabla1468[[#This Row],[Fecha Factura]]="","",Tabla1468[[#This Row],[Fecha Factura]]+60),Tabla1468[[#This Row],[Forma Pago]]="100PP",IF(Tabla1468[[#This Row],[Fecha Prep.]]="","",Tabla1468[[#This Row],[Fecha Prep.]]),Tabla1468[[#This Row],[Forma Pago]]="0D",IF(Tabla1468[[#This Row],[Fecha Factura]]="","",Tabla1468[[#This Row],[Fecha Factura]]),Tabla1468[[#This Row],[Forma Pago]]="60D",IF(Tabla1468[[#This Row],[Fecha Factura]]="","",Tabla1468[[#This Row],[Fecha Factura]]+60),Tabla1468[[#This Row],[Forma Pago]]="30D",IF(Tabla1468[[#This Row],[Fecha Factura]]="","",Tabla1468[[#This Row],[Fecha Factura]]+60),Tabla1468[[#This Row],[Forma Pago]]="DOMICILIADO","")</f>
        <v/>
      </c>
      <c r="L15" s="49" t="s">
        <v>25</v>
      </c>
      <c r="M15" s="49" t="s">
        <v>3577</v>
      </c>
      <c r="N15" s="48">
        <v>46121</v>
      </c>
      <c r="O15" s="49" t="s">
        <v>27</v>
      </c>
    </row>
    <row r="16" spans="2:16" s="49" customFormat="1" ht="16.5" customHeight="1">
      <c r="B16" s="48"/>
      <c r="D16" s="48">
        <v>46127</v>
      </c>
      <c r="E16" s="50" t="s">
        <v>3578</v>
      </c>
      <c r="G16" s="49" t="s">
        <v>3563</v>
      </c>
      <c r="H16" s="51">
        <v>-43.05</v>
      </c>
      <c r="I16" s="51" t="s">
        <v>98</v>
      </c>
      <c r="J16" s="51">
        <f>_xlfn.IFS(Tabla1468[[#This Row],[Forma Pago]]="30PP70-60D",Tabla1468[[#This Row],[Importe Total]]*0.7,Tabla1468[[#This Row],[Forma Pago]]="50PP50-60D",Tabla1468[[#This Row],[Importe Total]]*0.5,Tabla1468[[#This Row],[Forma Pago]]="100PP",Tabla1468[[#This Row],[Importe Total]],Tabla1468[[#This Row],[Forma Pago]]="0D",Tabla1468[[#This Row],[Importe Total]],Tabla1468[[#This Row],[Forma Pago]]="60D",Tabla1468[[#This Row],[Importe Total]],Tabla1468[[#This Row],[Forma Pago]]="30D",Tabla1468[[#This Row],[Importe Total]],Tabla1468[[#This Row],[Forma Pago]]="DOMICILIADO",Tabla1468[[#This Row],[Importe Total]],Tabla1468[[#This Row],[Forma Pago]]="DOMICILIADO 30D",Tabla1468[[#This Row],[Importe Total]],Tabla1468[[#This Row],[Forma Pago]]="DOMICILIADO 60D",Tabla1468[[#This Row],[Importe Total]])</f>
        <v>-43.05</v>
      </c>
      <c r="K16" s="52" t="str">
        <f>_xlfn.IFS(Tabla1468[[#This Row],[Forma Pago]]="30PP70-60D",IF(Tabla1468[[#This Row],[Fecha Factura]]="","",Tabla1468[[#This Row],[Fecha Factura]]+60),Tabla1468[[#This Row],[Forma Pago]]="50PP50-60D",IF(Tabla1468[[#This Row],[Fecha Factura]]="","",Tabla1468[[#This Row],[Fecha Factura]]+60),Tabla1468[[#This Row],[Forma Pago]]="100PP",IF(Tabla1468[[#This Row],[Fecha Prep.]]="","",Tabla1468[[#This Row],[Fecha Prep.]]),Tabla1468[[#This Row],[Forma Pago]]="0D",IF(Tabla1468[[#This Row],[Fecha Factura]]="","",Tabla1468[[#This Row],[Fecha Factura]]),Tabla1468[[#This Row],[Forma Pago]]="60D",IF(Tabla1468[[#This Row],[Fecha Factura]]="","",Tabla1468[[#This Row],[Fecha Factura]]+60),Tabla1468[[#This Row],[Forma Pago]]="30D",IF(Tabla1468[[#This Row],[Fecha Factura]]="","",Tabla1468[[#This Row],[Fecha Factura]]+60),Tabla1468[[#This Row],[Forma Pago]]="DOMICILIADO","")</f>
        <v/>
      </c>
      <c r="M16" s="59" t="s">
        <v>3579</v>
      </c>
    </row>
    <row r="17" spans="2:15" hidden="1">
      <c r="B17" s="1"/>
      <c r="D17" s="1">
        <v>46146</v>
      </c>
      <c r="E17" s="29">
        <v>5</v>
      </c>
      <c r="G17" s="142" t="s">
        <v>3561</v>
      </c>
      <c r="H17" s="2">
        <v>788.58</v>
      </c>
      <c r="I17" s="2" t="s">
        <v>55</v>
      </c>
      <c r="J17" s="10">
        <f>_xlfn.IFS(Tabla1468[[#This Row],[Forma Pago]]="30PP70-60D",Tabla1468[[#This Row],[Importe Total]]*0.7,Tabla1468[[#This Row],[Forma Pago]]="50PP50-60D",Tabla1468[[#This Row],[Importe Total]]*0.5,Tabla1468[[#This Row],[Forma Pago]]="100PP",Tabla1468[[#This Row],[Importe Total]],Tabla1468[[#This Row],[Forma Pago]]="0D",Tabla1468[[#This Row],[Importe Total]],Tabla1468[[#This Row],[Forma Pago]]="60D",Tabla1468[[#This Row],[Importe Total]],Tabla1468[[#This Row],[Forma Pago]]="30D",Tabla1468[[#This Row],[Importe Total]],Tabla1468[[#This Row],[Forma Pago]]="DOMICILIADO",Tabla1468[[#This Row],[Importe Total]],Tabla1468[[#This Row],[Forma Pago]]="DOMICILIADO 30D",Tabla1468[[#This Row],[Importe Total]],Tabla1468[[#This Row],[Forma Pago]]="DOMICILIADO 60D",Tabla1468[[#This Row],[Importe Total]])</f>
        <v>788.58</v>
      </c>
      <c r="K17" s="3" t="str">
        <f>_xlfn.IFS(Tabla1468[[#This Row],[Forma Pago]]="30PP70-60D",IF(Tabla1468[[#This Row],[Fecha Factura]]="","",Tabla1468[[#This Row],[Fecha Factura]]+60),Tabla1468[[#This Row],[Forma Pago]]="50PP50-60D",IF(Tabla1468[[#This Row],[Fecha Factura]]="","",Tabla1468[[#This Row],[Fecha Factura]]+60),Tabla1468[[#This Row],[Forma Pago]]="100PP",IF(Tabla1468[[#This Row],[Fecha Prep.]]="","",Tabla1468[[#This Row],[Fecha Prep.]]),Tabla1468[[#This Row],[Forma Pago]]="0D",IF(Tabla1468[[#This Row],[Fecha Factura]]="","",Tabla1468[[#This Row],[Fecha Factura]]),Tabla1468[[#This Row],[Forma Pago]]="60D",IF(Tabla1468[[#This Row],[Fecha Factura]]="","",Tabla1468[[#This Row],[Fecha Factura]]+60),Tabla1468[[#This Row],[Forma Pago]]="30D",IF(Tabla1468[[#This Row],[Fecha Factura]]="","",Tabla1468[[#This Row],[Fecha Factura]]+60),Tabla1468[[#This Row],[Forma Pago]]="DOMICILIADO","")</f>
        <v/>
      </c>
      <c r="L17" s="49" t="s">
        <v>25</v>
      </c>
      <c r="M17" t="s">
        <v>3580</v>
      </c>
      <c r="N17" s="1">
        <v>46149</v>
      </c>
      <c r="O17" t="s">
        <v>27</v>
      </c>
    </row>
    <row r="18" spans="2:15" s="49" customFormat="1">
      <c r="B18" s="48"/>
      <c r="D18" s="48">
        <v>46143</v>
      </c>
      <c r="E18" s="50" t="s">
        <v>3581</v>
      </c>
      <c r="G18" s="49" t="s">
        <v>3563</v>
      </c>
      <c r="H18" s="51">
        <v>115.62</v>
      </c>
      <c r="I18" s="51" t="s">
        <v>98</v>
      </c>
      <c r="J18" s="51">
        <f>_xlfn.IFS(Tabla1468[[#This Row],[Forma Pago]]="30PP70-60D",Tabla1468[[#This Row],[Importe Total]]*0.7,Tabla1468[[#This Row],[Forma Pago]]="50PP50-60D",Tabla1468[[#This Row],[Importe Total]]*0.5,Tabla1468[[#This Row],[Forma Pago]]="100PP",Tabla1468[[#This Row],[Importe Total]],Tabla1468[[#This Row],[Forma Pago]]="0D",Tabla1468[[#This Row],[Importe Total]],Tabla1468[[#This Row],[Forma Pago]]="60D",Tabla1468[[#This Row],[Importe Total]],Tabla1468[[#This Row],[Forma Pago]]="30D",Tabla1468[[#This Row],[Importe Total]],Tabla1468[[#This Row],[Forma Pago]]="DOMICILIADO",Tabla1468[[#This Row],[Importe Total]],Tabla1468[[#This Row],[Forma Pago]]="DOMICILIADO 30D",Tabla1468[[#This Row],[Importe Total]],Tabla1468[[#This Row],[Forma Pago]]="DOMICILIADO 60D",Tabla1468[[#This Row],[Importe Total]])</f>
        <v>115.62</v>
      </c>
      <c r="K18" s="52" t="str">
        <f>_xlfn.IFS(Tabla1468[[#This Row],[Forma Pago]]="30PP70-60D",IF(Tabla1468[[#This Row],[Fecha Factura]]="","",Tabla1468[[#This Row],[Fecha Factura]]+60),Tabla1468[[#This Row],[Forma Pago]]="50PP50-60D",IF(Tabla1468[[#This Row],[Fecha Factura]]="","",Tabla1468[[#This Row],[Fecha Factura]]+60),Tabla1468[[#This Row],[Forma Pago]]="100PP",IF(Tabla1468[[#This Row],[Fecha Prep.]]="","",Tabla1468[[#This Row],[Fecha Prep.]]),Tabla1468[[#This Row],[Forma Pago]]="0D",IF(Tabla1468[[#This Row],[Fecha Factura]]="","",Tabla1468[[#This Row],[Fecha Factura]]),Tabla1468[[#This Row],[Forma Pago]]="60D",IF(Tabla1468[[#This Row],[Fecha Factura]]="","",Tabla1468[[#This Row],[Fecha Factura]]+60),Tabla1468[[#This Row],[Forma Pago]]="30D",IF(Tabla1468[[#This Row],[Fecha Factura]]="","",Tabla1468[[#This Row],[Fecha Factura]]+60),Tabla1468[[#This Row],[Forma Pago]]="DOMICILIADO","")</f>
        <v/>
      </c>
    </row>
    <row r="19" spans="2:15" s="49" customFormat="1" ht="18.75" customHeight="1">
      <c r="B19" s="48"/>
      <c r="D19" s="48">
        <v>46174</v>
      </c>
      <c r="E19" s="50" t="s">
        <v>3582</v>
      </c>
      <c r="G19" s="49" t="s">
        <v>3563</v>
      </c>
      <c r="H19" s="51">
        <v>115.62</v>
      </c>
      <c r="I19" s="51" t="s">
        <v>98</v>
      </c>
      <c r="J19" s="51">
        <f>_xlfn.IFS(Tabla1468[[#This Row],[Forma Pago]]="30PP70-60D",Tabla1468[[#This Row],[Importe Total]]*0.7,Tabla1468[[#This Row],[Forma Pago]]="50PP50-60D",Tabla1468[[#This Row],[Importe Total]]*0.5,Tabla1468[[#This Row],[Forma Pago]]="100PP",Tabla1468[[#This Row],[Importe Total]],Tabla1468[[#This Row],[Forma Pago]]="0D",Tabla1468[[#This Row],[Importe Total]],Tabla1468[[#This Row],[Forma Pago]]="60D",Tabla1468[[#This Row],[Importe Total]],Tabla1468[[#This Row],[Forma Pago]]="30D",Tabla1468[[#This Row],[Importe Total]],Tabla1468[[#This Row],[Forma Pago]]="DOMICILIADO",Tabla1468[[#This Row],[Importe Total]],Tabla1468[[#This Row],[Forma Pago]]="DOMICILIADO 30D",Tabla1468[[#This Row],[Importe Total]],Tabla1468[[#This Row],[Forma Pago]]="DOMICILIADO 60D",Tabla1468[[#This Row],[Importe Total]])</f>
        <v>115.62</v>
      </c>
      <c r="K19" s="52" t="str">
        <f>_xlfn.IFS(Tabla1468[[#This Row],[Forma Pago]]="30PP70-60D",IF(Tabla1468[[#This Row],[Fecha Factura]]="","",Tabla1468[[#This Row],[Fecha Factura]]+60),Tabla1468[[#This Row],[Forma Pago]]="50PP50-60D",IF(Tabla1468[[#This Row],[Fecha Factura]]="","",Tabla1468[[#This Row],[Fecha Factura]]+60),Tabla1468[[#This Row],[Forma Pago]]="100PP",IF(Tabla1468[[#This Row],[Fecha Prep.]]="","",Tabla1468[[#This Row],[Fecha Prep.]]),Tabla1468[[#This Row],[Forma Pago]]="0D",IF(Tabla1468[[#This Row],[Fecha Factura]]="","",Tabla1468[[#This Row],[Fecha Factura]]),Tabla1468[[#This Row],[Forma Pago]]="60D",IF(Tabla1468[[#This Row],[Fecha Factura]]="","",Tabla1468[[#This Row],[Fecha Factura]]+60),Tabla1468[[#This Row],[Forma Pago]]="30D",IF(Tabla1468[[#This Row],[Fecha Factura]]="","",Tabla1468[[#This Row],[Fecha Factura]]+60),Tabla1468[[#This Row],[Forma Pago]]="DOMICILIADO","")</f>
        <v/>
      </c>
      <c r="M19" s="59" t="s">
        <v>3583</v>
      </c>
    </row>
    <row r="20" spans="2:15" s="49" customFormat="1" hidden="1">
      <c r="B20" s="48"/>
      <c r="D20" s="48">
        <v>46177</v>
      </c>
      <c r="E20" s="50" t="s">
        <v>3584</v>
      </c>
      <c r="G20" s="142" t="s">
        <v>3561</v>
      </c>
      <c r="H20" s="51">
        <v>843.31</v>
      </c>
      <c r="I20" s="51" t="s">
        <v>43</v>
      </c>
      <c r="J20" s="62">
        <f>_xlfn.IFS(Tabla1468[[#This Row],[Forma Pago]]="30PP70-60D",Tabla1468[[#This Row],[Importe Total]]*0.7,Tabla1468[[#This Row],[Forma Pago]]="50PP50-60D",Tabla1468[[#This Row],[Importe Total]]*0.5,Tabla1468[[#This Row],[Forma Pago]]="100PP",Tabla1468[[#This Row],[Importe Total]],Tabla1468[[#This Row],[Forma Pago]]="0D",Tabla1468[[#This Row],[Importe Total]],Tabla1468[[#This Row],[Forma Pago]]="60D",Tabla1468[[#This Row],[Importe Total]],Tabla1468[[#This Row],[Forma Pago]]="30D",Tabla1468[[#This Row],[Importe Total]],Tabla1468[[#This Row],[Forma Pago]]="DOMICILIADO",Tabla1468[[#This Row],[Importe Total]],Tabla1468[[#This Row],[Forma Pago]]="DOMICILIADO 30D",Tabla1468[[#This Row],[Importe Total]],Tabla1468[[#This Row],[Forma Pago]]="DOMICILIADO 60D",Tabla1468[[#This Row],[Importe Total]])</f>
        <v>843.31</v>
      </c>
      <c r="K20" s="52">
        <f>_xlfn.IFS(Tabla1468[[#This Row],[Forma Pago]]="30PP70-60D",IF(Tabla1468[[#This Row],[Fecha Factura]]="","",Tabla1468[[#This Row],[Fecha Factura]]+60),Tabla1468[[#This Row],[Forma Pago]]="50PP50-60D",IF(Tabla1468[[#This Row],[Fecha Factura]]="","",Tabla1468[[#This Row],[Fecha Factura]]+60),Tabla1468[[#This Row],[Forma Pago]]="100PP",IF(Tabla1468[[#This Row],[Fecha Prep.]]="","",Tabla1468[[#This Row],[Fecha Prep.]]),Tabla1468[[#This Row],[Forma Pago]]="0D",IF(Tabla1468[[#This Row],[Fecha Factura]]="","",Tabla1468[[#This Row],[Fecha Factura]]),Tabla1468[[#This Row],[Forma Pago]]="60D",IF(Tabla1468[[#This Row],[Fecha Factura]]="","",Tabla1468[[#This Row],[Fecha Factura]]+60),Tabla1468[[#This Row],[Forma Pago]]="30D",IF(Tabla1468[[#This Row],[Fecha Factura]]="","",Tabla1468[[#This Row],[Fecha Factura]]+60),Tabla1468[[#This Row],[Forma Pago]]="DOMICILIADO","")</f>
        <v>46177</v>
      </c>
      <c r="L20" s="49" t="s">
        <v>25</v>
      </c>
      <c r="M20" s="49" t="s">
        <v>3585</v>
      </c>
      <c r="N20" s="48">
        <v>46184</v>
      </c>
      <c r="O20" s="49" t="s">
        <v>27</v>
      </c>
    </row>
    <row r="21" spans="2:15" s="49" customFormat="1" hidden="1">
      <c r="B21" s="48"/>
      <c r="D21" s="48">
        <v>46177</v>
      </c>
      <c r="E21" s="50" t="s">
        <v>3586</v>
      </c>
      <c r="G21" s="142" t="s">
        <v>3561</v>
      </c>
      <c r="H21" s="51">
        <v>158.13999999999999</v>
      </c>
      <c r="I21" s="51" t="s">
        <v>43</v>
      </c>
      <c r="J21" s="62">
        <f>_xlfn.IFS(Tabla1468[[#This Row],[Forma Pago]]="30PP70-60D",Tabla1468[[#This Row],[Importe Total]]*0.7,Tabla1468[[#This Row],[Forma Pago]]="50PP50-60D",Tabla1468[[#This Row],[Importe Total]]*0.5,Tabla1468[[#This Row],[Forma Pago]]="100PP",Tabla1468[[#This Row],[Importe Total]],Tabla1468[[#This Row],[Forma Pago]]="0D",Tabla1468[[#This Row],[Importe Total]],Tabla1468[[#This Row],[Forma Pago]]="60D",Tabla1468[[#This Row],[Importe Total]],Tabla1468[[#This Row],[Forma Pago]]="30D",Tabla1468[[#This Row],[Importe Total]],Tabla1468[[#This Row],[Forma Pago]]="DOMICILIADO",Tabla1468[[#This Row],[Importe Total]],Tabla1468[[#This Row],[Forma Pago]]="DOMICILIADO 30D",Tabla1468[[#This Row],[Importe Total]],Tabla1468[[#This Row],[Forma Pago]]="DOMICILIADO 60D",Tabla1468[[#This Row],[Importe Total]])</f>
        <v>158.13999999999999</v>
      </c>
      <c r="K21" s="52">
        <f>_xlfn.IFS(Tabla1468[[#This Row],[Forma Pago]]="30PP70-60D",IF(Tabla1468[[#This Row],[Fecha Factura]]="","",Tabla1468[[#This Row],[Fecha Factura]]+60),Tabla1468[[#This Row],[Forma Pago]]="50PP50-60D",IF(Tabla1468[[#This Row],[Fecha Factura]]="","",Tabla1468[[#This Row],[Fecha Factura]]+60),Tabla1468[[#This Row],[Forma Pago]]="100PP",IF(Tabla1468[[#This Row],[Fecha Prep.]]="","",Tabla1468[[#This Row],[Fecha Prep.]]),Tabla1468[[#This Row],[Forma Pago]]="0D",IF(Tabla1468[[#This Row],[Fecha Factura]]="","",Tabla1468[[#This Row],[Fecha Factura]]),Tabla1468[[#This Row],[Forma Pago]]="60D",IF(Tabla1468[[#This Row],[Fecha Factura]]="","",Tabla1468[[#This Row],[Fecha Factura]]+60),Tabla1468[[#This Row],[Forma Pago]]="30D",IF(Tabla1468[[#This Row],[Fecha Factura]]="","",Tabla1468[[#This Row],[Fecha Factura]]+60),Tabla1468[[#This Row],[Forma Pago]]="DOMICILIADO","")</f>
        <v>46177</v>
      </c>
      <c r="L21" s="49" t="s">
        <v>25</v>
      </c>
      <c r="M21" s="49" t="s">
        <v>3587</v>
      </c>
      <c r="N21" s="48">
        <v>46184</v>
      </c>
      <c r="O21" s="49" t="s">
        <v>27</v>
      </c>
    </row>
    <row r="22" spans="2:15" s="49" customFormat="1" hidden="1">
      <c r="B22" s="48"/>
      <c r="D22" s="48">
        <v>46178</v>
      </c>
      <c r="E22" s="50" t="s">
        <v>3588</v>
      </c>
      <c r="G22" s="49" t="s">
        <v>3589</v>
      </c>
      <c r="H22" s="51">
        <v>5658</v>
      </c>
      <c r="I22" s="51" t="s">
        <v>43</v>
      </c>
      <c r="J22" s="51">
        <f>_xlfn.IFS(Tabla1468[[#This Row],[Forma Pago]]="30PP70-60D",Tabla1468[[#This Row],[Importe Total]]*0.7,Tabla1468[[#This Row],[Forma Pago]]="50PP50-60D",Tabla1468[[#This Row],[Importe Total]]*0.5,Tabla1468[[#This Row],[Forma Pago]]="100PP",Tabla1468[[#This Row],[Importe Total]],Tabla1468[[#This Row],[Forma Pago]]="0D",Tabla1468[[#This Row],[Importe Total]],Tabla1468[[#This Row],[Forma Pago]]="60D",Tabla1468[[#This Row],[Importe Total]],Tabla1468[[#This Row],[Forma Pago]]="30D",Tabla1468[[#This Row],[Importe Total]],Tabla1468[[#This Row],[Forma Pago]]="DOMICILIADO",Tabla1468[[#This Row],[Importe Total]],Tabla1468[[#This Row],[Forma Pago]]="DOMICILIADO 30D",Tabla1468[[#This Row],[Importe Total]],Tabla1468[[#This Row],[Forma Pago]]="DOMICILIADO 60D",Tabla1468[[#This Row],[Importe Total]])</f>
        <v>5658</v>
      </c>
      <c r="K22" s="52">
        <f>_xlfn.IFS(Tabla1468[[#This Row],[Forma Pago]]="30PP70-60D",IF(Tabla1468[[#This Row],[Fecha Factura]]="","",Tabla1468[[#This Row],[Fecha Factura]]+60),Tabla1468[[#This Row],[Forma Pago]]="50PP50-60D",IF(Tabla1468[[#This Row],[Fecha Factura]]="","",Tabla1468[[#This Row],[Fecha Factura]]+60),Tabla1468[[#This Row],[Forma Pago]]="100PP",IF(Tabla1468[[#This Row],[Fecha Prep.]]="","",Tabla1468[[#This Row],[Fecha Prep.]]),Tabla1468[[#This Row],[Forma Pago]]="0D",IF(Tabla1468[[#This Row],[Fecha Factura]]="","",Tabla1468[[#This Row],[Fecha Factura]]),Tabla1468[[#This Row],[Forma Pago]]="60D",IF(Tabla1468[[#This Row],[Fecha Factura]]="","",Tabla1468[[#This Row],[Fecha Factura]]+60),Tabla1468[[#This Row],[Forma Pago]]="30D",IF(Tabla1468[[#This Row],[Fecha Factura]]="","",Tabla1468[[#This Row],[Fecha Factura]]+60),Tabla1468[[#This Row],[Forma Pago]]="DOMICILIADO","")</f>
        <v>46178</v>
      </c>
      <c r="L22" s="49" t="s">
        <v>25</v>
      </c>
      <c r="M22" s="49" t="s">
        <v>3590</v>
      </c>
      <c r="N22" s="48">
        <v>46181</v>
      </c>
      <c r="O22" s="49" t="s">
        <v>183</v>
      </c>
    </row>
    <row r="23" spans="2:15" s="49" customFormat="1" hidden="1">
      <c r="B23" s="48"/>
      <c r="D23" s="48">
        <v>46205</v>
      </c>
      <c r="E23" s="50" t="s">
        <v>3591</v>
      </c>
      <c r="G23" s="49" t="s">
        <v>3561</v>
      </c>
      <c r="H23" s="51">
        <v>843.31</v>
      </c>
      <c r="I23" s="51" t="s">
        <v>43</v>
      </c>
      <c r="J23" s="62">
        <f>_xlfn.IFS(Tabla1468[[#This Row],[Forma Pago]]="30PP70-60D",Tabla1468[[#This Row],[Importe Total]]*0.7,Tabla1468[[#This Row],[Forma Pago]]="50PP50-60D",Tabla1468[[#This Row],[Importe Total]]*0.5,Tabla1468[[#This Row],[Forma Pago]]="100PP",Tabla1468[[#This Row],[Importe Total]],Tabla1468[[#This Row],[Forma Pago]]="0D",Tabla1468[[#This Row],[Importe Total]],Tabla1468[[#This Row],[Forma Pago]]="60D",Tabla1468[[#This Row],[Importe Total]],Tabla1468[[#This Row],[Forma Pago]]="30D",Tabla1468[[#This Row],[Importe Total]],Tabla1468[[#This Row],[Forma Pago]]="DOMICILIADO",Tabla1468[[#This Row],[Importe Total]],Tabla1468[[#This Row],[Forma Pago]]="DOMICILIADO 30D",Tabla1468[[#This Row],[Importe Total]],Tabla1468[[#This Row],[Forma Pago]]="DOMICILIADO 60D",Tabla1468[[#This Row],[Importe Total]])</f>
        <v>843.31</v>
      </c>
      <c r="K23" s="52">
        <f>_xlfn.IFS(Tabla1468[[#This Row],[Forma Pago]]="30PP70-60D",IF(Tabla1468[[#This Row],[Fecha Factura]]="","",Tabla1468[[#This Row],[Fecha Factura]]+60),Tabla1468[[#This Row],[Forma Pago]]="50PP50-60D",IF(Tabla1468[[#This Row],[Fecha Factura]]="","",Tabla1468[[#This Row],[Fecha Factura]]+60),Tabla1468[[#This Row],[Forma Pago]]="100PP",IF(Tabla1468[[#This Row],[Fecha Prep.]]="","",Tabla1468[[#This Row],[Fecha Prep.]]),Tabla1468[[#This Row],[Forma Pago]]="0D",IF(Tabla1468[[#This Row],[Fecha Factura]]="","",Tabla1468[[#This Row],[Fecha Factura]]),Tabla1468[[#This Row],[Forma Pago]]="60D",IF(Tabla1468[[#This Row],[Fecha Factura]]="","",Tabla1468[[#This Row],[Fecha Factura]]+60),Tabla1468[[#This Row],[Forma Pago]]="30D",IF(Tabla1468[[#This Row],[Fecha Factura]]="","",Tabla1468[[#This Row],[Fecha Factura]]+60),Tabla1468[[#This Row],[Forma Pago]]="DOMICILIADO","")</f>
        <v>46205</v>
      </c>
      <c r="L23" s="49" t="s">
        <v>25</v>
      </c>
      <c r="M23" s="49" t="s">
        <v>3592</v>
      </c>
      <c r="N23" s="48">
        <v>46212</v>
      </c>
      <c r="O23" s="49" t="s">
        <v>27</v>
      </c>
    </row>
    <row r="24" spans="2:15" s="49" customFormat="1" hidden="1">
      <c r="B24" s="48"/>
      <c r="D24" s="48">
        <v>46205</v>
      </c>
      <c r="E24" s="50" t="s">
        <v>3593</v>
      </c>
      <c r="G24" s="49" t="s">
        <v>3561</v>
      </c>
      <c r="H24" s="51">
        <v>158.13999999999999</v>
      </c>
      <c r="I24" s="51" t="s">
        <v>43</v>
      </c>
      <c r="J24" s="62">
        <f>_xlfn.IFS(Tabla1468[[#This Row],[Forma Pago]]="30PP70-60D",Tabla1468[[#This Row],[Importe Total]]*0.7,Tabla1468[[#This Row],[Forma Pago]]="50PP50-60D",Tabla1468[[#This Row],[Importe Total]]*0.5,Tabla1468[[#This Row],[Forma Pago]]="100PP",Tabla1468[[#This Row],[Importe Total]],Tabla1468[[#This Row],[Forma Pago]]="0D",Tabla1468[[#This Row],[Importe Total]],Tabla1468[[#This Row],[Forma Pago]]="60D",Tabla1468[[#This Row],[Importe Total]],Tabla1468[[#This Row],[Forma Pago]]="30D",Tabla1468[[#This Row],[Importe Total]],Tabla1468[[#This Row],[Forma Pago]]="DOMICILIADO",Tabla1468[[#This Row],[Importe Total]],Tabla1468[[#This Row],[Forma Pago]]="DOMICILIADO 30D",Tabla1468[[#This Row],[Importe Total]],Tabla1468[[#This Row],[Forma Pago]]="DOMICILIADO 60D",Tabla1468[[#This Row],[Importe Total]])</f>
        <v>158.13999999999999</v>
      </c>
      <c r="K24" s="52">
        <f>_xlfn.IFS(Tabla1468[[#This Row],[Forma Pago]]="30PP70-60D",IF(Tabla1468[[#This Row],[Fecha Factura]]="","",Tabla1468[[#This Row],[Fecha Factura]]+60),Tabla1468[[#This Row],[Forma Pago]]="50PP50-60D",IF(Tabla1468[[#This Row],[Fecha Factura]]="","",Tabla1468[[#This Row],[Fecha Factura]]+60),Tabla1468[[#This Row],[Forma Pago]]="100PP",IF(Tabla1468[[#This Row],[Fecha Prep.]]="","",Tabla1468[[#This Row],[Fecha Prep.]]),Tabla1468[[#This Row],[Forma Pago]]="0D",IF(Tabla1468[[#This Row],[Fecha Factura]]="","",Tabla1468[[#This Row],[Fecha Factura]]),Tabla1468[[#This Row],[Forma Pago]]="60D",IF(Tabla1468[[#This Row],[Fecha Factura]]="","",Tabla1468[[#This Row],[Fecha Factura]]+60),Tabla1468[[#This Row],[Forma Pago]]="30D",IF(Tabla1468[[#This Row],[Fecha Factura]]="","",Tabla1468[[#This Row],[Fecha Factura]]+60),Tabla1468[[#This Row],[Forma Pago]]="DOMICILIADO","")</f>
        <v>46205</v>
      </c>
      <c r="L24" s="49" t="s">
        <v>25</v>
      </c>
      <c r="M24" s="49" t="s">
        <v>3594</v>
      </c>
      <c r="N24" s="48">
        <v>46212</v>
      </c>
      <c r="O24" s="49" t="s">
        <v>27</v>
      </c>
    </row>
    <row r="25" spans="2:15" s="49" customFormat="1" ht="14.25" customHeight="1">
      <c r="B25" s="48"/>
      <c r="D25" s="48">
        <v>46204</v>
      </c>
      <c r="E25" s="50" t="s">
        <v>3595</v>
      </c>
      <c r="G25" s="49" t="s">
        <v>3563</v>
      </c>
      <c r="H25" s="51">
        <v>115.62</v>
      </c>
      <c r="I25" s="51" t="s">
        <v>98</v>
      </c>
      <c r="J25" s="51">
        <f>_xlfn.IFS(Tabla1468[[#This Row],[Forma Pago]]="30PP70-60D",Tabla1468[[#This Row],[Importe Total]]*0.7,Tabla1468[[#This Row],[Forma Pago]]="50PP50-60D",Tabla1468[[#This Row],[Importe Total]]*0.5,Tabla1468[[#This Row],[Forma Pago]]="100PP",Tabla1468[[#This Row],[Importe Total]],Tabla1468[[#This Row],[Forma Pago]]="0D",Tabla1468[[#This Row],[Importe Total]],Tabla1468[[#This Row],[Forma Pago]]="60D",Tabla1468[[#This Row],[Importe Total]],Tabla1468[[#This Row],[Forma Pago]]="30D",Tabla1468[[#This Row],[Importe Total]],Tabla1468[[#This Row],[Forma Pago]]="DOMICILIADO",Tabla1468[[#This Row],[Importe Total]],Tabla1468[[#This Row],[Forma Pago]]="DOMICILIADO 30D",Tabla1468[[#This Row],[Importe Total]],Tabla1468[[#This Row],[Forma Pago]]="DOMICILIADO 60D",Tabla1468[[#This Row],[Importe Total]])</f>
        <v>115.62</v>
      </c>
      <c r="K25" s="52" t="str">
        <f>_xlfn.IFS(Tabla1468[[#This Row],[Forma Pago]]="30PP70-60D",IF(Tabla1468[[#This Row],[Fecha Factura]]="","",Tabla1468[[#This Row],[Fecha Factura]]+60),Tabla1468[[#This Row],[Forma Pago]]="50PP50-60D",IF(Tabla1468[[#This Row],[Fecha Factura]]="","",Tabla1468[[#This Row],[Fecha Factura]]+60),Tabla1468[[#This Row],[Forma Pago]]="100PP",IF(Tabla1468[[#This Row],[Fecha Prep.]]="","",Tabla1468[[#This Row],[Fecha Prep.]]),Tabla1468[[#This Row],[Forma Pago]]="0D",IF(Tabla1468[[#This Row],[Fecha Factura]]="","",Tabla1468[[#This Row],[Fecha Factura]]),Tabla1468[[#This Row],[Forma Pago]]="60D",IF(Tabla1468[[#This Row],[Fecha Factura]]="","",Tabla1468[[#This Row],[Fecha Factura]]+60),Tabla1468[[#This Row],[Forma Pago]]="30D",IF(Tabla1468[[#This Row],[Fecha Factura]]="","",Tabla1468[[#This Row],[Fecha Factura]]+60),Tabla1468[[#This Row],[Forma Pago]]="DOMICILIADO","")</f>
        <v/>
      </c>
      <c r="M25" s="59" t="s">
        <v>3596</v>
      </c>
    </row>
  </sheetData>
  <conditionalFormatting sqref="B3:O25">
    <cfRule type="expression" dxfId="102" priority="1">
      <formula>$L3="PAGADO"</formula>
    </cfRule>
  </conditionalFormatting>
  <dataValidations count="2">
    <dataValidation type="list" allowBlank="1" showInputMessage="1" showErrorMessage="1" sqref="I3:I25" xr:uid="{3E6ECF6B-FDE7-4728-8CBA-2BAA5A637DB2}">
      <formula1>INDIRECT("tablaformapago[Forma pago]")</formula1>
    </dataValidation>
    <dataValidation type="list" allowBlank="1" showInputMessage="1" showErrorMessage="1" sqref="L3:L25" xr:uid="{1AB24124-244C-4105-B2BC-755BA2DB5AF6}">
      <formula1>INDIRECT("tablaestado[ESTADO]")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74A6-92F6-490E-93D1-9C66218AE64D}">
  <sheetPr codeName="Hoja3">
    <pageSetUpPr fitToPage="1"/>
  </sheetPr>
  <dimension ref="A2:P65"/>
  <sheetViews>
    <sheetView showGridLines="0" topLeftCell="A6" workbookViewId="0">
      <selection activeCell="G15" sqref="G15"/>
    </sheetView>
  </sheetViews>
  <sheetFormatPr defaultColWidth="11.42578125" defaultRowHeight="15"/>
  <cols>
    <col min="5" max="6" width="17.140625" customWidth="1"/>
    <col min="7" max="7" width="25.42578125" bestFit="1" customWidth="1"/>
    <col min="8" max="8" width="12.42578125" bestFit="1" customWidth="1"/>
    <col min="9" max="9" width="18.7109375" customWidth="1"/>
    <col min="10" max="10" width="12" bestFit="1" customWidth="1"/>
    <col min="11" max="11" width="11.7109375" bestFit="1" customWidth="1"/>
    <col min="13" max="13" width="30.85546875" customWidth="1"/>
    <col min="14" max="14" width="17.85546875" customWidth="1"/>
    <col min="15" max="15" width="15.85546875" bestFit="1" customWidth="1"/>
  </cols>
  <sheetData>
    <row r="2" spans="1:16">
      <c r="A2" s="4">
        <f ca="1">TODAY()</f>
        <v>46218</v>
      </c>
      <c r="B2" t="s">
        <v>2451</v>
      </c>
      <c r="C2" t="s">
        <v>2</v>
      </c>
      <c r="D2" t="s">
        <v>3</v>
      </c>
      <c r="E2" t="s">
        <v>4</v>
      </c>
      <c r="F2" t="s">
        <v>5</v>
      </c>
      <c r="G2" t="s">
        <v>7</v>
      </c>
      <c r="H2" t="s">
        <v>8</v>
      </c>
      <c r="I2" t="s">
        <v>9</v>
      </c>
      <c r="J2" t="s">
        <v>2452</v>
      </c>
      <c r="K2" t="s">
        <v>2453</v>
      </c>
      <c r="L2" t="s">
        <v>2454</v>
      </c>
      <c r="M2" t="s">
        <v>2455</v>
      </c>
      <c r="N2" t="s">
        <v>3559</v>
      </c>
      <c r="O2" t="s">
        <v>18</v>
      </c>
      <c r="P2" t="s">
        <v>3560</v>
      </c>
    </row>
    <row r="3" spans="1:16">
      <c r="B3" s="1"/>
      <c r="D3" s="1">
        <v>46006</v>
      </c>
      <c r="E3" s="29" t="s">
        <v>3597</v>
      </c>
      <c r="F3" s="34">
        <v>46044</v>
      </c>
      <c r="G3" t="s">
        <v>2548</v>
      </c>
      <c r="H3" s="2">
        <v>21588.43</v>
      </c>
      <c r="I3" s="2" t="s">
        <v>55</v>
      </c>
      <c r="J3" s="10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21588.43</v>
      </c>
      <c r="K3" s="1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>46044</v>
      </c>
      <c r="L3" t="s">
        <v>25</v>
      </c>
      <c r="M3" t="s">
        <v>3598</v>
      </c>
      <c r="N3" s="1">
        <v>46044</v>
      </c>
      <c r="O3" t="s">
        <v>45</v>
      </c>
    </row>
    <row r="4" spans="1:16">
      <c r="B4" s="1"/>
      <c r="D4" s="1">
        <v>46030</v>
      </c>
      <c r="E4" s="29">
        <v>1</v>
      </c>
      <c r="F4" s="34">
        <v>46037</v>
      </c>
      <c r="G4" t="s">
        <v>3599</v>
      </c>
      <c r="H4" s="2">
        <v>480.57</v>
      </c>
      <c r="I4" s="2" t="s">
        <v>55</v>
      </c>
      <c r="J4" s="10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480.57</v>
      </c>
      <c r="K4" s="1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>46037</v>
      </c>
      <c r="L4" t="s">
        <v>25</v>
      </c>
      <c r="M4" t="s">
        <v>3600</v>
      </c>
      <c r="N4" s="1">
        <v>46037</v>
      </c>
      <c r="O4" t="s">
        <v>27</v>
      </c>
    </row>
    <row r="5" spans="1:16">
      <c r="B5" s="1"/>
      <c r="D5" s="1">
        <v>46056</v>
      </c>
      <c r="E5" s="29">
        <v>1</v>
      </c>
      <c r="F5" s="34">
        <v>46058</v>
      </c>
      <c r="G5" t="s">
        <v>3601</v>
      </c>
      <c r="H5" s="2">
        <v>4104</v>
      </c>
      <c r="I5" s="2" t="s">
        <v>55</v>
      </c>
      <c r="J5" s="2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4104</v>
      </c>
      <c r="K5" s="1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>46058</v>
      </c>
    </row>
    <row r="6" spans="1:16">
      <c r="B6" s="1"/>
      <c r="D6" s="1">
        <v>46031</v>
      </c>
      <c r="E6" s="31" t="s">
        <v>3602</v>
      </c>
      <c r="F6" s="37">
        <v>46037</v>
      </c>
      <c r="G6" t="s">
        <v>3603</v>
      </c>
      <c r="H6" s="2">
        <v>34.880000000000003</v>
      </c>
      <c r="I6" s="2" t="s">
        <v>55</v>
      </c>
      <c r="J6" s="10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34.880000000000003</v>
      </c>
      <c r="K6" s="1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>46037</v>
      </c>
      <c r="L6" t="s">
        <v>25</v>
      </c>
      <c r="M6" t="s">
        <v>3604</v>
      </c>
      <c r="N6" s="1">
        <v>46037</v>
      </c>
      <c r="O6" t="s">
        <v>27</v>
      </c>
    </row>
    <row r="7" spans="1:16">
      <c r="B7" s="1"/>
      <c r="D7" s="1">
        <v>46000</v>
      </c>
      <c r="E7" s="29" t="s">
        <v>3605</v>
      </c>
      <c r="F7" s="34"/>
      <c r="G7" t="s">
        <v>2548</v>
      </c>
      <c r="H7" s="2">
        <v>5430.42</v>
      </c>
      <c r="I7" s="2" t="s">
        <v>55</v>
      </c>
      <c r="J7" s="10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5430.42</v>
      </c>
      <c r="K7" s="1" t="str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/>
      </c>
      <c r="L7" t="s">
        <v>25</v>
      </c>
      <c r="N7" s="1">
        <v>46044</v>
      </c>
      <c r="O7" t="s">
        <v>45</v>
      </c>
    </row>
    <row r="8" spans="1:16">
      <c r="B8" s="1"/>
      <c r="D8" s="1">
        <v>46053</v>
      </c>
      <c r="E8" s="29" t="s">
        <v>3606</v>
      </c>
      <c r="F8" s="34"/>
      <c r="G8" t="s">
        <v>3607</v>
      </c>
      <c r="H8" s="2">
        <v>204.79</v>
      </c>
      <c r="I8" s="2" t="s">
        <v>98</v>
      </c>
      <c r="J8" s="2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204.79</v>
      </c>
      <c r="K8" s="3">
        <v>46056</v>
      </c>
      <c r="L8" t="s">
        <v>25</v>
      </c>
      <c r="M8" t="s">
        <v>3043</v>
      </c>
    </row>
    <row r="9" spans="1:16">
      <c r="B9" s="1"/>
      <c r="D9" s="1">
        <v>46051</v>
      </c>
      <c r="E9" s="29" t="s">
        <v>3608</v>
      </c>
      <c r="F9" s="34"/>
      <c r="G9" t="s">
        <v>3609</v>
      </c>
      <c r="H9" s="2">
        <v>145.6</v>
      </c>
      <c r="I9" s="2" t="s">
        <v>98</v>
      </c>
      <c r="J9" s="10">
        <v>145.6</v>
      </c>
      <c r="K9" s="3"/>
      <c r="L9" t="s">
        <v>25</v>
      </c>
      <c r="M9" t="s">
        <v>3610</v>
      </c>
      <c r="N9" s="1">
        <v>46100</v>
      </c>
      <c r="O9" t="s">
        <v>27</v>
      </c>
    </row>
    <row r="10" spans="1:16">
      <c r="B10" s="1"/>
      <c r="D10" s="1">
        <v>46053</v>
      </c>
      <c r="E10" s="29" t="s">
        <v>3611</v>
      </c>
      <c r="F10" s="34"/>
      <c r="G10" t="s">
        <v>3612</v>
      </c>
      <c r="H10" s="2">
        <v>364.76</v>
      </c>
      <c r="I10" s="2" t="s">
        <v>98</v>
      </c>
      <c r="J10" s="2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364.76</v>
      </c>
      <c r="K10" s="3">
        <v>46056</v>
      </c>
      <c r="L10" t="s">
        <v>25</v>
      </c>
    </row>
    <row r="11" spans="1:16">
      <c r="B11" s="1"/>
      <c r="D11" s="1">
        <v>46065</v>
      </c>
      <c r="E11" s="29">
        <v>2</v>
      </c>
      <c r="F11" s="34"/>
      <c r="G11" t="s">
        <v>3599</v>
      </c>
      <c r="H11" s="10">
        <v>480.57</v>
      </c>
      <c r="I11" s="2" t="s">
        <v>55</v>
      </c>
      <c r="J11" s="2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480.57</v>
      </c>
      <c r="K11" s="3">
        <v>46072</v>
      </c>
      <c r="L11" t="s">
        <v>25</v>
      </c>
      <c r="M11" t="s">
        <v>3613</v>
      </c>
      <c r="N11" s="1">
        <v>46072</v>
      </c>
      <c r="O11" t="s">
        <v>27</v>
      </c>
    </row>
    <row r="12" spans="1:16">
      <c r="B12" s="1"/>
      <c r="D12" s="1">
        <v>46053</v>
      </c>
      <c r="E12" s="29" t="s">
        <v>3614</v>
      </c>
      <c r="F12" s="34"/>
      <c r="G12" t="s">
        <v>3615</v>
      </c>
      <c r="H12" s="2">
        <v>123.75</v>
      </c>
      <c r="I12" s="2" t="s">
        <v>98</v>
      </c>
      <c r="J12" s="2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123.75</v>
      </c>
      <c r="K12" s="3"/>
      <c r="L12" t="s">
        <v>25</v>
      </c>
    </row>
    <row r="13" spans="1:16">
      <c r="B13" s="1"/>
      <c r="D13" s="1">
        <v>46029</v>
      </c>
      <c r="E13" s="47" t="s">
        <v>3616</v>
      </c>
      <c r="F13" s="34"/>
      <c r="G13" t="s">
        <v>3607</v>
      </c>
      <c r="H13" s="2">
        <v>55.97</v>
      </c>
      <c r="I13" s="2" t="s">
        <v>98</v>
      </c>
      <c r="J13" s="2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55.97</v>
      </c>
      <c r="K13" s="3">
        <v>46031</v>
      </c>
      <c r="L13" t="s">
        <v>25</v>
      </c>
      <c r="M13" t="s">
        <v>3043</v>
      </c>
      <c r="N13" s="1"/>
    </row>
    <row r="14" spans="1:16">
      <c r="B14" s="1"/>
      <c r="D14" s="1">
        <v>46026</v>
      </c>
      <c r="E14" s="31" t="s">
        <v>3617</v>
      </c>
      <c r="F14" s="34"/>
      <c r="G14" t="s">
        <v>3618</v>
      </c>
      <c r="H14" s="2">
        <v>280.91000000000003</v>
      </c>
      <c r="I14" s="2" t="s">
        <v>98</v>
      </c>
      <c r="J14" s="2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280.91000000000003</v>
      </c>
      <c r="K14" s="3">
        <v>46057</v>
      </c>
      <c r="L14" t="s">
        <v>25</v>
      </c>
    </row>
    <row r="15" spans="1:16">
      <c r="B15" s="1"/>
      <c r="D15" s="1">
        <v>46054</v>
      </c>
      <c r="E15" s="31" t="s">
        <v>3619</v>
      </c>
      <c r="F15" s="34"/>
      <c r="G15" t="s">
        <v>3618</v>
      </c>
      <c r="H15" s="2">
        <v>280.91000000000003</v>
      </c>
      <c r="I15" s="2" t="s">
        <v>98</v>
      </c>
      <c r="J15" s="2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280.91000000000003</v>
      </c>
      <c r="K15" s="3">
        <v>46084</v>
      </c>
      <c r="L15" t="s">
        <v>25</v>
      </c>
    </row>
    <row r="16" spans="1:16" s="49" customFormat="1">
      <c r="B16" s="48"/>
      <c r="D16" s="48">
        <v>46064</v>
      </c>
      <c r="E16" s="50" t="s">
        <v>3620</v>
      </c>
      <c r="F16" s="61"/>
      <c r="G16" s="49" t="s">
        <v>3609</v>
      </c>
      <c r="H16" s="51">
        <v>166.53</v>
      </c>
      <c r="I16" s="51" t="s">
        <v>98</v>
      </c>
      <c r="J16" s="51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166.53</v>
      </c>
      <c r="K16" s="52" t="str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/>
      </c>
      <c r="L16" s="49" t="s">
        <v>25</v>
      </c>
      <c r="N16" s="48">
        <v>46125</v>
      </c>
      <c r="O16" s="49" t="s">
        <v>27</v>
      </c>
    </row>
    <row r="17" spans="2:15" s="49" customFormat="1">
      <c r="B17" s="48"/>
      <c r="D17" s="48">
        <v>46083</v>
      </c>
      <c r="E17" s="50">
        <v>3</v>
      </c>
      <c r="F17" s="61"/>
      <c r="G17" s="49" t="s">
        <v>3599</v>
      </c>
      <c r="H17" s="51">
        <v>480.57</v>
      </c>
      <c r="I17" s="51" t="s">
        <v>55</v>
      </c>
      <c r="J17" s="62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480.57</v>
      </c>
      <c r="K17" s="52" t="str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/>
      </c>
      <c r="L17" s="49" t="s">
        <v>25</v>
      </c>
      <c r="M17" s="49" t="s">
        <v>3621</v>
      </c>
      <c r="N17" s="48">
        <v>46086</v>
      </c>
      <c r="O17" s="49" t="s">
        <v>27</v>
      </c>
    </row>
    <row r="18" spans="2:15" s="49" customFormat="1">
      <c r="B18" s="48"/>
      <c r="D18" s="48">
        <v>46081</v>
      </c>
      <c r="E18" s="50" t="s">
        <v>3622</v>
      </c>
      <c r="F18" s="61"/>
      <c r="G18" s="49" t="s">
        <v>3607</v>
      </c>
      <c r="H18" s="51">
        <v>204.79</v>
      </c>
      <c r="I18" s="51" t="s">
        <v>98</v>
      </c>
      <c r="J18" s="51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204.79</v>
      </c>
      <c r="K18" s="52">
        <v>46084</v>
      </c>
      <c r="L18" s="49" t="s">
        <v>25</v>
      </c>
      <c r="M18" s="49" t="s">
        <v>3043</v>
      </c>
    </row>
    <row r="19" spans="2:15" s="49" customFormat="1">
      <c r="B19" s="48"/>
      <c r="D19" s="48">
        <v>46082</v>
      </c>
      <c r="E19" s="50" t="s">
        <v>3623</v>
      </c>
      <c r="F19" s="61"/>
      <c r="G19" s="49" t="s">
        <v>3618</v>
      </c>
      <c r="H19" s="51">
        <v>280.91000000000003</v>
      </c>
      <c r="I19" s="51" t="s">
        <v>98</v>
      </c>
      <c r="J19" s="51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280.91000000000003</v>
      </c>
      <c r="K19" s="52">
        <v>46112</v>
      </c>
      <c r="L19" s="49" t="s">
        <v>25</v>
      </c>
    </row>
    <row r="20" spans="2:15" s="49" customFormat="1">
      <c r="B20" s="48"/>
      <c r="D20" s="48">
        <v>46083</v>
      </c>
      <c r="E20" s="50" t="s">
        <v>3624</v>
      </c>
      <c r="F20" s="61"/>
      <c r="G20" s="49" t="s">
        <v>3625</v>
      </c>
      <c r="H20" s="51">
        <v>84.8</v>
      </c>
      <c r="I20" s="51" t="s">
        <v>43</v>
      </c>
      <c r="J20" s="62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84.8</v>
      </c>
      <c r="K20" s="52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>46083</v>
      </c>
      <c r="L20" s="49" t="s">
        <v>25</v>
      </c>
      <c r="M20" s="49" t="s">
        <v>2648</v>
      </c>
      <c r="N20" s="48">
        <v>46086</v>
      </c>
      <c r="O20" s="49" t="s">
        <v>27</v>
      </c>
    </row>
    <row r="21" spans="2:15" s="49" customFormat="1">
      <c r="B21" s="48"/>
      <c r="D21" s="48">
        <v>46081</v>
      </c>
      <c r="E21" s="50" t="s">
        <v>3626</v>
      </c>
      <c r="F21" s="61"/>
      <c r="G21" s="49" t="s">
        <v>3612</v>
      </c>
      <c r="H21" s="51">
        <v>279.47000000000003</v>
      </c>
      <c r="I21" s="51" t="s">
        <v>98</v>
      </c>
      <c r="J21" s="51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279.47000000000003</v>
      </c>
      <c r="K21" s="52">
        <v>46087</v>
      </c>
      <c r="L21" s="49" t="s">
        <v>25</v>
      </c>
      <c r="M21" s="49" t="s">
        <v>3627</v>
      </c>
    </row>
    <row r="22" spans="2:15" s="63" customFormat="1">
      <c r="B22" s="76"/>
      <c r="D22" s="76">
        <v>46033</v>
      </c>
      <c r="E22" s="78" t="s">
        <v>3628</v>
      </c>
      <c r="F22" s="93"/>
      <c r="G22" s="63" t="s">
        <v>3629</v>
      </c>
      <c r="H22" s="79">
        <v>35.090000000000003</v>
      </c>
      <c r="I22" s="79" t="s">
        <v>98</v>
      </c>
      <c r="J22" s="79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35.090000000000003</v>
      </c>
      <c r="K22" s="80" t="str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/>
      </c>
      <c r="L22" s="63" t="s">
        <v>25</v>
      </c>
      <c r="M22" s="63" t="s">
        <v>3630</v>
      </c>
    </row>
    <row r="23" spans="2:15" s="63" customFormat="1">
      <c r="B23" s="76"/>
      <c r="D23" s="76">
        <v>46064</v>
      </c>
      <c r="E23" s="78" t="s">
        <v>3631</v>
      </c>
      <c r="F23" s="93"/>
      <c r="G23" s="63" t="s">
        <v>3629</v>
      </c>
      <c r="H23" s="79">
        <v>35.090000000000003</v>
      </c>
      <c r="I23" s="79" t="s">
        <v>98</v>
      </c>
      <c r="J23" s="79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35.090000000000003</v>
      </c>
      <c r="K23" s="80" t="str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/>
      </c>
      <c r="L23" s="63" t="s">
        <v>25</v>
      </c>
      <c r="M23" s="63" t="s">
        <v>3630</v>
      </c>
    </row>
    <row r="24" spans="2:15" s="49" customFormat="1">
      <c r="B24" s="48"/>
      <c r="D24" s="48">
        <v>46081</v>
      </c>
      <c r="E24" s="50" t="s">
        <v>3632</v>
      </c>
      <c r="F24" s="61"/>
      <c r="G24" s="49" t="s">
        <v>3615</v>
      </c>
      <c r="H24" s="51">
        <v>105.62</v>
      </c>
      <c r="I24" s="51" t="s">
        <v>98</v>
      </c>
      <c r="J24" s="51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105.62</v>
      </c>
      <c r="K24" s="52" t="str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/>
      </c>
      <c r="L24" s="49" t="s">
        <v>25</v>
      </c>
      <c r="M24" s="49" t="s">
        <v>3633</v>
      </c>
      <c r="N24" s="48">
        <v>46097</v>
      </c>
    </row>
    <row r="25" spans="2:15" s="49" customFormat="1">
      <c r="B25" s="48"/>
      <c r="D25" s="48">
        <v>46090</v>
      </c>
      <c r="E25" s="98" t="s">
        <v>3634</v>
      </c>
      <c r="F25" s="61"/>
      <c r="G25" s="49" t="s">
        <v>3607</v>
      </c>
      <c r="H25" s="51">
        <v>19.2</v>
      </c>
      <c r="I25" s="51" t="s">
        <v>98</v>
      </c>
      <c r="J25" s="51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19.2</v>
      </c>
      <c r="K25" s="52">
        <v>46092</v>
      </c>
      <c r="L25" s="49" t="s">
        <v>25</v>
      </c>
      <c r="M25" s="49" t="s">
        <v>3043</v>
      </c>
    </row>
    <row r="26" spans="2:15" s="49" customFormat="1">
      <c r="B26" s="48"/>
      <c r="D26" s="48">
        <v>46073</v>
      </c>
      <c r="E26" s="50" t="s">
        <v>3635</v>
      </c>
      <c r="F26" s="61"/>
      <c r="G26" s="49" t="s">
        <v>3607</v>
      </c>
      <c r="H26" s="51">
        <v>33.15</v>
      </c>
      <c r="I26" s="51" t="s">
        <v>43</v>
      </c>
      <c r="J26" s="51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33.15</v>
      </c>
      <c r="K26" s="52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>46073</v>
      </c>
      <c r="L26" s="49" t="s">
        <v>25</v>
      </c>
      <c r="M26" s="49" t="s">
        <v>3636</v>
      </c>
      <c r="N26" s="48">
        <v>46098</v>
      </c>
    </row>
    <row r="27" spans="2:15" s="49" customFormat="1">
      <c r="B27" s="48"/>
      <c r="D27" s="48">
        <v>46007</v>
      </c>
      <c r="E27" s="50">
        <v>13</v>
      </c>
      <c r="F27" s="61"/>
      <c r="G27" s="49" t="s">
        <v>3599</v>
      </c>
      <c r="H27" s="51">
        <v>480.57</v>
      </c>
      <c r="I27" s="51" t="s">
        <v>55</v>
      </c>
      <c r="J27" s="62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480.57</v>
      </c>
      <c r="K27" s="52" t="str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/>
      </c>
      <c r="L27" s="49" t="s">
        <v>25</v>
      </c>
      <c r="M27" s="49" t="s">
        <v>3637</v>
      </c>
      <c r="N27" s="48">
        <v>46100</v>
      </c>
      <c r="O27" s="49" t="s">
        <v>27</v>
      </c>
    </row>
    <row r="28" spans="2:15" s="49" customFormat="1">
      <c r="B28" s="48"/>
      <c r="D28" s="48">
        <v>46000</v>
      </c>
      <c r="E28" s="48" t="s">
        <v>3638</v>
      </c>
      <c r="F28" s="61"/>
      <c r="G28" s="49" t="s">
        <v>3639</v>
      </c>
      <c r="H28" s="51">
        <v>48.81</v>
      </c>
      <c r="I28" s="51" t="s">
        <v>43</v>
      </c>
      <c r="J28" s="51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48.81</v>
      </c>
      <c r="K28" s="52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>46000</v>
      </c>
      <c r="L28" s="49" t="s">
        <v>25</v>
      </c>
      <c r="M28" s="49" t="s">
        <v>3640</v>
      </c>
    </row>
    <row r="29" spans="2:15" s="49" customFormat="1">
      <c r="B29" s="48"/>
      <c r="D29" s="48">
        <v>45901</v>
      </c>
      <c r="E29" s="50" t="s">
        <v>3641</v>
      </c>
      <c r="F29" s="61"/>
      <c r="G29" s="49" t="s">
        <v>3639</v>
      </c>
      <c r="H29" s="51">
        <v>19.89</v>
      </c>
      <c r="I29" s="51" t="s">
        <v>43</v>
      </c>
      <c r="J29" s="51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19.89</v>
      </c>
      <c r="K29" s="52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>45901</v>
      </c>
      <c r="L29" s="49" t="s">
        <v>25</v>
      </c>
      <c r="M29" s="49" t="s">
        <v>3642</v>
      </c>
    </row>
    <row r="30" spans="2:15" s="49" customFormat="1">
      <c r="B30" s="48"/>
      <c r="D30" s="48">
        <v>46092</v>
      </c>
      <c r="E30" s="50" t="s">
        <v>3643</v>
      </c>
      <c r="F30" s="61"/>
      <c r="G30" s="49" t="s">
        <v>3629</v>
      </c>
      <c r="H30" s="51">
        <v>35.090000000000003</v>
      </c>
      <c r="I30" s="51" t="s">
        <v>98</v>
      </c>
      <c r="J30" s="51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35.090000000000003</v>
      </c>
      <c r="K30" s="52" t="str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/>
      </c>
      <c r="L30" s="49" t="s">
        <v>25</v>
      </c>
      <c r="M30" s="49" t="s">
        <v>3630</v>
      </c>
    </row>
    <row r="31" spans="2:15" s="49" customFormat="1">
      <c r="B31" s="48"/>
      <c r="D31" s="48">
        <v>46108</v>
      </c>
      <c r="E31" s="50" t="s">
        <v>3644</v>
      </c>
      <c r="F31" s="61"/>
      <c r="G31" s="49" t="s">
        <v>3645</v>
      </c>
      <c r="H31" s="51">
        <v>371.28</v>
      </c>
      <c r="I31" s="51" t="s">
        <v>98</v>
      </c>
      <c r="J31" s="58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371.28</v>
      </c>
      <c r="K31" s="52" t="str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/>
      </c>
      <c r="L31" s="49" t="s">
        <v>25</v>
      </c>
      <c r="M31" s="49" t="s">
        <v>3646</v>
      </c>
      <c r="N31" s="48">
        <v>46122</v>
      </c>
      <c r="O31" s="49" t="s">
        <v>2197</v>
      </c>
    </row>
    <row r="32" spans="2:15" s="49" customFormat="1">
      <c r="B32" s="48"/>
      <c r="D32" s="48">
        <v>46118</v>
      </c>
      <c r="E32" s="50">
        <v>4</v>
      </c>
      <c r="F32" s="61"/>
      <c r="G32" s="49" t="s">
        <v>3599</v>
      </c>
      <c r="H32" s="51">
        <v>480.57</v>
      </c>
      <c r="I32" s="51" t="s">
        <v>55</v>
      </c>
      <c r="J32" s="62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480.57</v>
      </c>
      <c r="K32" s="52" t="str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/>
      </c>
      <c r="L32" s="49" t="s">
        <v>25</v>
      </c>
      <c r="M32" s="49" t="s">
        <v>3577</v>
      </c>
      <c r="N32" s="48">
        <v>46121</v>
      </c>
      <c r="O32" s="49" t="s">
        <v>2197</v>
      </c>
    </row>
    <row r="33" spans="2:15" s="49" customFormat="1">
      <c r="B33" s="48"/>
      <c r="D33" s="48">
        <v>46112</v>
      </c>
      <c r="E33" s="50" t="s">
        <v>3647</v>
      </c>
      <c r="F33" s="61"/>
      <c r="G33" s="49" t="s">
        <v>3612</v>
      </c>
      <c r="H33" s="51">
        <v>335.54</v>
      </c>
      <c r="I33" s="51" t="s">
        <v>98</v>
      </c>
      <c r="J33" s="51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335.54</v>
      </c>
      <c r="K33" s="52">
        <v>46119</v>
      </c>
      <c r="L33" s="49" t="s">
        <v>25</v>
      </c>
      <c r="M33" s="49" t="s">
        <v>3627</v>
      </c>
    </row>
    <row r="34" spans="2:15" s="49" customFormat="1">
      <c r="B34" s="48"/>
      <c r="D34" s="48">
        <v>46094</v>
      </c>
      <c r="E34" s="50" t="s">
        <v>3648</v>
      </c>
      <c r="F34" s="61"/>
      <c r="G34" s="49" t="s">
        <v>3625</v>
      </c>
      <c r="H34" s="51">
        <v>280.44</v>
      </c>
      <c r="I34" s="51" t="s">
        <v>43</v>
      </c>
      <c r="J34" s="62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280.44</v>
      </c>
      <c r="K34" s="52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>46094</v>
      </c>
      <c r="L34" s="49" t="s">
        <v>25</v>
      </c>
      <c r="M34" s="49" t="s">
        <v>2845</v>
      </c>
      <c r="N34" s="48">
        <v>46121</v>
      </c>
      <c r="O34" s="49" t="s">
        <v>94</v>
      </c>
    </row>
    <row r="35" spans="2:15" s="49" customFormat="1">
      <c r="B35" s="48"/>
      <c r="D35" s="48">
        <v>46099</v>
      </c>
      <c r="E35" s="50" t="s">
        <v>3649</v>
      </c>
      <c r="F35" s="61"/>
      <c r="G35" s="49" t="s">
        <v>3639</v>
      </c>
      <c r="H35" s="51"/>
      <c r="I35" s="51" t="s">
        <v>43</v>
      </c>
      <c r="J35" s="62">
        <v>145.47</v>
      </c>
      <c r="K35" s="52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>46099</v>
      </c>
      <c r="L35" s="49" t="s">
        <v>25</v>
      </c>
      <c r="M35" s="49" t="s">
        <v>2848</v>
      </c>
      <c r="N35" s="48">
        <v>46121</v>
      </c>
      <c r="O35" s="49" t="s">
        <v>94</v>
      </c>
    </row>
    <row r="36" spans="2:15" s="49" customFormat="1">
      <c r="B36" s="48"/>
      <c r="D36" s="48">
        <v>46112</v>
      </c>
      <c r="E36" s="50" t="s">
        <v>3650</v>
      </c>
      <c r="F36" s="61"/>
      <c r="G36" s="49" t="s">
        <v>3615</v>
      </c>
      <c r="H36" s="51">
        <v>124.96</v>
      </c>
      <c r="I36" s="51" t="s">
        <v>98</v>
      </c>
      <c r="J36" s="51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124.96</v>
      </c>
      <c r="K36" s="52" t="str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/>
      </c>
      <c r="L36" s="49" t="s">
        <v>25</v>
      </c>
      <c r="M36" s="49" t="s">
        <v>3633</v>
      </c>
      <c r="N36" s="48">
        <v>46127</v>
      </c>
    </row>
    <row r="37" spans="2:15" s="49" customFormat="1">
      <c r="B37" s="48"/>
      <c r="D37" s="48">
        <v>46113</v>
      </c>
      <c r="E37" s="50" t="s">
        <v>3651</v>
      </c>
      <c r="F37" s="61"/>
      <c r="G37" s="49" t="s">
        <v>3618</v>
      </c>
      <c r="H37" s="51">
        <v>280.91000000000003</v>
      </c>
      <c r="I37" s="51" t="s">
        <v>98</v>
      </c>
      <c r="J37" s="51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280.91000000000003</v>
      </c>
      <c r="K37" s="52" t="str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/>
      </c>
      <c r="L37" s="49" t="s">
        <v>25</v>
      </c>
      <c r="N37" s="48">
        <v>46112</v>
      </c>
    </row>
    <row r="38" spans="2:15" s="49" customFormat="1">
      <c r="B38" s="48"/>
      <c r="D38" s="48">
        <v>46125</v>
      </c>
      <c r="E38" s="50" t="s">
        <v>3652</v>
      </c>
      <c r="F38" s="61"/>
      <c r="G38" s="49" t="s">
        <v>3609</v>
      </c>
      <c r="H38" s="51">
        <v>9.92</v>
      </c>
      <c r="I38" s="51" t="s">
        <v>98</v>
      </c>
      <c r="J38" s="51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9.92</v>
      </c>
      <c r="K38" s="52" t="str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/>
      </c>
      <c r="L38" s="49" t="s">
        <v>25</v>
      </c>
      <c r="M38" s="49" t="s">
        <v>3653</v>
      </c>
      <c r="N38" s="48">
        <v>46125</v>
      </c>
      <c r="O38" s="49" t="s">
        <v>27</v>
      </c>
    </row>
    <row r="39" spans="2:15" s="49" customFormat="1">
      <c r="B39" s="48"/>
      <c r="D39" s="48">
        <v>46062</v>
      </c>
      <c r="E39" s="98" t="s">
        <v>3654</v>
      </c>
      <c r="F39" s="61"/>
      <c r="G39" s="49" t="s">
        <v>3607</v>
      </c>
      <c r="H39" s="51">
        <v>57.61</v>
      </c>
      <c r="I39" s="51" t="s">
        <v>98</v>
      </c>
      <c r="J39" s="51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57.61</v>
      </c>
      <c r="K39" s="52" t="str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/>
      </c>
      <c r="L39" s="49" t="s">
        <v>25</v>
      </c>
      <c r="M39" s="49" t="s">
        <v>3043</v>
      </c>
    </row>
    <row r="40" spans="2:15">
      <c r="B40" s="1"/>
      <c r="D40" s="1">
        <v>46146</v>
      </c>
      <c r="E40" s="29">
        <v>5</v>
      </c>
      <c r="F40" s="34"/>
      <c r="G40" t="s">
        <v>3599</v>
      </c>
      <c r="H40" s="2">
        <v>480.57</v>
      </c>
      <c r="I40" s="2" t="s">
        <v>43</v>
      </c>
      <c r="J40" s="10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480.57</v>
      </c>
      <c r="K40" s="3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>46146</v>
      </c>
      <c r="L40" s="49" t="s">
        <v>25</v>
      </c>
      <c r="M40" t="s">
        <v>3637</v>
      </c>
      <c r="N40" s="1">
        <v>46149</v>
      </c>
      <c r="O40" t="s">
        <v>27</v>
      </c>
    </row>
    <row r="41" spans="2:15">
      <c r="B41" s="1"/>
      <c r="D41" s="1">
        <v>45473</v>
      </c>
      <c r="E41" s="29">
        <v>2402557</v>
      </c>
      <c r="F41" s="34"/>
      <c r="G41" t="s">
        <v>3655</v>
      </c>
      <c r="H41" s="2">
        <v>113.41</v>
      </c>
      <c r="I41" s="2" t="s">
        <v>43</v>
      </c>
      <c r="J41" s="10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113.41</v>
      </c>
      <c r="K41" s="3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>45473</v>
      </c>
      <c r="L41" s="49" t="s">
        <v>25</v>
      </c>
      <c r="M41" t="s">
        <v>3656</v>
      </c>
      <c r="N41" s="1">
        <v>46149</v>
      </c>
      <c r="O41" t="s">
        <v>27</v>
      </c>
    </row>
    <row r="42" spans="2:15" s="49" customFormat="1">
      <c r="B42" s="48"/>
      <c r="D42" s="48">
        <v>46142</v>
      </c>
      <c r="E42" s="50" t="s">
        <v>3657</v>
      </c>
      <c r="F42" s="61"/>
      <c r="G42" s="49" t="s">
        <v>3607</v>
      </c>
      <c r="H42" s="51">
        <v>204.79</v>
      </c>
      <c r="I42" s="51" t="s">
        <v>98</v>
      </c>
      <c r="J42" s="51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204.79</v>
      </c>
      <c r="K42" s="52" t="str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/>
      </c>
      <c r="L42" s="49" t="s">
        <v>25</v>
      </c>
      <c r="M42" s="49" t="s">
        <v>3043</v>
      </c>
    </row>
    <row r="43" spans="2:15" s="49" customFormat="1">
      <c r="B43" s="48"/>
      <c r="D43" s="48">
        <v>46143</v>
      </c>
      <c r="E43" s="50" t="s">
        <v>3658</v>
      </c>
      <c r="F43" s="61"/>
      <c r="G43" s="49" t="s">
        <v>3618</v>
      </c>
      <c r="H43" s="51">
        <v>280.91000000000003</v>
      </c>
      <c r="I43" s="51" t="s">
        <v>98</v>
      </c>
      <c r="J43" s="51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280.91000000000003</v>
      </c>
      <c r="K43" s="52" t="str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/>
      </c>
      <c r="L43" s="49" t="s">
        <v>25</v>
      </c>
    </row>
    <row r="44" spans="2:15" s="49" customFormat="1">
      <c r="B44" s="48"/>
      <c r="D44" s="48">
        <v>46142</v>
      </c>
      <c r="E44" s="50" t="s">
        <v>3659</v>
      </c>
      <c r="F44" s="61"/>
      <c r="G44" s="49" t="s">
        <v>3612</v>
      </c>
      <c r="H44" s="51">
        <v>429.08</v>
      </c>
      <c r="I44" s="51" t="s">
        <v>98</v>
      </c>
      <c r="J44" s="51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429.08</v>
      </c>
      <c r="K44" s="52" t="str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/>
      </c>
      <c r="L44" s="49" t="s">
        <v>25</v>
      </c>
      <c r="M44" s="49" t="s">
        <v>3627</v>
      </c>
    </row>
    <row r="45" spans="2:15" s="49" customFormat="1">
      <c r="B45" s="48"/>
      <c r="D45" s="48">
        <v>46036</v>
      </c>
      <c r="E45" s="50" t="s">
        <v>3660</v>
      </c>
      <c r="F45" s="61"/>
      <c r="G45" s="49" t="s">
        <v>419</v>
      </c>
      <c r="H45" s="51">
        <v>142.30000000000001</v>
      </c>
      <c r="I45" s="51" t="s">
        <v>98</v>
      </c>
      <c r="J45" s="51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142.30000000000001</v>
      </c>
      <c r="K45" s="52" t="str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/>
      </c>
      <c r="L45" s="49" t="s">
        <v>25</v>
      </c>
      <c r="M45" s="49" t="s">
        <v>3661</v>
      </c>
    </row>
    <row r="46" spans="2:15" s="49" customFormat="1">
      <c r="B46" s="48"/>
      <c r="D46" s="48">
        <v>46067</v>
      </c>
      <c r="E46" s="50" t="s">
        <v>3662</v>
      </c>
      <c r="F46" s="61"/>
      <c r="G46" s="49" t="s">
        <v>419</v>
      </c>
      <c r="H46" s="51">
        <v>142.30000000000001</v>
      </c>
      <c r="I46" s="51" t="s">
        <v>98</v>
      </c>
      <c r="J46" s="51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142.30000000000001</v>
      </c>
      <c r="K46" s="52" t="str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/>
      </c>
      <c r="L46" s="49" t="s">
        <v>25</v>
      </c>
      <c r="M46" s="49" t="s">
        <v>1889</v>
      </c>
    </row>
    <row r="47" spans="2:15" s="49" customFormat="1">
      <c r="B47" s="48"/>
      <c r="D47" s="48">
        <v>46095</v>
      </c>
      <c r="E47" s="50" t="s">
        <v>3663</v>
      </c>
      <c r="F47" s="61"/>
      <c r="G47" s="49" t="s">
        <v>419</v>
      </c>
      <c r="H47" s="51">
        <v>142.30000000000001</v>
      </c>
      <c r="I47" s="51" t="s">
        <v>98</v>
      </c>
      <c r="J47" s="51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142.30000000000001</v>
      </c>
      <c r="K47" s="52" t="str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/>
      </c>
      <c r="L47" s="49" t="s">
        <v>25</v>
      </c>
      <c r="M47" s="49" t="s">
        <v>3664</v>
      </c>
    </row>
    <row r="48" spans="2:15" s="49" customFormat="1">
      <c r="B48" s="48"/>
      <c r="D48" s="48">
        <v>46126</v>
      </c>
      <c r="E48" s="50" t="s">
        <v>3665</v>
      </c>
      <c r="F48" s="61"/>
      <c r="G48" s="49" t="s">
        <v>419</v>
      </c>
      <c r="H48" s="51">
        <v>142.30000000000001</v>
      </c>
      <c r="I48" s="51" t="s">
        <v>98</v>
      </c>
      <c r="J48" s="51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142.30000000000001</v>
      </c>
      <c r="K48" s="52" t="str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/>
      </c>
      <c r="L48" s="49" t="s">
        <v>25</v>
      </c>
      <c r="M48" s="49" t="s">
        <v>1895</v>
      </c>
    </row>
    <row r="49" spans="2:15" s="49" customFormat="1">
      <c r="B49" s="48"/>
      <c r="D49" s="48">
        <v>46156</v>
      </c>
      <c r="E49" s="50" t="s">
        <v>3666</v>
      </c>
      <c r="F49" s="61"/>
      <c r="G49" s="49" t="s">
        <v>419</v>
      </c>
      <c r="H49" s="51">
        <v>142.30000000000001</v>
      </c>
      <c r="I49" s="51" t="s">
        <v>98</v>
      </c>
      <c r="J49" s="51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142.30000000000001</v>
      </c>
      <c r="K49" s="52" t="str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/>
      </c>
      <c r="L49" s="49" t="s">
        <v>25</v>
      </c>
      <c r="M49" s="49" t="s">
        <v>3667</v>
      </c>
    </row>
    <row r="50" spans="2:15" s="49" customFormat="1">
      <c r="B50" s="48"/>
      <c r="D50" s="48">
        <v>46158</v>
      </c>
      <c r="E50" s="50" t="s">
        <v>3668</v>
      </c>
      <c r="F50" s="61"/>
      <c r="G50" s="49" t="s">
        <v>419</v>
      </c>
      <c r="H50" s="51">
        <v>156.30000000000001</v>
      </c>
      <c r="I50" s="51" t="s">
        <v>98</v>
      </c>
      <c r="J50" s="51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156.30000000000001</v>
      </c>
      <c r="K50" s="52" t="str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/>
      </c>
      <c r="L50" s="49" t="s">
        <v>25</v>
      </c>
      <c r="M50" s="49" t="s">
        <v>3669</v>
      </c>
    </row>
    <row r="51" spans="2:15" s="49" customFormat="1">
      <c r="B51" s="48"/>
      <c r="D51" s="48">
        <v>46112</v>
      </c>
      <c r="E51" s="50" t="s">
        <v>3670</v>
      </c>
      <c r="F51" s="61"/>
      <c r="G51" s="49" t="s">
        <v>3607</v>
      </c>
      <c r="H51" s="51">
        <v>204.79</v>
      </c>
      <c r="I51" s="51" t="s">
        <v>98</v>
      </c>
      <c r="J51" s="51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204.79</v>
      </c>
      <c r="K51" s="52" t="str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/>
      </c>
      <c r="L51" s="49" t="s">
        <v>25</v>
      </c>
      <c r="M51" s="49" t="s">
        <v>3043</v>
      </c>
    </row>
    <row r="52" spans="2:15" s="49" customFormat="1">
      <c r="B52" s="48"/>
      <c r="D52" s="48">
        <v>46120</v>
      </c>
      <c r="E52" s="50" t="s">
        <v>3671</v>
      </c>
      <c r="F52" s="61"/>
      <c r="G52" s="49" t="s">
        <v>3607</v>
      </c>
      <c r="H52" s="51">
        <v>19.2</v>
      </c>
      <c r="I52" s="51" t="s">
        <v>98</v>
      </c>
      <c r="J52" s="51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19.2</v>
      </c>
      <c r="K52" s="52" t="str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/>
      </c>
      <c r="L52" s="49" t="s">
        <v>25</v>
      </c>
      <c r="M52" s="49" t="s">
        <v>3043</v>
      </c>
    </row>
    <row r="53" spans="2:15" s="49" customFormat="1">
      <c r="B53" s="48"/>
      <c r="D53" s="48">
        <v>46175</v>
      </c>
      <c r="E53" s="50" t="s">
        <v>3672</v>
      </c>
      <c r="F53" s="61"/>
      <c r="G53" s="49" t="s">
        <v>3673</v>
      </c>
      <c r="H53" s="51">
        <v>580.69000000000005</v>
      </c>
      <c r="I53" s="51" t="s">
        <v>43</v>
      </c>
      <c r="J53" s="51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580.69000000000005</v>
      </c>
      <c r="K53" s="52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>46175</v>
      </c>
      <c r="L53" s="49" t="s">
        <v>25</v>
      </c>
      <c r="M53" s="49" t="s">
        <v>3674</v>
      </c>
      <c r="N53" s="48"/>
      <c r="O53" s="49" t="s">
        <v>94</v>
      </c>
    </row>
    <row r="54" spans="2:15" s="49" customFormat="1">
      <c r="B54" s="48"/>
      <c r="D54" s="48">
        <v>46173</v>
      </c>
      <c r="E54" s="50" t="s">
        <v>3675</v>
      </c>
      <c r="F54" s="61"/>
      <c r="G54" s="49" t="s">
        <v>3612</v>
      </c>
      <c r="H54" s="51">
        <v>435.7</v>
      </c>
      <c r="I54" s="51" t="s">
        <v>98</v>
      </c>
      <c r="J54" s="51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435.7</v>
      </c>
      <c r="K54" s="52" t="str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/>
      </c>
      <c r="L54" s="49" t="s">
        <v>25</v>
      </c>
      <c r="M54" s="49" t="s">
        <v>3676</v>
      </c>
    </row>
    <row r="55" spans="2:15" s="49" customFormat="1">
      <c r="B55" s="48"/>
      <c r="D55" s="48">
        <v>46177</v>
      </c>
      <c r="E55" s="50" t="s">
        <v>3584</v>
      </c>
      <c r="F55" s="61"/>
      <c r="G55" s="49" t="s">
        <v>3561</v>
      </c>
      <c r="H55" s="51">
        <v>524.64</v>
      </c>
      <c r="I55" s="51" t="s">
        <v>43</v>
      </c>
      <c r="J55" s="62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524.64</v>
      </c>
      <c r="K55" s="52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>46177</v>
      </c>
      <c r="L55" s="49" t="s">
        <v>25</v>
      </c>
      <c r="M55" s="49" t="s">
        <v>3585</v>
      </c>
      <c r="N55" s="48">
        <v>46184</v>
      </c>
      <c r="O55" s="49" t="s">
        <v>2197</v>
      </c>
    </row>
    <row r="56" spans="2:15" s="49" customFormat="1">
      <c r="B56" s="48"/>
      <c r="D56" s="48">
        <v>46177</v>
      </c>
      <c r="E56" s="50" t="s">
        <v>3586</v>
      </c>
      <c r="F56" s="61"/>
      <c r="G56" s="49" t="s">
        <v>3561</v>
      </c>
      <c r="H56" s="51">
        <v>98.48</v>
      </c>
      <c r="I56" s="51" t="s">
        <v>43</v>
      </c>
      <c r="J56" s="62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98.48</v>
      </c>
      <c r="K56" s="52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>46177</v>
      </c>
      <c r="L56" s="49" t="s">
        <v>25</v>
      </c>
      <c r="M56" s="49" t="s">
        <v>3587</v>
      </c>
      <c r="N56" s="48">
        <v>46184</v>
      </c>
      <c r="O56" s="49" t="s">
        <v>27</v>
      </c>
    </row>
    <row r="57" spans="2:15" s="49" customFormat="1">
      <c r="B57" s="48"/>
      <c r="D57" s="48">
        <v>46177</v>
      </c>
      <c r="E57" s="213" t="s">
        <v>3677</v>
      </c>
      <c r="F57" s="61"/>
      <c r="G57" s="49" t="s">
        <v>3678</v>
      </c>
      <c r="H57" s="51">
        <v>84.7</v>
      </c>
      <c r="I57" s="51" t="s">
        <v>98</v>
      </c>
      <c r="J57" s="51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84.7</v>
      </c>
      <c r="K57" s="52" t="str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/>
      </c>
      <c r="M57" s="49" t="s">
        <v>3679</v>
      </c>
      <c r="N57" s="48"/>
    </row>
    <row r="58" spans="2:15">
      <c r="B58" s="1">
        <v>46209</v>
      </c>
      <c r="D58" s="1"/>
      <c r="E58" s="29" t="s">
        <v>732</v>
      </c>
      <c r="F58" s="34"/>
      <c r="G58" t="s">
        <v>2581</v>
      </c>
      <c r="H58" s="2">
        <v>24.35</v>
      </c>
      <c r="I58" s="2" t="s">
        <v>43</v>
      </c>
      <c r="J58" s="10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24.35</v>
      </c>
      <c r="K58" s="3" t="str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/>
      </c>
      <c r="L58" s="49" t="s">
        <v>25</v>
      </c>
      <c r="M58" t="s">
        <v>3680</v>
      </c>
      <c r="N58" s="1">
        <v>46184</v>
      </c>
      <c r="O58" t="s">
        <v>27</v>
      </c>
    </row>
    <row r="59" spans="2:15">
      <c r="B59" s="1">
        <v>46209</v>
      </c>
      <c r="D59" s="1"/>
      <c r="E59" s="29" t="s">
        <v>732</v>
      </c>
      <c r="F59" s="34"/>
      <c r="G59" t="s">
        <v>2581</v>
      </c>
      <c r="H59" s="2">
        <v>538.38</v>
      </c>
      <c r="I59" s="2" t="s">
        <v>43</v>
      </c>
      <c r="J59" s="10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538.38</v>
      </c>
      <c r="K59" s="3" t="str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/>
      </c>
      <c r="L59" s="49" t="s">
        <v>25</v>
      </c>
      <c r="M59" t="s">
        <v>3681</v>
      </c>
      <c r="N59" s="1">
        <v>46184</v>
      </c>
      <c r="O59" t="s">
        <v>2197</v>
      </c>
    </row>
    <row r="60" spans="2:15" s="49" customFormat="1">
      <c r="B60" s="48"/>
      <c r="D60" s="48">
        <v>46205</v>
      </c>
      <c r="E60" s="50" t="s">
        <v>3591</v>
      </c>
      <c r="F60" s="61"/>
      <c r="G60" s="49" t="s">
        <v>3561</v>
      </c>
      <c r="H60" s="51">
        <v>524.64</v>
      </c>
      <c r="I60" s="51" t="s">
        <v>43</v>
      </c>
      <c r="J60" s="62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524.64</v>
      </c>
      <c r="K60" s="52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>46205</v>
      </c>
      <c r="L60" s="49" t="s">
        <v>25</v>
      </c>
      <c r="M60" s="49" t="s">
        <v>3592</v>
      </c>
      <c r="N60" s="48">
        <v>46212</v>
      </c>
      <c r="O60" s="49" t="s">
        <v>27</v>
      </c>
    </row>
    <row r="61" spans="2:15" s="49" customFormat="1">
      <c r="B61" s="48"/>
      <c r="D61" s="48">
        <v>46205</v>
      </c>
      <c r="E61" s="50" t="s">
        <v>3593</v>
      </c>
      <c r="F61" s="61"/>
      <c r="G61" s="49" t="s">
        <v>3561</v>
      </c>
      <c r="H61" s="51">
        <v>98.48</v>
      </c>
      <c r="I61" s="51" t="s">
        <v>43</v>
      </c>
      <c r="J61" s="62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98.48</v>
      </c>
      <c r="K61" s="52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>46205</v>
      </c>
      <c r="L61" s="49" t="s">
        <v>25</v>
      </c>
      <c r="M61" s="49" t="s">
        <v>3594</v>
      </c>
      <c r="N61" s="48">
        <v>46212</v>
      </c>
      <c r="O61" s="49" t="s">
        <v>27</v>
      </c>
    </row>
    <row r="62" spans="2:15" s="49" customFormat="1">
      <c r="B62" s="48"/>
      <c r="D62" s="48">
        <v>46203</v>
      </c>
      <c r="E62" s="50" t="s">
        <v>3682</v>
      </c>
      <c r="F62" s="61"/>
      <c r="G62" s="49" t="s">
        <v>3612</v>
      </c>
      <c r="H62" s="51">
        <v>689.1</v>
      </c>
      <c r="I62" s="51" t="s">
        <v>98</v>
      </c>
      <c r="J62" s="51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689.1</v>
      </c>
      <c r="K62" s="52" t="str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/>
      </c>
      <c r="M62" s="49" t="s">
        <v>3627</v>
      </c>
    </row>
    <row r="63" spans="2:15" s="49" customFormat="1">
      <c r="B63" s="48"/>
      <c r="D63" s="48">
        <v>46179</v>
      </c>
      <c r="E63" s="50" t="s">
        <v>3683</v>
      </c>
      <c r="F63" s="61"/>
      <c r="G63" s="49" t="s">
        <v>3615</v>
      </c>
      <c r="H63" s="51">
        <v>88.15</v>
      </c>
      <c r="I63" s="51" t="s">
        <v>98</v>
      </c>
      <c r="J63" s="51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88.15</v>
      </c>
      <c r="K63" s="52" t="str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/>
      </c>
      <c r="L63" s="49" t="s">
        <v>25</v>
      </c>
      <c r="M63" s="49" t="s">
        <v>3684</v>
      </c>
    </row>
    <row r="64" spans="2:15" s="49" customFormat="1">
      <c r="B64" s="48"/>
      <c r="D64" s="48">
        <v>46203</v>
      </c>
      <c r="E64" s="50" t="s">
        <v>3685</v>
      </c>
      <c r="F64" s="61"/>
      <c r="G64" s="49" t="s">
        <v>3615</v>
      </c>
      <c r="H64" s="51">
        <v>96.63</v>
      </c>
      <c r="I64" s="51" t="s">
        <v>98</v>
      </c>
      <c r="J64" s="51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96.63</v>
      </c>
      <c r="K64" s="52" t="str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/>
      </c>
      <c r="L64" s="49" t="s">
        <v>25</v>
      </c>
      <c r="M64" s="49" t="s">
        <v>3633</v>
      </c>
    </row>
    <row r="65" spans="2:13" s="49" customFormat="1">
      <c r="B65" s="48"/>
      <c r="D65" s="48">
        <v>46173</v>
      </c>
      <c r="E65" s="50" t="s">
        <v>3686</v>
      </c>
      <c r="F65" s="61"/>
      <c r="G65" s="49" t="s">
        <v>3615</v>
      </c>
      <c r="H65" s="51">
        <v>112.71</v>
      </c>
      <c r="I65" s="51" t="s">
        <v>98</v>
      </c>
      <c r="J65" s="51">
        <f>_xlfn.IFS(Tabla146[[#This Row],[Forma Pago]]="30PP70-60D",Tabla146[[#This Row],[Importe Total]]*0.7,Tabla146[[#This Row],[Forma Pago]]="50PP50-60D",Tabla146[[#This Row],[Importe Total]]*0.5,Tabla146[[#This Row],[Forma Pago]]="100PP",Tabla146[[#This Row],[Importe Total]],Tabla146[[#This Row],[Forma Pago]]="0D",Tabla146[[#This Row],[Importe Total]],Tabla146[[#This Row],[Forma Pago]]="60D",Tabla146[[#This Row],[Importe Total]],Tabla146[[#This Row],[Forma Pago]]="30D",Tabla146[[#This Row],[Importe Total]],Tabla146[[#This Row],[Forma Pago]]="DOMICILIADO",Tabla146[[#This Row],[Importe Total]],Tabla146[[#This Row],[Forma Pago]]="DOMICILIADO 30D",Tabla146[[#This Row],[Importe Total]],Tabla146[[#This Row],[Forma Pago]]="DOMICILIADO 60D",Tabla146[[#This Row],[Importe Total]])</f>
        <v>112.71</v>
      </c>
      <c r="K65" s="52" t="str">
        <f>_xlfn.IFS(Tabla146[[#This Row],[Forma Pago]]="30PP70-60D",IF(Tabla146[[#This Row],[Fecha Factura]]="","",Tabla146[[#This Row],[Fecha Factura]]+60),Tabla146[[#This Row],[Forma Pago]]="50PP50-60D",IF(Tabla146[[#This Row],[Fecha Factura]]="","",Tabla146[[#This Row],[Fecha Factura]]+60),Tabla146[[#This Row],[Forma Pago]]="100PP",IF(Tabla146[[#This Row],[Fecha Prep.]]="","",Tabla146[[#This Row],[Fecha Prep.]]),Tabla146[[#This Row],[Forma Pago]]="0D",IF(Tabla146[[#This Row],[Fecha Factura]]="","",Tabla146[[#This Row],[Fecha Factura]]),Tabla146[[#This Row],[Forma Pago]]="60D",IF(Tabla146[[#This Row],[Fecha Factura]]="","",Tabla146[[#This Row],[Fecha Factura]]+60),Tabla146[[#This Row],[Forma Pago]]="30D",IF(Tabla146[[#This Row],[Fecha Factura]]="","",Tabla146[[#This Row],[Fecha Factura]]+60),Tabla146[[#This Row],[Forma Pago]]="DOMICILIADO","")</f>
        <v/>
      </c>
      <c r="L65" s="49" t="s">
        <v>25</v>
      </c>
      <c r="M65" s="49" t="s">
        <v>3633</v>
      </c>
    </row>
  </sheetData>
  <conditionalFormatting sqref="B3:P65">
    <cfRule type="expression" dxfId="95" priority="3">
      <formula>$L3="PAGADO"</formula>
    </cfRule>
  </conditionalFormatting>
  <conditionalFormatting sqref="L55:L59">
    <cfRule type="expression" dxfId="94" priority="1">
      <formula>$L55="PAGADO"</formula>
    </cfRule>
  </conditionalFormatting>
  <dataValidations count="2">
    <dataValidation type="list" allowBlank="1" showInputMessage="1" showErrorMessage="1" sqref="I3:I65" xr:uid="{7A127A44-770B-4B96-A36B-04EF37F37230}">
      <formula1>INDIRECT("tablaformapago[Forma pago]")</formula1>
    </dataValidation>
    <dataValidation type="list" allowBlank="1" showInputMessage="1" showErrorMessage="1" sqref="L3:L54" xr:uid="{1A5A9A98-35D3-41A6-AE4E-FC5B9431A81A}">
      <formula1>INDIRECT("tablaestado[ESTADO]")</formula1>
    </dataValidation>
  </dataValidations>
  <pageMargins left="1" right="1" top="1" bottom="1" header="0.5" footer="0.5"/>
  <pageSetup paperSize="9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00FD3-B5EB-49CA-87D0-F2CFA1109CF6}">
  <dimension ref="A1:P21"/>
  <sheetViews>
    <sheetView showGridLines="0" topLeftCell="B1" workbookViewId="0">
      <selection activeCell="M23" sqref="M23"/>
    </sheetView>
  </sheetViews>
  <sheetFormatPr defaultColWidth="8.7109375" defaultRowHeight="15"/>
  <cols>
    <col min="2" max="2" width="17.140625" bestFit="1" customWidth="1"/>
    <col min="3" max="3" width="14.42578125" bestFit="1" customWidth="1"/>
    <col min="4" max="4" width="15.28515625" bestFit="1" customWidth="1"/>
    <col min="5" max="5" width="12.5703125" bestFit="1" customWidth="1"/>
    <col min="6" max="6" width="12.5703125" customWidth="1"/>
    <col min="7" max="7" width="25.42578125" bestFit="1" customWidth="1"/>
    <col min="8" max="8" width="15.28515625" bestFit="1" customWidth="1"/>
    <col min="9" max="9" width="13.5703125" bestFit="1" customWidth="1"/>
    <col min="10" max="10" width="11" bestFit="1" customWidth="1"/>
    <col min="11" max="11" width="20.85546875" bestFit="1" customWidth="1"/>
    <col min="12" max="12" width="9.140625" bestFit="1" customWidth="1"/>
    <col min="13" max="13" width="33.85546875" customWidth="1"/>
    <col min="14" max="14" width="13.5703125" customWidth="1"/>
    <col min="15" max="15" width="12.7109375" bestFit="1" customWidth="1"/>
    <col min="16" max="16" width="49.42578125" customWidth="1"/>
  </cols>
  <sheetData>
    <row r="1" spans="1:16" ht="21">
      <c r="B1" s="100" t="s">
        <v>3687</v>
      </c>
    </row>
    <row r="2" spans="1:16">
      <c r="B2" t="s">
        <v>2451</v>
      </c>
      <c r="C2" t="s">
        <v>2</v>
      </c>
      <c r="D2" t="s">
        <v>3</v>
      </c>
      <c r="E2" t="s">
        <v>4</v>
      </c>
      <c r="F2" t="s">
        <v>5</v>
      </c>
      <c r="G2" t="s">
        <v>7</v>
      </c>
      <c r="H2" t="s">
        <v>8</v>
      </c>
      <c r="I2" t="s">
        <v>9</v>
      </c>
      <c r="J2" t="s">
        <v>2452</v>
      </c>
      <c r="K2" t="s">
        <v>2453</v>
      </c>
      <c r="L2" t="s">
        <v>2454</v>
      </c>
      <c r="M2" t="s">
        <v>2455</v>
      </c>
      <c r="N2" t="s">
        <v>2456</v>
      </c>
      <c r="O2" t="s">
        <v>3688</v>
      </c>
      <c r="P2" t="s">
        <v>3541</v>
      </c>
    </row>
    <row r="3" spans="1:16">
      <c r="B3" s="1"/>
      <c r="D3" s="1">
        <v>46035</v>
      </c>
      <c r="E3" t="s">
        <v>3689</v>
      </c>
      <c r="F3" s="26">
        <v>46035</v>
      </c>
      <c r="G3" t="s">
        <v>3690</v>
      </c>
      <c r="H3" s="2">
        <v>2503.77</v>
      </c>
      <c r="I3" s="2" t="s">
        <v>55</v>
      </c>
      <c r="J3" s="2">
        <f>_xlfn.IFS(Tabla14689[[#This Row],[Forma Pago]]="30PP70-60D",Tabla14689[[#This Row],[Importe Total]]*0.7,Tabla14689[[#This Row],[Forma Pago]]="50PP50-60D",Tabla14689[[#This Row],[Importe Total]]*0.5,Tabla14689[[#This Row],[Forma Pago]]="100PP",Tabla14689[[#This Row],[Importe Total]],Tabla14689[[#This Row],[Forma Pago]]="0D",Tabla14689[[#This Row],[Importe Total]],Tabla14689[[#This Row],[Forma Pago]]="60D",Tabla14689[[#This Row],[Importe Total]],Tabla14689[[#This Row],[Forma Pago]]="30D",Tabla14689[[#This Row],[Importe Total]],Tabla14689[[#This Row],[Forma Pago]]="DOMICILIADO",Tabla14689[[#This Row],[Importe Total]],Tabla14689[[#This Row],[Forma Pago]]="DOMICILIADO 30D",Tabla14689[[#This Row],[Importe Total]],Tabla14689[[#This Row],[Forma Pago]]="DOMICILIADO 60D",Tabla14689[[#This Row],[Importe Total]])</f>
        <v>2503.77</v>
      </c>
      <c r="K3" s="1">
        <f>_xlfn.IFS(Tabla14689[[#This Row],[Forma Pago]]="30PP70-60D",IF(Tabla14689[[#This Row],[Fecha Factura]]="","",Tabla14689[[#This Row],[Fecha Factura]]+60),Tabla14689[[#This Row],[Forma Pago]]="50PP50-60D",IF(Tabla14689[[#This Row],[Fecha Factura]]="","",Tabla14689[[#This Row],[Fecha Factura]]+60),Tabla14689[[#This Row],[Forma Pago]]="100PP",IF(Tabla14689[[#This Row],[Fecha Prep.]]="","",Tabla14689[[#This Row],[Fecha Prep.]]),Tabla14689[[#This Row],[Forma Pago]]="0D",IF(Tabla14689[[#This Row],[Fecha Factura]]="","",Tabla14689[[#This Row],[Fecha Factura]]),Tabla14689[[#This Row],[Forma Pago]]="60D",IF(Tabla14689[[#This Row],[Fecha Factura]]="","",Tabla14689[[#This Row],[Fecha Factura]]+60),Tabla14689[[#This Row],[Forma Pago]]="30D",IF(Tabla14689[[#This Row],[Fecha Factura]]="","",Tabla14689[[#This Row],[Fecha Factura]]+60),Tabla14689[[#This Row],[Forma Pago]]="DOMICILIADO","")</f>
        <v>46035</v>
      </c>
      <c r="L3" t="s">
        <v>25</v>
      </c>
    </row>
    <row r="4" spans="1:16">
      <c r="B4" s="1"/>
      <c r="D4" s="1">
        <v>46056</v>
      </c>
      <c r="E4" t="s">
        <v>3691</v>
      </c>
      <c r="G4" t="s">
        <v>3692</v>
      </c>
      <c r="H4" s="2">
        <v>361.25</v>
      </c>
      <c r="I4" s="2" t="s">
        <v>43</v>
      </c>
      <c r="J4" s="10">
        <f>_xlfn.IFS(Tabla14689[[#This Row],[Forma Pago]]="30PP70-60D",Tabla14689[[#This Row],[Importe Total]]*0.7,Tabla14689[[#This Row],[Forma Pago]]="50PP50-60D",Tabla14689[[#This Row],[Importe Total]]*0.5,Tabla14689[[#This Row],[Forma Pago]]="100PP",Tabla14689[[#This Row],[Importe Total]],Tabla14689[[#This Row],[Forma Pago]]="0D",Tabla14689[[#This Row],[Importe Total]],Tabla14689[[#This Row],[Forma Pago]]="60D",Tabla14689[[#This Row],[Importe Total]],Tabla14689[[#This Row],[Forma Pago]]="30D",Tabla14689[[#This Row],[Importe Total]],Tabla14689[[#This Row],[Forma Pago]]="DOMICILIADO",Tabla14689[[#This Row],[Importe Total]],Tabla14689[[#This Row],[Forma Pago]]="DOMICILIADO 30D",Tabla14689[[#This Row],[Importe Total]],Tabla14689[[#This Row],[Forma Pago]]="DOMICILIADO 60D",Tabla14689[[#This Row],[Importe Total]])</f>
        <v>361.25</v>
      </c>
      <c r="K4" s="3">
        <v>46066</v>
      </c>
      <c r="L4" t="s">
        <v>25</v>
      </c>
      <c r="N4" s="1">
        <v>46065</v>
      </c>
      <c r="O4" t="s">
        <v>94</v>
      </c>
      <c r="P4" s="24" t="s">
        <v>3693</v>
      </c>
    </row>
    <row r="5" spans="1:16" s="49" customFormat="1">
      <c r="B5" s="48"/>
      <c r="D5" s="48">
        <v>46094</v>
      </c>
      <c r="E5" s="101" t="s">
        <v>3694</v>
      </c>
      <c r="G5" s="49" t="s">
        <v>3695</v>
      </c>
      <c r="H5" s="51">
        <v>123.15</v>
      </c>
      <c r="I5" s="51" t="s">
        <v>43</v>
      </c>
      <c r="J5" s="51">
        <f>_xlfn.IFS(Tabla14689[[#This Row],[Forma Pago]]="30PP70-60D",Tabla14689[[#This Row],[Importe Total]]*0.7,Tabla14689[[#This Row],[Forma Pago]]="50PP50-60D",Tabla14689[[#This Row],[Importe Total]]*0.5,Tabla14689[[#This Row],[Forma Pago]]="100PP",Tabla14689[[#This Row],[Importe Total]],Tabla14689[[#This Row],[Forma Pago]]="0D",Tabla14689[[#This Row],[Importe Total]],Tabla14689[[#This Row],[Forma Pago]]="60D",Tabla14689[[#This Row],[Importe Total]],Tabla14689[[#This Row],[Forma Pago]]="30D",Tabla14689[[#This Row],[Importe Total]],Tabla14689[[#This Row],[Forma Pago]]="DOMICILIADO",Tabla14689[[#This Row],[Importe Total]],Tabla14689[[#This Row],[Forma Pago]]="DOMICILIADO 30D",Tabla14689[[#This Row],[Importe Total]],Tabla14689[[#This Row],[Forma Pago]]="DOMICILIADO 60D",Tabla14689[[#This Row],[Importe Total]])</f>
        <v>123.15</v>
      </c>
      <c r="K5" s="52">
        <f>_xlfn.IFS(Tabla14689[[#This Row],[Forma Pago]]="30PP70-60D",IF(Tabla14689[[#This Row],[Fecha Factura]]="","",Tabla14689[[#This Row],[Fecha Factura]]+60),Tabla14689[[#This Row],[Forma Pago]]="50PP50-60D",IF(Tabla14689[[#This Row],[Fecha Factura]]="","",Tabla14689[[#This Row],[Fecha Factura]]+60),Tabla14689[[#This Row],[Forma Pago]]="100PP",IF(Tabla14689[[#This Row],[Fecha Prep.]]="","",Tabla14689[[#This Row],[Fecha Prep.]]),Tabla14689[[#This Row],[Forma Pago]]="0D",IF(Tabla14689[[#This Row],[Fecha Factura]]="","",Tabla14689[[#This Row],[Fecha Factura]]),Tabla14689[[#This Row],[Forma Pago]]="60D",IF(Tabla14689[[#This Row],[Fecha Factura]]="","",Tabla14689[[#This Row],[Fecha Factura]]+60),Tabla14689[[#This Row],[Forma Pago]]="30D",IF(Tabla14689[[#This Row],[Fecha Factura]]="","",Tabla14689[[#This Row],[Fecha Factura]]+60),Tabla14689[[#This Row],[Forma Pago]]="DOMICILIADO","")</f>
        <v>46094</v>
      </c>
      <c r="L5" s="49" t="s">
        <v>25</v>
      </c>
      <c r="M5" s="49" t="s">
        <v>3696</v>
      </c>
      <c r="N5" s="48">
        <v>46097</v>
      </c>
    </row>
    <row r="6" spans="1:16" s="63" customFormat="1">
      <c r="B6" s="76"/>
      <c r="D6" s="76">
        <v>46000</v>
      </c>
      <c r="E6" s="63" t="s">
        <v>3697</v>
      </c>
      <c r="G6" s="63" t="s">
        <v>3692</v>
      </c>
      <c r="H6" s="79">
        <v>48.81</v>
      </c>
      <c r="I6" s="79" t="s">
        <v>43</v>
      </c>
      <c r="J6" s="79">
        <f>_xlfn.IFS(Tabla14689[[#This Row],[Forma Pago]]="30PP70-60D",Tabla14689[[#This Row],[Importe Total]]*0.7,Tabla14689[[#This Row],[Forma Pago]]="50PP50-60D",Tabla14689[[#This Row],[Importe Total]]*0.5,Tabla14689[[#This Row],[Forma Pago]]="100PP",Tabla14689[[#This Row],[Importe Total]],Tabla14689[[#This Row],[Forma Pago]]="0D",Tabla14689[[#This Row],[Importe Total]],Tabla14689[[#This Row],[Forma Pago]]="60D",Tabla14689[[#This Row],[Importe Total]],Tabla14689[[#This Row],[Forma Pago]]="30D",Tabla14689[[#This Row],[Importe Total]],Tabla14689[[#This Row],[Forma Pago]]="DOMICILIADO",Tabla14689[[#This Row],[Importe Total]],Tabla14689[[#This Row],[Forma Pago]]="DOMICILIADO 30D",Tabla14689[[#This Row],[Importe Total]],Tabla14689[[#This Row],[Forma Pago]]="DOMICILIADO 60D",Tabla14689[[#This Row],[Importe Total]])</f>
        <v>48.81</v>
      </c>
      <c r="K6" s="80">
        <f>_xlfn.IFS(Tabla14689[[#This Row],[Forma Pago]]="30PP70-60D",IF(Tabla14689[[#This Row],[Fecha Factura]]="","",Tabla14689[[#This Row],[Fecha Factura]]+60),Tabla14689[[#This Row],[Forma Pago]]="50PP50-60D",IF(Tabla14689[[#This Row],[Fecha Factura]]="","",Tabla14689[[#This Row],[Fecha Factura]]+60),Tabla14689[[#This Row],[Forma Pago]]="100PP",IF(Tabla14689[[#This Row],[Fecha Prep.]]="","",Tabla14689[[#This Row],[Fecha Prep.]]),Tabla14689[[#This Row],[Forma Pago]]="0D",IF(Tabla14689[[#This Row],[Fecha Factura]]="","",Tabla14689[[#This Row],[Fecha Factura]]),Tabla14689[[#This Row],[Forma Pago]]="60D",IF(Tabla14689[[#This Row],[Fecha Factura]]="","",Tabla14689[[#This Row],[Fecha Factura]]+60),Tabla14689[[#This Row],[Forma Pago]]="30D",IF(Tabla14689[[#This Row],[Fecha Factura]]="","",Tabla14689[[#This Row],[Fecha Factura]]+60),Tabla14689[[#This Row],[Forma Pago]]="DOMICILIADO","")</f>
        <v>46000</v>
      </c>
      <c r="L6" s="106" t="s">
        <v>25</v>
      </c>
      <c r="M6" s="106" t="s">
        <v>3698</v>
      </c>
      <c r="N6" s="106"/>
      <c r="O6" s="106"/>
      <c r="P6" s="106"/>
    </row>
    <row r="7" spans="1:16" s="63" customFormat="1">
      <c r="B7" s="76"/>
      <c r="D7" s="76">
        <v>45901</v>
      </c>
      <c r="E7" s="63" t="s">
        <v>3699</v>
      </c>
      <c r="G7" s="63" t="s">
        <v>3692</v>
      </c>
      <c r="H7" s="79">
        <v>19.89</v>
      </c>
      <c r="I7" s="79" t="s">
        <v>43</v>
      </c>
      <c r="J7" s="79">
        <f>_xlfn.IFS(Tabla14689[[#This Row],[Forma Pago]]="30PP70-60D",Tabla14689[[#This Row],[Importe Total]]*0.7,Tabla14689[[#This Row],[Forma Pago]]="50PP50-60D",Tabla14689[[#This Row],[Importe Total]]*0.5,Tabla14689[[#This Row],[Forma Pago]]="100PP",Tabla14689[[#This Row],[Importe Total]],Tabla14689[[#This Row],[Forma Pago]]="0D",Tabla14689[[#This Row],[Importe Total]],Tabla14689[[#This Row],[Forma Pago]]="60D",Tabla14689[[#This Row],[Importe Total]],Tabla14689[[#This Row],[Forma Pago]]="30D",Tabla14689[[#This Row],[Importe Total]],Tabla14689[[#This Row],[Forma Pago]]="DOMICILIADO",Tabla14689[[#This Row],[Importe Total]],Tabla14689[[#This Row],[Forma Pago]]="DOMICILIADO 30D",Tabla14689[[#This Row],[Importe Total]],Tabla14689[[#This Row],[Forma Pago]]="DOMICILIADO 60D",Tabla14689[[#This Row],[Importe Total]])</f>
        <v>19.89</v>
      </c>
      <c r="K7" s="80">
        <f>_xlfn.IFS(Tabla14689[[#This Row],[Forma Pago]]="30PP70-60D",IF(Tabla14689[[#This Row],[Fecha Factura]]="","",Tabla14689[[#This Row],[Fecha Factura]]+60),Tabla14689[[#This Row],[Forma Pago]]="50PP50-60D",IF(Tabla14689[[#This Row],[Fecha Factura]]="","",Tabla14689[[#This Row],[Fecha Factura]]+60),Tabla14689[[#This Row],[Forma Pago]]="100PP",IF(Tabla14689[[#This Row],[Fecha Prep.]]="","",Tabla14689[[#This Row],[Fecha Prep.]]),Tabla14689[[#This Row],[Forma Pago]]="0D",IF(Tabla14689[[#This Row],[Fecha Factura]]="","",Tabla14689[[#This Row],[Fecha Factura]]),Tabla14689[[#This Row],[Forma Pago]]="60D",IF(Tabla14689[[#This Row],[Fecha Factura]]="","",Tabla14689[[#This Row],[Fecha Factura]]+60),Tabla14689[[#This Row],[Forma Pago]]="30D",IF(Tabla14689[[#This Row],[Fecha Factura]]="","",Tabla14689[[#This Row],[Fecha Factura]]+60),Tabla14689[[#This Row],[Forma Pago]]="DOMICILIADO","")</f>
        <v>45901</v>
      </c>
      <c r="L7" s="106" t="s">
        <v>25</v>
      </c>
      <c r="M7" s="106" t="s">
        <v>3698</v>
      </c>
      <c r="N7" s="106"/>
      <c r="O7" s="106"/>
      <c r="P7" s="106"/>
    </row>
    <row r="8" spans="1:16" s="49" customFormat="1">
      <c r="B8" s="48"/>
      <c r="D8" s="48">
        <v>46101</v>
      </c>
      <c r="E8" s="48" t="s">
        <v>3700</v>
      </c>
      <c r="F8" s="48"/>
      <c r="G8" s="49" t="s">
        <v>3701</v>
      </c>
      <c r="H8" s="51">
        <v>1088.8699999999999</v>
      </c>
      <c r="I8" s="51" t="s">
        <v>43</v>
      </c>
      <c r="J8" s="51">
        <f>_xlfn.IFS(Tabla14689[[#This Row],[Forma Pago]]="30PP70-60D",Tabla14689[[#This Row],[Importe Total]]*0.7,Tabla14689[[#This Row],[Forma Pago]]="50PP50-60D",Tabla14689[[#This Row],[Importe Total]]*0.5,Tabla14689[[#This Row],[Forma Pago]]="100PP",Tabla14689[[#This Row],[Importe Total]],Tabla14689[[#This Row],[Forma Pago]]="0D",Tabla14689[[#This Row],[Importe Total]],Tabla14689[[#This Row],[Forma Pago]]="60D",Tabla14689[[#This Row],[Importe Total]],Tabla14689[[#This Row],[Forma Pago]]="30D",Tabla14689[[#This Row],[Importe Total]],Tabla14689[[#This Row],[Forma Pago]]="DOMICILIADO",Tabla14689[[#This Row],[Importe Total]],Tabla14689[[#This Row],[Forma Pago]]="DOMICILIADO 30D",Tabla14689[[#This Row],[Importe Total]],Tabla14689[[#This Row],[Forma Pago]]="DOMICILIADO 60D",Tabla14689[[#This Row],[Importe Total]])</f>
        <v>1088.8699999999999</v>
      </c>
      <c r="K8" s="52">
        <v>46101</v>
      </c>
      <c r="L8" s="49" t="s">
        <v>25</v>
      </c>
      <c r="M8" s="144" t="s">
        <v>3702</v>
      </c>
      <c r="N8" s="144"/>
    </row>
    <row r="9" spans="1:16" s="49" customFormat="1">
      <c r="B9" s="48"/>
      <c r="D9" s="48">
        <v>46101</v>
      </c>
      <c r="E9" s="48" t="s">
        <v>3703</v>
      </c>
      <c r="G9" s="49" t="s">
        <v>3701</v>
      </c>
      <c r="H9" s="51">
        <v>1088.8699999999999</v>
      </c>
      <c r="I9" s="51" t="s">
        <v>43</v>
      </c>
      <c r="J9" s="51">
        <f>_xlfn.IFS(Tabla14689[[#This Row],[Forma Pago]]="30PP70-60D",Tabla14689[[#This Row],[Importe Total]]*0.7,Tabla14689[[#This Row],[Forma Pago]]="50PP50-60D",Tabla14689[[#This Row],[Importe Total]]*0.5,Tabla14689[[#This Row],[Forma Pago]]="100PP",Tabla14689[[#This Row],[Importe Total]],Tabla14689[[#This Row],[Forma Pago]]="0D",Tabla14689[[#This Row],[Importe Total]],Tabla14689[[#This Row],[Forma Pago]]="60D",Tabla14689[[#This Row],[Importe Total]],Tabla14689[[#This Row],[Forma Pago]]="30D",Tabla14689[[#This Row],[Importe Total]],Tabla14689[[#This Row],[Forma Pago]]="DOMICILIADO",Tabla14689[[#This Row],[Importe Total]],Tabla14689[[#This Row],[Forma Pago]]="DOMICILIADO 30D",Tabla14689[[#This Row],[Importe Total]],Tabla14689[[#This Row],[Forma Pago]]="DOMICILIADO 60D",Tabla14689[[#This Row],[Importe Total]])</f>
        <v>1088.8699999999999</v>
      </c>
      <c r="K9" s="52">
        <f>_xlfn.IFS(Tabla14689[[#This Row],[Forma Pago]]="30PP70-60D",IF(Tabla14689[[#This Row],[Fecha Factura]]="","",Tabla14689[[#This Row],[Fecha Factura]]+60),Tabla14689[[#This Row],[Forma Pago]]="50PP50-60D",IF(Tabla14689[[#This Row],[Fecha Factura]]="","",Tabla14689[[#This Row],[Fecha Factura]]+60),Tabla14689[[#This Row],[Forma Pago]]="100PP",IF(Tabla14689[[#This Row],[Fecha Prep.]]="","",Tabla14689[[#This Row],[Fecha Prep.]]),Tabla14689[[#This Row],[Forma Pago]]="0D",IF(Tabla14689[[#This Row],[Fecha Factura]]="","",Tabla14689[[#This Row],[Fecha Factura]]),Tabla14689[[#This Row],[Forma Pago]]="60D",IF(Tabla14689[[#This Row],[Fecha Factura]]="","",Tabla14689[[#This Row],[Fecha Factura]]+60),Tabla14689[[#This Row],[Forma Pago]]="30D",IF(Tabla14689[[#This Row],[Fecha Factura]]="","",Tabla14689[[#This Row],[Fecha Factura]]+60),Tabla14689[[#This Row],[Forma Pago]]="DOMICILIADO","")</f>
        <v>46101</v>
      </c>
      <c r="L9" s="49" t="s">
        <v>25</v>
      </c>
      <c r="M9" s="144" t="s">
        <v>3704</v>
      </c>
      <c r="N9" s="144"/>
    </row>
    <row r="10" spans="1:16" s="49" customFormat="1">
      <c r="B10" s="48"/>
      <c r="D10" s="48">
        <v>46092</v>
      </c>
      <c r="E10" s="49" t="s">
        <v>3705</v>
      </c>
      <c r="G10" s="49" t="s">
        <v>3701</v>
      </c>
      <c r="H10" s="51">
        <v>6600.01</v>
      </c>
      <c r="I10" s="51" t="s">
        <v>43</v>
      </c>
      <c r="J10" s="51">
        <f>_xlfn.IFS(Tabla14689[[#This Row],[Forma Pago]]="30PP70-60D",Tabla14689[[#This Row],[Importe Total]]*0.7,Tabla14689[[#This Row],[Forma Pago]]="50PP50-60D",Tabla14689[[#This Row],[Importe Total]]*0.5,Tabla14689[[#This Row],[Forma Pago]]="100PP",Tabla14689[[#This Row],[Importe Total]],Tabla14689[[#This Row],[Forma Pago]]="0D",Tabla14689[[#This Row],[Importe Total]],Tabla14689[[#This Row],[Forma Pago]]="60D",Tabla14689[[#This Row],[Importe Total]],Tabla14689[[#This Row],[Forma Pago]]="30D",Tabla14689[[#This Row],[Importe Total]],Tabla14689[[#This Row],[Forma Pago]]="DOMICILIADO",Tabla14689[[#This Row],[Importe Total]],Tabla14689[[#This Row],[Forma Pago]]="DOMICILIADO 30D",Tabla14689[[#This Row],[Importe Total]],Tabla14689[[#This Row],[Forma Pago]]="DOMICILIADO 60D",Tabla14689[[#This Row],[Importe Total]])</f>
        <v>6600.01</v>
      </c>
      <c r="K10" s="52">
        <f>_xlfn.IFS(Tabla14689[[#This Row],[Forma Pago]]="30PP70-60D",IF(Tabla14689[[#This Row],[Fecha Factura]]="","",Tabla14689[[#This Row],[Fecha Factura]]+60),Tabla14689[[#This Row],[Forma Pago]]="50PP50-60D",IF(Tabla14689[[#This Row],[Fecha Factura]]="","",Tabla14689[[#This Row],[Fecha Factura]]+60),Tabla14689[[#This Row],[Forma Pago]]="100PP",IF(Tabla14689[[#This Row],[Fecha Prep.]]="","",Tabla14689[[#This Row],[Fecha Prep.]]),Tabla14689[[#This Row],[Forma Pago]]="0D",IF(Tabla14689[[#This Row],[Fecha Factura]]="","",Tabla14689[[#This Row],[Fecha Factura]]),Tabla14689[[#This Row],[Forma Pago]]="60D",IF(Tabla14689[[#This Row],[Fecha Factura]]="","",Tabla14689[[#This Row],[Fecha Factura]]+60),Tabla14689[[#This Row],[Forma Pago]]="30D",IF(Tabla14689[[#This Row],[Fecha Factura]]="","",Tabla14689[[#This Row],[Fecha Factura]]+60),Tabla14689[[#This Row],[Forma Pago]]="DOMICILIADO","")</f>
        <v>46092</v>
      </c>
      <c r="L10" s="49" t="s">
        <v>25</v>
      </c>
      <c r="M10" s="144" t="s">
        <v>3706</v>
      </c>
      <c r="N10" s="144"/>
    </row>
    <row r="11" spans="1:16" s="49" customFormat="1">
      <c r="B11" s="48"/>
      <c r="D11" s="48">
        <v>46092</v>
      </c>
      <c r="E11" s="49" t="s">
        <v>3707</v>
      </c>
      <c r="G11" s="49" t="s">
        <v>3701</v>
      </c>
      <c r="H11" s="51">
        <v>6600.01</v>
      </c>
      <c r="I11" s="51" t="s">
        <v>43</v>
      </c>
      <c r="J11" s="51">
        <f>_xlfn.IFS(Tabla14689[[#This Row],[Forma Pago]]="30PP70-60D",Tabla14689[[#This Row],[Importe Total]]*0.7,Tabla14689[[#This Row],[Forma Pago]]="50PP50-60D",Tabla14689[[#This Row],[Importe Total]]*0.5,Tabla14689[[#This Row],[Forma Pago]]="100PP",Tabla14689[[#This Row],[Importe Total]],Tabla14689[[#This Row],[Forma Pago]]="0D",Tabla14689[[#This Row],[Importe Total]],Tabla14689[[#This Row],[Forma Pago]]="60D",Tabla14689[[#This Row],[Importe Total]],Tabla14689[[#This Row],[Forma Pago]]="30D",Tabla14689[[#This Row],[Importe Total]],Tabla14689[[#This Row],[Forma Pago]]="DOMICILIADO",Tabla14689[[#This Row],[Importe Total]],Tabla14689[[#This Row],[Forma Pago]]="DOMICILIADO 30D",Tabla14689[[#This Row],[Importe Total]],Tabla14689[[#This Row],[Forma Pago]]="DOMICILIADO 60D",Tabla14689[[#This Row],[Importe Total]])</f>
        <v>6600.01</v>
      </c>
      <c r="K11" s="52">
        <f>_xlfn.IFS(Tabla14689[[#This Row],[Forma Pago]]="30PP70-60D",IF(Tabla14689[[#This Row],[Fecha Factura]]="","",Tabla14689[[#This Row],[Fecha Factura]]+60),Tabla14689[[#This Row],[Forma Pago]]="50PP50-60D",IF(Tabla14689[[#This Row],[Fecha Factura]]="","",Tabla14689[[#This Row],[Fecha Factura]]+60),Tabla14689[[#This Row],[Forma Pago]]="100PP",IF(Tabla14689[[#This Row],[Fecha Prep.]]="","",Tabla14689[[#This Row],[Fecha Prep.]]),Tabla14689[[#This Row],[Forma Pago]]="0D",IF(Tabla14689[[#This Row],[Fecha Factura]]="","",Tabla14689[[#This Row],[Fecha Factura]]),Tabla14689[[#This Row],[Forma Pago]]="60D",IF(Tabla14689[[#This Row],[Fecha Factura]]="","",Tabla14689[[#This Row],[Fecha Factura]]+60),Tabla14689[[#This Row],[Forma Pago]]="30D",IF(Tabla14689[[#This Row],[Fecha Factura]]="","",Tabla14689[[#This Row],[Fecha Factura]]+60),Tabla14689[[#This Row],[Forma Pago]]="DOMICILIADO","")</f>
        <v>46092</v>
      </c>
      <c r="M11" s="144" t="s">
        <v>3708</v>
      </c>
      <c r="N11" s="144"/>
    </row>
    <row r="12" spans="1:16" s="49" customFormat="1">
      <c r="B12" s="48"/>
      <c r="D12" s="48">
        <v>46094</v>
      </c>
      <c r="E12" s="49" t="s">
        <v>3709</v>
      </c>
      <c r="G12" s="49" t="s">
        <v>3625</v>
      </c>
      <c r="H12" s="51">
        <v>280.44</v>
      </c>
      <c r="I12" s="51" t="s">
        <v>43</v>
      </c>
      <c r="J12" s="62">
        <f>_xlfn.IFS(Tabla14689[[#This Row],[Forma Pago]]="30PP70-60D",Tabla14689[[#This Row],[Importe Total]]*0.7,Tabla14689[[#This Row],[Forma Pago]]="50PP50-60D",Tabla14689[[#This Row],[Importe Total]]*0.5,Tabla14689[[#This Row],[Forma Pago]]="100PP",Tabla14689[[#This Row],[Importe Total]],Tabla14689[[#This Row],[Forma Pago]]="0D",Tabla14689[[#This Row],[Importe Total]],Tabla14689[[#This Row],[Forma Pago]]="60D",Tabla14689[[#This Row],[Importe Total]],Tabla14689[[#This Row],[Forma Pago]]="30D",Tabla14689[[#This Row],[Importe Total]],Tabla14689[[#This Row],[Forma Pago]]="DOMICILIADO",Tabla14689[[#This Row],[Importe Total]],Tabla14689[[#This Row],[Forma Pago]]="DOMICILIADO 30D",Tabla14689[[#This Row],[Importe Total]],Tabla14689[[#This Row],[Forma Pago]]="DOMICILIADO 60D",Tabla14689[[#This Row],[Importe Total]])</f>
        <v>280.44</v>
      </c>
      <c r="K12" s="52">
        <f>_xlfn.IFS(Tabla14689[[#This Row],[Forma Pago]]="30PP70-60D",IF(Tabla14689[[#This Row],[Fecha Factura]]="","",Tabla14689[[#This Row],[Fecha Factura]]+60),Tabla14689[[#This Row],[Forma Pago]]="50PP50-60D",IF(Tabla14689[[#This Row],[Fecha Factura]]="","",Tabla14689[[#This Row],[Fecha Factura]]+60),Tabla14689[[#This Row],[Forma Pago]]="100PP",IF(Tabla14689[[#This Row],[Fecha Prep.]]="","",Tabla14689[[#This Row],[Fecha Prep.]]),Tabla14689[[#This Row],[Forma Pago]]="0D",IF(Tabla14689[[#This Row],[Fecha Factura]]="","",Tabla14689[[#This Row],[Fecha Factura]]),Tabla14689[[#This Row],[Forma Pago]]="60D",IF(Tabla14689[[#This Row],[Fecha Factura]]="","",Tabla14689[[#This Row],[Fecha Factura]]+60),Tabla14689[[#This Row],[Forma Pago]]="30D",IF(Tabla14689[[#This Row],[Fecha Factura]]="","",Tabla14689[[#This Row],[Fecha Factura]]+60),Tabla14689[[#This Row],[Forma Pago]]="DOMICILIADO","")</f>
        <v>46094</v>
      </c>
      <c r="L12" s="49" t="s">
        <v>25</v>
      </c>
      <c r="N12" s="48">
        <v>46121</v>
      </c>
      <c r="O12" s="49" t="s">
        <v>94</v>
      </c>
    </row>
    <row r="13" spans="1:16" s="49" customFormat="1">
      <c r="B13" s="48"/>
      <c r="D13" s="48">
        <v>46101</v>
      </c>
      <c r="E13" s="49" t="s">
        <v>3710</v>
      </c>
      <c r="G13" s="49" t="s">
        <v>2847</v>
      </c>
      <c r="H13" s="51">
        <v>145.47</v>
      </c>
      <c r="I13" s="51" t="s">
        <v>43</v>
      </c>
      <c r="J13" s="62">
        <f>_xlfn.IFS(Tabla14689[[#This Row],[Forma Pago]]="30PP70-60D",Tabla14689[[#This Row],[Importe Total]]*0.7,Tabla14689[[#This Row],[Forma Pago]]="50PP50-60D",Tabla14689[[#This Row],[Importe Total]]*0.5,Tabla14689[[#This Row],[Forma Pago]]="100PP",Tabla14689[[#This Row],[Importe Total]],Tabla14689[[#This Row],[Forma Pago]]="0D",Tabla14689[[#This Row],[Importe Total]],Tabla14689[[#This Row],[Forma Pago]]="60D",Tabla14689[[#This Row],[Importe Total]],Tabla14689[[#This Row],[Forma Pago]]="30D",Tabla14689[[#This Row],[Importe Total]],Tabla14689[[#This Row],[Forma Pago]]="DOMICILIADO",Tabla14689[[#This Row],[Importe Total]],Tabla14689[[#This Row],[Forma Pago]]="DOMICILIADO 30D",Tabla14689[[#This Row],[Importe Total]],Tabla14689[[#This Row],[Forma Pago]]="DOMICILIADO 60D",Tabla14689[[#This Row],[Importe Total]])</f>
        <v>145.47</v>
      </c>
      <c r="K13" s="52">
        <f>_xlfn.IFS(Tabla14689[[#This Row],[Forma Pago]]="30PP70-60D",IF(Tabla14689[[#This Row],[Fecha Factura]]="","",Tabla14689[[#This Row],[Fecha Factura]]+60),Tabla14689[[#This Row],[Forma Pago]]="50PP50-60D",IF(Tabla14689[[#This Row],[Fecha Factura]]="","",Tabla14689[[#This Row],[Fecha Factura]]+60),Tabla14689[[#This Row],[Forma Pago]]="100PP",IF(Tabla14689[[#This Row],[Fecha Prep.]]="","",Tabla14689[[#This Row],[Fecha Prep.]]),Tabla14689[[#This Row],[Forma Pago]]="0D",IF(Tabla14689[[#This Row],[Fecha Factura]]="","",Tabla14689[[#This Row],[Fecha Factura]]),Tabla14689[[#This Row],[Forma Pago]]="60D",IF(Tabla14689[[#This Row],[Fecha Factura]]="","",Tabla14689[[#This Row],[Fecha Factura]]+60),Tabla14689[[#This Row],[Forma Pago]]="30D",IF(Tabla14689[[#This Row],[Fecha Factura]]="","",Tabla14689[[#This Row],[Fecha Factura]]+60),Tabla14689[[#This Row],[Forma Pago]]="DOMICILIADO","")</f>
        <v>46101</v>
      </c>
      <c r="L13" s="49" t="s">
        <v>25</v>
      </c>
      <c r="N13" s="48">
        <v>46121</v>
      </c>
      <c r="O13" s="49" t="s">
        <v>94</v>
      </c>
    </row>
    <row r="14" spans="1:16">
      <c r="B14" s="1"/>
      <c r="D14" s="1">
        <v>46135</v>
      </c>
      <c r="E14" t="s">
        <v>3711</v>
      </c>
      <c r="G14" t="s">
        <v>3712</v>
      </c>
      <c r="H14" s="2">
        <v>363</v>
      </c>
      <c r="I14" s="2" t="s">
        <v>43</v>
      </c>
      <c r="J14" s="10">
        <f>_xlfn.IFS(Tabla14689[[#This Row],[Forma Pago]]="30PP70-60D",Tabla14689[[#This Row],[Importe Total]]*0.7,Tabla14689[[#This Row],[Forma Pago]]="50PP50-60D",Tabla14689[[#This Row],[Importe Total]]*0.5,Tabla14689[[#This Row],[Forma Pago]]="100PP",Tabla14689[[#This Row],[Importe Total]],Tabla14689[[#This Row],[Forma Pago]]="0D",Tabla14689[[#This Row],[Importe Total]],Tabla14689[[#This Row],[Forma Pago]]="60D",Tabla14689[[#This Row],[Importe Total]],Tabla14689[[#This Row],[Forma Pago]]="30D",Tabla14689[[#This Row],[Importe Total]],Tabla14689[[#This Row],[Forma Pago]]="DOMICILIADO",Tabla14689[[#This Row],[Importe Total]],Tabla14689[[#This Row],[Forma Pago]]="DOMICILIADO 30D",Tabla14689[[#This Row],[Importe Total]],Tabla14689[[#This Row],[Forma Pago]]="DOMICILIADO 60D",Tabla14689[[#This Row],[Importe Total]])</f>
        <v>363</v>
      </c>
      <c r="K14" s="3">
        <f>_xlfn.IFS(Tabla14689[[#This Row],[Forma Pago]]="30PP70-60D",IF(Tabla14689[[#This Row],[Fecha Factura]]="","",Tabla14689[[#This Row],[Fecha Factura]]+60),Tabla14689[[#This Row],[Forma Pago]]="50PP50-60D",IF(Tabla14689[[#This Row],[Fecha Factura]]="","",Tabla14689[[#This Row],[Fecha Factura]]+60),Tabla14689[[#This Row],[Forma Pago]]="100PP",IF(Tabla14689[[#This Row],[Fecha Prep.]]="","",Tabla14689[[#This Row],[Fecha Prep.]]),Tabla14689[[#This Row],[Forma Pago]]="0D",IF(Tabla14689[[#This Row],[Fecha Factura]]="","",Tabla14689[[#This Row],[Fecha Factura]]),Tabla14689[[#This Row],[Forma Pago]]="60D",IF(Tabla14689[[#This Row],[Fecha Factura]]="","",Tabla14689[[#This Row],[Fecha Factura]]+60),Tabla14689[[#This Row],[Forma Pago]]="30D",IF(Tabla14689[[#This Row],[Fecha Factura]]="","",Tabla14689[[#This Row],[Fecha Factura]]+60),Tabla14689[[#This Row],[Forma Pago]]="DOMICILIADO","")</f>
        <v>46135</v>
      </c>
      <c r="L14" s="49" t="s">
        <v>25</v>
      </c>
      <c r="M14" t="s">
        <v>3713</v>
      </c>
      <c r="N14" s="1">
        <v>46149</v>
      </c>
      <c r="O14" t="s">
        <v>94</v>
      </c>
    </row>
    <row r="15" spans="1:16" s="49" customFormat="1">
      <c r="A15"/>
      <c r="B15" s="1"/>
      <c r="C15"/>
      <c r="D15" s="1">
        <v>46176</v>
      </c>
      <c r="E15" t="s">
        <v>3714</v>
      </c>
      <c r="F15"/>
      <c r="G15" t="s">
        <v>3715</v>
      </c>
      <c r="H15" s="2">
        <v>503.5</v>
      </c>
      <c r="I15" s="2" t="s">
        <v>43</v>
      </c>
      <c r="J15" s="10">
        <f>_xlfn.IFS(Tabla14689[[#This Row],[Forma Pago]]="30PP70-60D",Tabla14689[[#This Row],[Importe Total]]*0.7,Tabla14689[[#This Row],[Forma Pago]]="50PP50-60D",Tabla14689[[#This Row],[Importe Total]]*0.5,Tabla14689[[#This Row],[Forma Pago]]="100PP",Tabla14689[[#This Row],[Importe Total]],Tabla14689[[#This Row],[Forma Pago]]="0D",Tabla14689[[#This Row],[Importe Total]],Tabla14689[[#This Row],[Forma Pago]]="60D",Tabla14689[[#This Row],[Importe Total]],Tabla14689[[#This Row],[Forma Pago]]="30D",Tabla14689[[#This Row],[Importe Total]],Tabla14689[[#This Row],[Forma Pago]]="DOMICILIADO",Tabla14689[[#This Row],[Importe Total]],Tabla14689[[#This Row],[Forma Pago]]="DOMICILIADO 30D",Tabla14689[[#This Row],[Importe Total]],Tabla14689[[#This Row],[Forma Pago]]="DOMICILIADO 60D",Tabla14689[[#This Row],[Importe Total]])</f>
        <v>503.5</v>
      </c>
      <c r="K15" s="3">
        <f>_xlfn.IFS(Tabla14689[[#This Row],[Forma Pago]]="30PP70-60D",IF(Tabla14689[[#This Row],[Fecha Factura]]="","",Tabla14689[[#This Row],[Fecha Factura]]+60),Tabla14689[[#This Row],[Forma Pago]]="50PP50-60D",IF(Tabla14689[[#This Row],[Fecha Factura]]="","",Tabla14689[[#This Row],[Fecha Factura]]+60),Tabla14689[[#This Row],[Forma Pago]]="100PP",IF(Tabla14689[[#This Row],[Fecha Prep.]]="","",Tabla14689[[#This Row],[Fecha Prep.]]),Tabla14689[[#This Row],[Forma Pago]]="0D",IF(Tabla14689[[#This Row],[Fecha Factura]]="","",Tabla14689[[#This Row],[Fecha Factura]]),Tabla14689[[#This Row],[Forma Pago]]="60D",IF(Tabla14689[[#This Row],[Fecha Factura]]="","",Tabla14689[[#This Row],[Fecha Factura]]+60),Tabla14689[[#This Row],[Forma Pago]]="30D",IF(Tabla14689[[#This Row],[Fecha Factura]]="","",Tabla14689[[#This Row],[Fecha Factura]]+60),Tabla14689[[#This Row],[Forma Pago]]="DOMICILIADO","")</f>
        <v>46176</v>
      </c>
      <c r="L15" s="49" t="s">
        <v>25</v>
      </c>
      <c r="M15" t="s">
        <v>3716</v>
      </c>
      <c r="N15" s="1">
        <v>46205</v>
      </c>
      <c r="O15" t="s">
        <v>94</v>
      </c>
      <c r="P15"/>
    </row>
    <row r="16" spans="1:16" s="49" customFormat="1">
      <c r="A16"/>
      <c r="B16" s="1"/>
      <c r="C16"/>
      <c r="D16" s="1">
        <v>46176</v>
      </c>
      <c r="E16" t="s">
        <v>3717</v>
      </c>
      <c r="F16"/>
      <c r="G16" t="s">
        <v>3718</v>
      </c>
      <c r="H16" s="2">
        <v>503.5</v>
      </c>
      <c r="I16" s="2" t="s">
        <v>43</v>
      </c>
      <c r="J16" s="10">
        <f>_xlfn.IFS(Tabla14689[[#This Row],[Forma Pago]]="30PP70-60D",Tabla14689[[#This Row],[Importe Total]]*0.7,Tabla14689[[#This Row],[Forma Pago]]="50PP50-60D",Tabla14689[[#This Row],[Importe Total]]*0.5,Tabla14689[[#This Row],[Forma Pago]]="100PP",Tabla14689[[#This Row],[Importe Total]],Tabla14689[[#This Row],[Forma Pago]]="0D",Tabla14689[[#This Row],[Importe Total]],Tabla14689[[#This Row],[Forma Pago]]="60D",Tabla14689[[#This Row],[Importe Total]],Tabla14689[[#This Row],[Forma Pago]]="30D",Tabla14689[[#This Row],[Importe Total]],Tabla14689[[#This Row],[Forma Pago]]="DOMICILIADO",Tabla14689[[#This Row],[Importe Total]],Tabla14689[[#This Row],[Forma Pago]]="DOMICILIADO 30D",Tabla14689[[#This Row],[Importe Total]],Tabla14689[[#This Row],[Forma Pago]]="DOMICILIADO 60D",Tabla14689[[#This Row],[Importe Total]])</f>
        <v>503.5</v>
      </c>
      <c r="K16" s="3">
        <f>_xlfn.IFS(Tabla14689[[#This Row],[Forma Pago]]="30PP70-60D",IF(Tabla14689[[#This Row],[Fecha Factura]]="","",Tabla14689[[#This Row],[Fecha Factura]]+60),Tabla14689[[#This Row],[Forma Pago]]="50PP50-60D",IF(Tabla14689[[#This Row],[Fecha Factura]]="","",Tabla14689[[#This Row],[Fecha Factura]]+60),Tabla14689[[#This Row],[Forma Pago]]="100PP",IF(Tabla14689[[#This Row],[Fecha Prep.]]="","",Tabla14689[[#This Row],[Fecha Prep.]]),Tabla14689[[#This Row],[Forma Pago]]="0D",IF(Tabla14689[[#This Row],[Fecha Factura]]="","",Tabla14689[[#This Row],[Fecha Factura]]),Tabla14689[[#This Row],[Forma Pago]]="60D",IF(Tabla14689[[#This Row],[Fecha Factura]]="","",Tabla14689[[#This Row],[Fecha Factura]]+60),Tabla14689[[#This Row],[Forma Pago]]="30D",IF(Tabla14689[[#This Row],[Fecha Factura]]="","",Tabla14689[[#This Row],[Fecha Factura]]+60),Tabla14689[[#This Row],[Forma Pago]]="DOMICILIADO","")</f>
        <v>46176</v>
      </c>
      <c r="L16" s="49" t="s">
        <v>25</v>
      </c>
      <c r="M16" t="s">
        <v>3716</v>
      </c>
      <c r="N16" s="1">
        <v>46205</v>
      </c>
      <c r="O16" t="s">
        <v>94</v>
      </c>
      <c r="P16"/>
    </row>
    <row r="21" spans="8:8">
      <c r="H21" t="s">
        <v>453</v>
      </c>
    </row>
  </sheetData>
  <conditionalFormatting sqref="B3:O13 B14:K14 M14:O14">
    <cfRule type="expression" dxfId="86" priority="3">
      <formula>$L3="PAGADO"</formula>
    </cfRule>
  </conditionalFormatting>
  <conditionalFormatting sqref="L14:L16">
    <cfRule type="expression" dxfId="85" priority="2">
      <formula>$L14="PAGADO"</formula>
    </cfRule>
  </conditionalFormatting>
  <conditionalFormatting sqref="B15:K16 M15:O16">
    <cfRule type="expression" dxfId="84" priority="1">
      <formula>$L15="PAGADO"</formula>
    </cfRule>
  </conditionalFormatting>
  <dataValidations count="2">
    <dataValidation type="list" allowBlank="1" showInputMessage="1" showErrorMessage="1" sqref="I3:I16" xr:uid="{BB7E4F92-400A-4ABD-9773-D22913AC91D7}">
      <formula1>INDIRECT("tablaformapago[Forma pago]")</formula1>
    </dataValidation>
    <dataValidation type="list" allowBlank="1" showInputMessage="1" showErrorMessage="1" sqref="L3:L16" xr:uid="{951B7110-1A26-45DB-94BD-CA7DA28BDC39}">
      <formula1>INDIRECT("tablaestado[ESTADO]")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953DD-7C05-4447-8F52-5B3042C28808}">
  <dimension ref="B1:P13"/>
  <sheetViews>
    <sheetView showGridLines="0" workbookViewId="0">
      <selection activeCell="M8" sqref="M8"/>
    </sheetView>
  </sheetViews>
  <sheetFormatPr defaultColWidth="8.7109375" defaultRowHeight="15"/>
  <cols>
    <col min="2" max="2" width="17.7109375" bestFit="1" customWidth="1"/>
    <col min="3" max="3" width="14.7109375" bestFit="1" customWidth="1"/>
    <col min="4" max="4" width="15.85546875" bestFit="1" customWidth="1"/>
    <col min="5" max="5" width="15.42578125" bestFit="1" customWidth="1"/>
    <col min="6" max="6" width="15.42578125" customWidth="1"/>
    <col min="7" max="7" width="29" bestFit="1" customWidth="1"/>
    <col min="8" max="8" width="15.85546875" bestFit="1" customWidth="1"/>
    <col min="9" max="9" width="14.42578125" bestFit="1" customWidth="1"/>
    <col min="10" max="10" width="11.28515625" bestFit="1" customWidth="1"/>
    <col min="11" max="11" width="21.140625" bestFit="1" customWidth="1"/>
    <col min="12" max="12" width="9.42578125" bestFit="1" customWidth="1"/>
    <col min="13" max="13" width="34.5703125" bestFit="1" customWidth="1"/>
    <col min="14" max="14" width="17" customWidth="1"/>
    <col min="15" max="15" width="13" bestFit="1" customWidth="1"/>
    <col min="16" max="16" width="6.85546875" bestFit="1" customWidth="1"/>
  </cols>
  <sheetData>
    <row r="1" spans="2:16" ht="21">
      <c r="B1" s="100" t="s">
        <v>3719</v>
      </c>
    </row>
    <row r="2" spans="2:16">
      <c r="B2" t="s">
        <v>2451</v>
      </c>
      <c r="C2" t="s">
        <v>2</v>
      </c>
      <c r="D2" t="s">
        <v>3</v>
      </c>
      <c r="E2" t="s">
        <v>4</v>
      </c>
      <c r="F2" t="s">
        <v>5</v>
      </c>
      <c r="G2" t="s">
        <v>7</v>
      </c>
      <c r="H2" t="s">
        <v>8</v>
      </c>
      <c r="I2" t="s">
        <v>9</v>
      </c>
      <c r="J2" t="s">
        <v>2452</v>
      </c>
      <c r="K2" t="s">
        <v>2453</v>
      </c>
      <c r="L2" t="s">
        <v>2454</v>
      </c>
      <c r="M2" t="s">
        <v>2455</v>
      </c>
      <c r="N2" t="s">
        <v>2456</v>
      </c>
      <c r="O2" t="s">
        <v>3688</v>
      </c>
      <c r="P2" t="s">
        <v>3541</v>
      </c>
    </row>
    <row r="3" spans="2:16">
      <c r="B3" s="1"/>
      <c r="D3" s="1">
        <v>46029</v>
      </c>
      <c r="E3" t="s">
        <v>1504</v>
      </c>
      <c r="G3" t="s">
        <v>148</v>
      </c>
      <c r="H3" s="2">
        <v>2702</v>
      </c>
      <c r="I3" s="2" t="s">
        <v>43</v>
      </c>
      <c r="J3" s="2">
        <f>_xlfn.IFS(Tabla147[[#This Row],[Forma Pago]]="30PP70-60D",Tabla147[[#This Row],[Importe Total]]*0.7,Tabla147[[#This Row],[Forma Pago]]="50PP50-60D",Tabla147[[#This Row],[Importe Total]]*0.5,Tabla147[[#This Row],[Forma Pago]]="100PP",Tabla147[[#This Row],[Importe Total]],Tabla147[[#This Row],[Forma Pago]]="0D",Tabla147[[#This Row],[Importe Total]],Tabla147[[#This Row],[Forma Pago]]="60D",Tabla147[[#This Row],[Importe Total]],Tabla147[[#This Row],[Forma Pago]]="30D",Tabla147[[#This Row],[Importe Total]],Tabla147[[#This Row],[Forma Pago]]="DOMICILIADO",Tabla147[[#This Row],[Importe Total]],Tabla147[[#This Row],[Forma Pago]]="DOMICILIADO 30D",Tabla147[[#This Row],[Importe Total]],Tabla147[[#This Row],[Forma Pago]]="DOMICILIADO 60D",Tabla147[[#This Row],[Importe Total]])</f>
        <v>2702</v>
      </c>
      <c r="K3" s="1">
        <f>_xlfn.IFS(Tabla147[[#This Row],[Forma Pago]]="30PP70-60D",IF(Tabla147[[#This Row],[Fecha Factura]]="","",Tabla147[[#This Row],[Fecha Factura]]+60),Tabla147[[#This Row],[Forma Pago]]="50PP50-60D",IF(Tabla147[[#This Row],[Fecha Factura]]="","",Tabla147[[#This Row],[Fecha Factura]]+60),Tabla147[[#This Row],[Forma Pago]]="100PP",IF(Tabla147[[#This Row],[Fecha Prep.]]="","",Tabla147[[#This Row],[Fecha Prep.]]),Tabla147[[#This Row],[Forma Pago]]="0D",IF(Tabla147[[#This Row],[Fecha Factura]]="","",Tabla147[[#This Row],[Fecha Factura]]),Tabla147[[#This Row],[Forma Pago]]="60D",IF(Tabla147[[#This Row],[Fecha Factura]]="","",Tabla147[[#This Row],[Fecha Factura]]+60),Tabla147[[#This Row],[Forma Pago]]="30D",IF(Tabla147[[#This Row],[Fecha Factura]]="","",Tabla147[[#This Row],[Fecha Factura]]+60),Tabla147[[#This Row],[Forma Pago]]="DOMICILIADO","")</f>
        <v>46029</v>
      </c>
      <c r="L3" t="s">
        <v>25</v>
      </c>
      <c r="M3" t="s">
        <v>3720</v>
      </c>
    </row>
    <row r="4" spans="2:16">
      <c r="B4" s="1"/>
      <c r="D4" s="1">
        <v>46056</v>
      </c>
      <c r="E4" t="s">
        <v>739</v>
      </c>
      <c r="G4" t="s">
        <v>148</v>
      </c>
      <c r="H4" s="2">
        <v>2702</v>
      </c>
      <c r="I4" s="2" t="s">
        <v>43</v>
      </c>
      <c r="J4" s="2">
        <f>_xlfn.IFS(Tabla147[[#This Row],[Forma Pago]]="30PP70-60D",Tabla147[[#This Row],[Importe Total]]*0.7,Tabla147[[#This Row],[Forma Pago]]="50PP50-60D",Tabla147[[#This Row],[Importe Total]]*0.5,Tabla147[[#This Row],[Forma Pago]]="100PP",Tabla147[[#This Row],[Importe Total]],Tabla147[[#This Row],[Forma Pago]]="0D",Tabla147[[#This Row],[Importe Total]],Tabla147[[#This Row],[Forma Pago]]="60D",Tabla147[[#This Row],[Importe Total]],Tabla147[[#This Row],[Forma Pago]]="30D",Tabla147[[#This Row],[Importe Total]],Tabla147[[#This Row],[Forma Pago]]="DOMICILIADO",Tabla147[[#This Row],[Importe Total]],Tabla147[[#This Row],[Forma Pago]]="DOMICILIADO 30D",Tabla147[[#This Row],[Importe Total]],Tabla147[[#This Row],[Forma Pago]]="DOMICILIADO 60D",Tabla147[[#This Row],[Importe Total]])</f>
        <v>2702</v>
      </c>
      <c r="K4" s="3">
        <f>_xlfn.IFS(Tabla147[[#This Row],[Forma Pago]]="30PP70-60D",IF(Tabla147[[#This Row],[Fecha Factura]]="","",Tabla147[[#This Row],[Fecha Factura]]+60),Tabla147[[#This Row],[Forma Pago]]="50PP50-60D",IF(Tabla147[[#This Row],[Fecha Factura]]="","",Tabla147[[#This Row],[Fecha Factura]]+60),Tabla147[[#This Row],[Forma Pago]]="100PP",IF(Tabla147[[#This Row],[Fecha Prep.]]="","",Tabla147[[#This Row],[Fecha Prep.]]),Tabla147[[#This Row],[Forma Pago]]="0D",IF(Tabla147[[#This Row],[Fecha Factura]]="","",Tabla147[[#This Row],[Fecha Factura]]),Tabla147[[#This Row],[Forma Pago]]="60D",IF(Tabla147[[#This Row],[Fecha Factura]]="","",Tabla147[[#This Row],[Fecha Factura]]+60),Tabla147[[#This Row],[Forma Pago]]="30D",IF(Tabla147[[#This Row],[Fecha Factura]]="","",Tabla147[[#This Row],[Fecha Factura]]+60),Tabla147[[#This Row],[Forma Pago]]="DOMICILIADO","")</f>
        <v>46056</v>
      </c>
      <c r="L4" t="s">
        <v>25</v>
      </c>
      <c r="M4" t="s">
        <v>3721</v>
      </c>
    </row>
    <row r="5" spans="2:16">
      <c r="B5" s="1"/>
      <c r="D5" s="1">
        <v>46065</v>
      </c>
      <c r="E5" t="s">
        <v>3722</v>
      </c>
      <c r="G5" t="s">
        <v>3723</v>
      </c>
      <c r="H5" s="2">
        <v>18.98</v>
      </c>
      <c r="I5" s="2" t="s">
        <v>43</v>
      </c>
      <c r="J5" s="2">
        <f>_xlfn.IFS(Tabla147[[#This Row],[Forma Pago]]="30PP70-60D",Tabla147[[#This Row],[Importe Total]]*0.7,Tabla147[[#This Row],[Forma Pago]]="50PP50-60D",Tabla147[[#This Row],[Importe Total]]*0.5,Tabla147[[#This Row],[Forma Pago]]="100PP",Tabla147[[#This Row],[Importe Total]],Tabla147[[#This Row],[Forma Pago]]="0D",Tabla147[[#This Row],[Importe Total]],Tabla147[[#This Row],[Forma Pago]]="60D",Tabla147[[#This Row],[Importe Total]],Tabla147[[#This Row],[Forma Pago]]="30D",Tabla147[[#This Row],[Importe Total]],Tabla147[[#This Row],[Forma Pago]]="DOMICILIADO",Tabla147[[#This Row],[Importe Total]],Tabla147[[#This Row],[Forma Pago]]="DOMICILIADO 30D",Tabla147[[#This Row],[Importe Total]],Tabla147[[#This Row],[Forma Pago]]="DOMICILIADO 60D",Tabla147[[#This Row],[Importe Total]])</f>
        <v>18.98</v>
      </c>
      <c r="K5" s="3">
        <f>_xlfn.IFS(Tabla147[[#This Row],[Forma Pago]]="30PP70-60D",IF(Tabla147[[#This Row],[Fecha Factura]]="","",Tabla147[[#This Row],[Fecha Factura]]+60),Tabla147[[#This Row],[Forma Pago]]="50PP50-60D",IF(Tabla147[[#This Row],[Fecha Factura]]="","",Tabla147[[#This Row],[Fecha Factura]]+60),Tabla147[[#This Row],[Forma Pago]]="100PP",IF(Tabla147[[#This Row],[Fecha Prep.]]="","",Tabla147[[#This Row],[Fecha Prep.]]),Tabla147[[#This Row],[Forma Pago]]="0D",IF(Tabla147[[#This Row],[Fecha Factura]]="","",Tabla147[[#This Row],[Fecha Factura]]),Tabla147[[#This Row],[Forma Pago]]="60D",IF(Tabla147[[#This Row],[Fecha Factura]]="","",Tabla147[[#This Row],[Fecha Factura]]+60),Tabla147[[#This Row],[Forma Pago]]="30D",IF(Tabla147[[#This Row],[Fecha Factura]]="","",Tabla147[[#This Row],[Fecha Factura]]+60),Tabla147[[#This Row],[Forma Pago]]="DOMICILIADO","")</f>
        <v>46065</v>
      </c>
      <c r="L5" t="s">
        <v>25</v>
      </c>
      <c r="M5" t="s">
        <v>3724</v>
      </c>
    </row>
    <row r="6" spans="2:16" s="49" customFormat="1">
      <c r="B6" s="48"/>
      <c r="D6" s="48">
        <v>46085</v>
      </c>
      <c r="E6" s="49" t="s">
        <v>1215</v>
      </c>
      <c r="G6" s="49" t="s">
        <v>148</v>
      </c>
      <c r="H6" s="51">
        <v>3018</v>
      </c>
      <c r="I6" s="51" t="s">
        <v>43</v>
      </c>
      <c r="J6" s="62">
        <f>_xlfn.IFS(Tabla147[[#This Row],[Forma Pago]]="30PP70-60D",Tabla147[[#This Row],[Importe Total]]*0.7,Tabla147[[#This Row],[Forma Pago]]="50PP50-60D",Tabla147[[#This Row],[Importe Total]]*0.5,Tabla147[[#This Row],[Forma Pago]]="100PP",Tabla147[[#This Row],[Importe Total]],Tabla147[[#This Row],[Forma Pago]]="0D",Tabla147[[#This Row],[Importe Total]],Tabla147[[#This Row],[Forma Pago]]="60D",Tabla147[[#This Row],[Importe Total]],Tabla147[[#This Row],[Forma Pago]]="30D",Tabla147[[#This Row],[Importe Total]],Tabla147[[#This Row],[Forma Pago]]="DOMICILIADO",Tabla147[[#This Row],[Importe Total]],Tabla147[[#This Row],[Forma Pago]]="DOMICILIADO 30D",Tabla147[[#This Row],[Importe Total]],Tabla147[[#This Row],[Forma Pago]]="DOMICILIADO 60D",Tabla147[[#This Row],[Importe Total]])</f>
        <v>3018</v>
      </c>
      <c r="K6" s="52">
        <f>_xlfn.IFS(Tabla147[[#This Row],[Forma Pago]]="30PP70-60D",IF(Tabla147[[#This Row],[Fecha Factura]]="","",Tabla147[[#This Row],[Fecha Factura]]+60),Tabla147[[#This Row],[Forma Pago]]="50PP50-60D",IF(Tabla147[[#This Row],[Fecha Factura]]="","",Tabla147[[#This Row],[Fecha Factura]]+60),Tabla147[[#This Row],[Forma Pago]]="100PP",IF(Tabla147[[#This Row],[Fecha Prep.]]="","",Tabla147[[#This Row],[Fecha Prep.]]),Tabla147[[#This Row],[Forma Pago]]="0D",IF(Tabla147[[#This Row],[Fecha Factura]]="","",Tabla147[[#This Row],[Fecha Factura]]),Tabla147[[#This Row],[Forma Pago]]="60D",IF(Tabla147[[#This Row],[Fecha Factura]]="","",Tabla147[[#This Row],[Fecha Factura]]+60),Tabla147[[#This Row],[Forma Pago]]="30D",IF(Tabla147[[#This Row],[Fecha Factura]]="","",Tabla147[[#This Row],[Fecha Factura]]+60),Tabla147[[#This Row],[Forma Pago]]="DOMICILIADO","")</f>
        <v>46085</v>
      </c>
      <c r="L6" s="49" t="s">
        <v>25</v>
      </c>
      <c r="M6" s="49" t="s">
        <v>3725</v>
      </c>
      <c r="N6" s="48">
        <v>46086</v>
      </c>
    </row>
    <row r="7" spans="2:16" s="49" customFormat="1">
      <c r="B7" s="48"/>
      <c r="D7" s="48">
        <v>46154</v>
      </c>
      <c r="E7" s="49" t="s">
        <v>3726</v>
      </c>
      <c r="G7" s="49" t="s">
        <v>3723</v>
      </c>
      <c r="H7" s="51">
        <v>54.92</v>
      </c>
      <c r="I7" s="51" t="s">
        <v>43</v>
      </c>
      <c r="J7" s="51">
        <f>_xlfn.IFS(Tabla147[[#This Row],[Forma Pago]]="30PP70-60D",Tabla147[[#This Row],[Importe Total]]*0.7,Tabla147[[#This Row],[Forma Pago]]="50PP50-60D",Tabla147[[#This Row],[Importe Total]]*0.5,Tabla147[[#This Row],[Forma Pago]]="100PP",Tabla147[[#This Row],[Importe Total]],Tabla147[[#This Row],[Forma Pago]]="0D",Tabla147[[#This Row],[Importe Total]],Tabla147[[#This Row],[Forma Pago]]="60D",Tabla147[[#This Row],[Importe Total]],Tabla147[[#This Row],[Forma Pago]]="30D",Tabla147[[#This Row],[Importe Total]],Tabla147[[#This Row],[Forma Pago]]="DOMICILIADO",Tabla147[[#This Row],[Importe Total]],Tabla147[[#This Row],[Forma Pago]]="DOMICILIADO 30D",Tabla147[[#This Row],[Importe Total]],Tabla147[[#This Row],[Forma Pago]]="DOMICILIADO 60D",Tabla147[[#This Row],[Importe Total]])</f>
        <v>54.92</v>
      </c>
      <c r="K7" s="52">
        <f>_xlfn.IFS(Tabla147[[#This Row],[Forma Pago]]="30PP70-60D",IF(Tabla147[[#This Row],[Fecha Factura]]="","",Tabla147[[#This Row],[Fecha Factura]]+60),Tabla147[[#This Row],[Forma Pago]]="50PP50-60D",IF(Tabla147[[#This Row],[Fecha Factura]]="","",Tabla147[[#This Row],[Fecha Factura]]+60),Tabla147[[#This Row],[Forma Pago]]="100PP",IF(Tabla147[[#This Row],[Fecha Prep.]]="","",Tabla147[[#This Row],[Fecha Prep.]]),Tabla147[[#This Row],[Forma Pago]]="0D",IF(Tabla147[[#This Row],[Fecha Factura]]="","",Tabla147[[#This Row],[Fecha Factura]]),Tabla147[[#This Row],[Forma Pago]]="60D",IF(Tabla147[[#This Row],[Fecha Factura]]="","",Tabla147[[#This Row],[Fecha Factura]]+60),Tabla147[[#This Row],[Forma Pago]]="30D",IF(Tabla147[[#This Row],[Fecha Factura]]="","",Tabla147[[#This Row],[Fecha Factura]]+60),Tabla147[[#This Row],[Forma Pago]]="DOMICILIADO","")</f>
        <v>46154</v>
      </c>
      <c r="L7" s="49" t="s">
        <v>25</v>
      </c>
      <c r="M7" s="49" t="s">
        <v>3727</v>
      </c>
    </row>
    <row r="8" spans="2:16" s="49" customFormat="1">
      <c r="B8" s="48"/>
      <c r="D8" s="48">
        <v>46108</v>
      </c>
      <c r="E8" s="49" t="s">
        <v>3728</v>
      </c>
      <c r="G8" s="49" t="s">
        <v>3729</v>
      </c>
      <c r="H8" s="51">
        <v>66.77</v>
      </c>
      <c r="I8" s="51" t="s">
        <v>43</v>
      </c>
      <c r="J8" s="51">
        <f>_xlfn.IFS(Tabla147[[#This Row],[Forma Pago]]="30PP70-60D",Tabla147[[#This Row],[Importe Total]]*0.7,Tabla147[[#This Row],[Forma Pago]]="50PP50-60D",Tabla147[[#This Row],[Importe Total]]*0.5,Tabla147[[#This Row],[Forma Pago]]="100PP",Tabla147[[#This Row],[Importe Total]],Tabla147[[#This Row],[Forma Pago]]="0D",Tabla147[[#This Row],[Importe Total]],Tabla147[[#This Row],[Forma Pago]]="60D",Tabla147[[#This Row],[Importe Total]],Tabla147[[#This Row],[Forma Pago]]="30D",Tabla147[[#This Row],[Importe Total]],Tabla147[[#This Row],[Forma Pago]]="DOMICILIADO",Tabla147[[#This Row],[Importe Total]],Tabla147[[#This Row],[Forma Pago]]="DOMICILIADO 30D",Tabla147[[#This Row],[Importe Total]],Tabla147[[#This Row],[Forma Pago]]="DOMICILIADO 60D",Tabla147[[#This Row],[Importe Total]])</f>
        <v>66.77</v>
      </c>
      <c r="K8" s="52">
        <f>_xlfn.IFS(Tabla147[[#This Row],[Forma Pago]]="30PP70-60D",IF(Tabla147[[#This Row],[Fecha Factura]]="","",Tabla147[[#This Row],[Fecha Factura]]+60),Tabla147[[#This Row],[Forma Pago]]="50PP50-60D",IF(Tabla147[[#This Row],[Fecha Factura]]="","",Tabla147[[#This Row],[Fecha Factura]]+60),Tabla147[[#This Row],[Forma Pago]]="100PP",IF(Tabla147[[#This Row],[Fecha Prep.]]="","",Tabla147[[#This Row],[Fecha Prep.]]),Tabla147[[#This Row],[Forma Pago]]="0D",IF(Tabla147[[#This Row],[Fecha Factura]]="","",Tabla147[[#This Row],[Fecha Factura]]),Tabla147[[#This Row],[Forma Pago]]="60D",IF(Tabla147[[#This Row],[Fecha Factura]]="","",Tabla147[[#This Row],[Fecha Factura]]+60),Tabla147[[#This Row],[Forma Pago]]="30D",IF(Tabla147[[#This Row],[Fecha Factura]]="","",Tabla147[[#This Row],[Fecha Factura]]+60),Tabla147[[#This Row],[Forma Pago]]="DOMICILIADO","")</f>
        <v>46108</v>
      </c>
      <c r="M8" s="49" t="s">
        <v>3730</v>
      </c>
    </row>
    <row r="9" spans="2:16" s="49" customFormat="1">
      <c r="B9" s="48"/>
      <c r="D9" s="48">
        <v>46168</v>
      </c>
      <c r="E9" s="49" t="s">
        <v>3731</v>
      </c>
      <c r="G9" s="49" t="s">
        <v>3732</v>
      </c>
      <c r="H9" s="51">
        <v>6.1</v>
      </c>
      <c r="I9" s="51" t="s">
        <v>43</v>
      </c>
      <c r="J9" s="51">
        <f>_xlfn.IFS(Tabla147[[#This Row],[Forma Pago]]="30PP70-60D",Tabla147[[#This Row],[Importe Total]]*0.7,Tabla147[[#This Row],[Forma Pago]]="50PP50-60D",Tabla147[[#This Row],[Importe Total]]*0.5,Tabla147[[#This Row],[Forma Pago]]="100PP",Tabla147[[#This Row],[Importe Total]],Tabla147[[#This Row],[Forma Pago]]="0D",Tabla147[[#This Row],[Importe Total]],Tabla147[[#This Row],[Forma Pago]]="60D",Tabla147[[#This Row],[Importe Total]],Tabla147[[#This Row],[Forma Pago]]="30D",Tabla147[[#This Row],[Importe Total]],Tabla147[[#This Row],[Forma Pago]]="DOMICILIADO",Tabla147[[#This Row],[Importe Total]],Tabla147[[#This Row],[Forma Pago]]="DOMICILIADO 30D",Tabla147[[#This Row],[Importe Total]],Tabla147[[#This Row],[Forma Pago]]="DOMICILIADO 60D",Tabla147[[#This Row],[Importe Total]])</f>
        <v>6.1</v>
      </c>
      <c r="K9" s="52">
        <f>_xlfn.IFS(Tabla147[[#This Row],[Forma Pago]]="30PP70-60D",IF(Tabla147[[#This Row],[Fecha Factura]]="","",Tabla147[[#This Row],[Fecha Factura]]+60),Tabla147[[#This Row],[Forma Pago]]="50PP50-60D",IF(Tabla147[[#This Row],[Fecha Factura]]="","",Tabla147[[#This Row],[Fecha Factura]]+60),Tabla147[[#This Row],[Forma Pago]]="100PP",IF(Tabla147[[#This Row],[Fecha Prep.]]="","",Tabla147[[#This Row],[Fecha Prep.]]),Tabla147[[#This Row],[Forma Pago]]="0D",IF(Tabla147[[#This Row],[Fecha Factura]]="","",Tabla147[[#This Row],[Fecha Factura]]),Tabla147[[#This Row],[Forma Pago]]="60D",IF(Tabla147[[#This Row],[Fecha Factura]]="","",Tabla147[[#This Row],[Fecha Factura]]+60),Tabla147[[#This Row],[Forma Pago]]="30D",IF(Tabla147[[#This Row],[Fecha Factura]]="","",Tabla147[[#This Row],[Fecha Factura]]+60),Tabla147[[#This Row],[Forma Pago]]="DOMICILIADO","")</f>
        <v>46168</v>
      </c>
      <c r="L9" s="49" t="s">
        <v>25</v>
      </c>
    </row>
    <row r="10" spans="2:16" s="49" customFormat="1">
      <c r="B10" s="48"/>
      <c r="D10" s="48">
        <v>46114</v>
      </c>
      <c r="E10" s="49" t="s">
        <v>1051</v>
      </c>
      <c r="G10" s="49" t="s">
        <v>148</v>
      </c>
      <c r="H10" s="51">
        <v>2702</v>
      </c>
      <c r="I10" s="51" t="s">
        <v>43</v>
      </c>
      <c r="J10" s="51">
        <f>_xlfn.IFS(Tabla147[[#This Row],[Forma Pago]]="30PP70-60D",Tabla147[[#This Row],[Importe Total]]*0.7,Tabla147[[#This Row],[Forma Pago]]="50PP50-60D",Tabla147[[#This Row],[Importe Total]]*0.5,Tabla147[[#This Row],[Forma Pago]]="100PP",Tabla147[[#This Row],[Importe Total]],Tabla147[[#This Row],[Forma Pago]]="0D",Tabla147[[#This Row],[Importe Total]],Tabla147[[#This Row],[Forma Pago]]="60D",Tabla147[[#This Row],[Importe Total]],Tabla147[[#This Row],[Forma Pago]]="30D",Tabla147[[#This Row],[Importe Total]],Tabla147[[#This Row],[Forma Pago]]="DOMICILIADO",Tabla147[[#This Row],[Importe Total]],Tabla147[[#This Row],[Forma Pago]]="DOMICILIADO 30D",Tabla147[[#This Row],[Importe Total]],Tabla147[[#This Row],[Forma Pago]]="DOMICILIADO 60D",Tabla147[[#This Row],[Importe Total]])</f>
        <v>2702</v>
      </c>
      <c r="K10" s="52">
        <f>_xlfn.IFS(Tabla147[[#This Row],[Forma Pago]]="30PP70-60D",IF(Tabla147[[#This Row],[Fecha Factura]]="","",Tabla147[[#This Row],[Fecha Factura]]+60),Tabla147[[#This Row],[Forma Pago]]="50PP50-60D",IF(Tabla147[[#This Row],[Fecha Factura]]="","",Tabla147[[#This Row],[Fecha Factura]]+60),Tabla147[[#This Row],[Forma Pago]]="100PP",IF(Tabla147[[#This Row],[Fecha Prep.]]="","",Tabla147[[#This Row],[Fecha Prep.]]),Tabla147[[#This Row],[Forma Pago]]="0D",IF(Tabla147[[#This Row],[Fecha Factura]]="","",Tabla147[[#This Row],[Fecha Factura]]),Tabla147[[#This Row],[Forma Pago]]="60D",IF(Tabla147[[#This Row],[Fecha Factura]]="","",Tabla147[[#This Row],[Fecha Factura]]+60),Tabla147[[#This Row],[Forma Pago]]="30D",IF(Tabla147[[#This Row],[Fecha Factura]]="","",Tabla147[[#This Row],[Fecha Factura]]+60),Tabla147[[#This Row],[Forma Pago]]="DOMICILIADO","")</f>
        <v>46114</v>
      </c>
      <c r="L10" s="49" t="s">
        <v>25</v>
      </c>
      <c r="M10" s="49" t="s">
        <v>3733</v>
      </c>
    </row>
    <row r="11" spans="2:16" s="49" customFormat="1">
      <c r="B11" s="48"/>
      <c r="D11" s="48">
        <v>46147</v>
      </c>
      <c r="E11" s="49" t="s">
        <v>645</v>
      </c>
      <c r="G11" s="49" t="s">
        <v>148</v>
      </c>
      <c r="H11" s="51">
        <v>2702</v>
      </c>
      <c r="I11" s="51" t="s">
        <v>43</v>
      </c>
      <c r="J11" s="51">
        <f>_xlfn.IFS(Tabla147[[#This Row],[Forma Pago]]="30PP70-60D",Tabla147[[#This Row],[Importe Total]]*0.7,Tabla147[[#This Row],[Forma Pago]]="50PP50-60D",Tabla147[[#This Row],[Importe Total]]*0.5,Tabla147[[#This Row],[Forma Pago]]="100PP",Tabla147[[#This Row],[Importe Total]],Tabla147[[#This Row],[Forma Pago]]="0D",Tabla147[[#This Row],[Importe Total]],Tabla147[[#This Row],[Forma Pago]]="60D",Tabla147[[#This Row],[Importe Total]],Tabla147[[#This Row],[Forma Pago]]="30D",Tabla147[[#This Row],[Importe Total]],Tabla147[[#This Row],[Forma Pago]]="DOMICILIADO",Tabla147[[#This Row],[Importe Total]],Tabla147[[#This Row],[Forma Pago]]="DOMICILIADO 30D",Tabla147[[#This Row],[Importe Total]],Tabla147[[#This Row],[Forma Pago]]="DOMICILIADO 60D",Tabla147[[#This Row],[Importe Total]])</f>
        <v>2702</v>
      </c>
      <c r="K11" s="52">
        <f>_xlfn.IFS(Tabla147[[#This Row],[Forma Pago]]="30PP70-60D",IF(Tabla147[[#This Row],[Fecha Factura]]="","",Tabla147[[#This Row],[Fecha Factura]]+60),Tabla147[[#This Row],[Forma Pago]]="50PP50-60D",IF(Tabla147[[#This Row],[Fecha Factura]]="","",Tabla147[[#This Row],[Fecha Factura]]+60),Tabla147[[#This Row],[Forma Pago]]="100PP",IF(Tabla147[[#This Row],[Fecha Prep.]]="","",Tabla147[[#This Row],[Fecha Prep.]]),Tabla147[[#This Row],[Forma Pago]]="0D",IF(Tabla147[[#This Row],[Fecha Factura]]="","",Tabla147[[#This Row],[Fecha Factura]]),Tabla147[[#This Row],[Forma Pago]]="60D",IF(Tabla147[[#This Row],[Fecha Factura]]="","",Tabla147[[#This Row],[Fecha Factura]]+60),Tabla147[[#This Row],[Forma Pago]]="30D",IF(Tabla147[[#This Row],[Fecha Factura]]="","",Tabla147[[#This Row],[Fecha Factura]]+60),Tabla147[[#This Row],[Forma Pago]]="DOMICILIADO","")</f>
        <v>46147</v>
      </c>
      <c r="L11" s="49" t="s">
        <v>25</v>
      </c>
      <c r="M11" s="49" t="s">
        <v>3734</v>
      </c>
    </row>
    <row r="12" spans="2:16" s="49" customFormat="1">
      <c r="B12" s="48"/>
      <c r="D12" s="48">
        <v>46174</v>
      </c>
      <c r="E12" s="49" t="s">
        <v>1999</v>
      </c>
      <c r="G12" s="49" t="s">
        <v>148</v>
      </c>
      <c r="H12" s="51">
        <v>2702</v>
      </c>
      <c r="I12" s="51" t="s">
        <v>43</v>
      </c>
      <c r="J12" s="51">
        <f>_xlfn.IFS(Tabla147[[#This Row],[Forma Pago]]="30PP70-60D",Tabla147[[#This Row],[Importe Total]]*0.7,Tabla147[[#This Row],[Forma Pago]]="50PP50-60D",Tabla147[[#This Row],[Importe Total]]*0.5,Tabla147[[#This Row],[Forma Pago]]="100PP",Tabla147[[#This Row],[Importe Total]],Tabla147[[#This Row],[Forma Pago]]="0D",Tabla147[[#This Row],[Importe Total]],Tabla147[[#This Row],[Forma Pago]]="60D",Tabla147[[#This Row],[Importe Total]],Tabla147[[#This Row],[Forma Pago]]="30D",Tabla147[[#This Row],[Importe Total]],Tabla147[[#This Row],[Forma Pago]]="DOMICILIADO",Tabla147[[#This Row],[Importe Total]],Tabla147[[#This Row],[Forma Pago]]="DOMICILIADO 30D",Tabla147[[#This Row],[Importe Total]],Tabla147[[#This Row],[Forma Pago]]="DOMICILIADO 60D",Tabla147[[#This Row],[Importe Total]])</f>
        <v>2702</v>
      </c>
      <c r="K12" s="52">
        <f>_xlfn.IFS(Tabla147[[#This Row],[Forma Pago]]="30PP70-60D",IF(Tabla147[[#This Row],[Fecha Factura]]="","",Tabla147[[#This Row],[Fecha Factura]]+60),Tabla147[[#This Row],[Forma Pago]]="50PP50-60D",IF(Tabla147[[#This Row],[Fecha Factura]]="","",Tabla147[[#This Row],[Fecha Factura]]+60),Tabla147[[#This Row],[Forma Pago]]="100PP",IF(Tabla147[[#This Row],[Fecha Prep.]]="","",Tabla147[[#This Row],[Fecha Prep.]]),Tabla147[[#This Row],[Forma Pago]]="0D",IF(Tabla147[[#This Row],[Fecha Factura]]="","",Tabla147[[#This Row],[Fecha Factura]]),Tabla147[[#This Row],[Forma Pago]]="60D",IF(Tabla147[[#This Row],[Fecha Factura]]="","",Tabla147[[#This Row],[Fecha Factura]]+60),Tabla147[[#This Row],[Forma Pago]]="30D",IF(Tabla147[[#This Row],[Fecha Factura]]="","",Tabla147[[#This Row],[Fecha Factura]]+60),Tabla147[[#This Row],[Forma Pago]]="DOMICILIADO","")</f>
        <v>46174</v>
      </c>
      <c r="L12" s="49" t="s">
        <v>25</v>
      </c>
      <c r="M12" s="49" t="s">
        <v>3735</v>
      </c>
    </row>
    <row r="13" spans="2:16" s="49" customFormat="1">
      <c r="B13" s="48"/>
      <c r="D13" s="48">
        <v>46215</v>
      </c>
      <c r="E13" s="49" t="s">
        <v>3736</v>
      </c>
      <c r="G13" s="49" t="s">
        <v>3723</v>
      </c>
      <c r="H13" s="51">
        <v>24.97</v>
      </c>
      <c r="I13" s="51" t="s">
        <v>43</v>
      </c>
      <c r="J13" s="51">
        <f>_xlfn.IFS(Tabla147[[#This Row],[Forma Pago]]="30PP70-60D",Tabla147[[#This Row],[Importe Total]]*0.7,Tabla147[[#This Row],[Forma Pago]]="50PP50-60D",Tabla147[[#This Row],[Importe Total]]*0.5,Tabla147[[#This Row],[Forma Pago]]="100PP",Tabla147[[#This Row],[Importe Total]],Tabla147[[#This Row],[Forma Pago]]="0D",Tabla147[[#This Row],[Importe Total]],Tabla147[[#This Row],[Forma Pago]]="60D",Tabla147[[#This Row],[Importe Total]],Tabla147[[#This Row],[Forma Pago]]="30D",Tabla147[[#This Row],[Importe Total]],Tabla147[[#This Row],[Forma Pago]]="DOMICILIADO",Tabla147[[#This Row],[Importe Total]],Tabla147[[#This Row],[Forma Pago]]="DOMICILIADO 30D",Tabla147[[#This Row],[Importe Total]],Tabla147[[#This Row],[Forma Pago]]="DOMICILIADO 60D",Tabla147[[#This Row],[Importe Total]])</f>
        <v>24.97</v>
      </c>
      <c r="K13" s="52">
        <f>_xlfn.IFS(Tabla147[[#This Row],[Forma Pago]]="30PP70-60D",IF(Tabla147[[#This Row],[Fecha Factura]]="","",Tabla147[[#This Row],[Fecha Factura]]+60),Tabla147[[#This Row],[Forma Pago]]="50PP50-60D",IF(Tabla147[[#This Row],[Fecha Factura]]="","",Tabla147[[#This Row],[Fecha Factura]]+60),Tabla147[[#This Row],[Forma Pago]]="100PP",IF(Tabla147[[#This Row],[Fecha Prep.]]="","",Tabla147[[#This Row],[Fecha Prep.]]),Tabla147[[#This Row],[Forma Pago]]="0D",IF(Tabla147[[#This Row],[Fecha Factura]]="","",Tabla147[[#This Row],[Fecha Factura]]),Tabla147[[#This Row],[Forma Pago]]="60D",IF(Tabla147[[#This Row],[Fecha Factura]]="","",Tabla147[[#This Row],[Fecha Factura]]+60),Tabla147[[#This Row],[Forma Pago]]="30D",IF(Tabla147[[#This Row],[Fecha Factura]]="","",Tabla147[[#This Row],[Fecha Factura]]+60),Tabla147[[#This Row],[Forma Pago]]="DOMICILIADO","")</f>
        <v>46215</v>
      </c>
      <c r="L13" s="49" t="s">
        <v>25</v>
      </c>
      <c r="M13" s="49" t="s">
        <v>3737</v>
      </c>
    </row>
  </sheetData>
  <conditionalFormatting sqref="B3:O13">
    <cfRule type="expression" dxfId="78" priority="1">
      <formula>$L3="PAGADO"</formula>
    </cfRule>
  </conditionalFormatting>
  <dataValidations count="2">
    <dataValidation type="list" allowBlank="1" showInputMessage="1" showErrorMessage="1" sqref="I3:I13" xr:uid="{9CA142BB-0D25-4BDA-BCFD-6049BDE67C28}">
      <formula1>INDIRECT("tablaformapago[Forma pago]")</formula1>
    </dataValidation>
    <dataValidation type="list" allowBlank="1" showInputMessage="1" showErrorMessage="1" sqref="L3:L13" xr:uid="{E127FC1D-6D4E-4CF0-9141-AE15438F7E81}">
      <formula1>INDIRECT("tablaestado[ESTADO]")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48F2F-1DF1-4609-827B-ADB0B2C5C617}">
  <dimension ref="B1:P21"/>
  <sheetViews>
    <sheetView showGridLines="0" topLeftCell="B1" workbookViewId="0">
      <selection activeCell="G8" sqref="G8"/>
    </sheetView>
  </sheetViews>
  <sheetFormatPr defaultColWidth="8.7109375" defaultRowHeight="15"/>
  <cols>
    <col min="2" max="2" width="17.140625" bestFit="1" customWidth="1"/>
    <col min="3" max="3" width="14.42578125" bestFit="1" customWidth="1"/>
    <col min="4" max="4" width="15.28515625" bestFit="1" customWidth="1"/>
    <col min="5" max="5" width="12.5703125" bestFit="1" customWidth="1"/>
    <col min="6" max="6" width="13.5703125" bestFit="1" customWidth="1"/>
    <col min="7" max="7" width="36.5703125" customWidth="1"/>
    <col min="8" max="8" width="15.28515625" bestFit="1" customWidth="1"/>
    <col min="9" max="9" width="16.7109375" customWidth="1"/>
    <col min="10" max="10" width="14" customWidth="1"/>
    <col min="11" max="11" width="20.85546875" bestFit="1" customWidth="1"/>
    <col min="12" max="12" width="9.140625"/>
    <col min="13" max="13" width="13.5703125" bestFit="1" customWidth="1"/>
    <col min="14" max="14" width="20.42578125" bestFit="1" customWidth="1"/>
    <col min="15" max="15" width="18" bestFit="1" customWidth="1"/>
    <col min="16" max="16" width="8.5703125" bestFit="1" customWidth="1"/>
  </cols>
  <sheetData>
    <row r="1" spans="2:16" ht="21">
      <c r="B1" s="100" t="s">
        <v>3738</v>
      </c>
    </row>
    <row r="2" spans="2:16">
      <c r="B2" t="s">
        <v>2451</v>
      </c>
      <c r="C2" t="s">
        <v>2</v>
      </c>
      <c r="D2" t="s">
        <v>3</v>
      </c>
      <c r="E2" t="s">
        <v>4</v>
      </c>
      <c r="F2" t="s">
        <v>5</v>
      </c>
      <c r="G2" t="s">
        <v>7</v>
      </c>
      <c r="H2" t="s">
        <v>8</v>
      </c>
      <c r="I2" t="s">
        <v>9</v>
      </c>
      <c r="J2" t="s">
        <v>2452</v>
      </c>
      <c r="K2" t="s">
        <v>2453</v>
      </c>
      <c r="L2" t="s">
        <v>2454</v>
      </c>
      <c r="M2" t="s">
        <v>2455</v>
      </c>
      <c r="N2" t="s">
        <v>3739</v>
      </c>
      <c r="O2" t="s">
        <v>18</v>
      </c>
      <c r="P2" t="s">
        <v>3560</v>
      </c>
    </row>
    <row r="3" spans="2:16">
      <c r="B3" s="1"/>
      <c r="D3" s="1">
        <v>46049</v>
      </c>
      <c r="E3" t="s">
        <v>3740</v>
      </c>
      <c r="F3" s="1">
        <v>46051</v>
      </c>
      <c r="G3" t="s">
        <v>3741</v>
      </c>
      <c r="H3" s="2">
        <v>1908.78</v>
      </c>
      <c r="I3" s="2" t="s">
        <v>55</v>
      </c>
      <c r="J3" s="10">
        <f>_xlfn.IFS(Tabla146810[[#This Row],[Forma Pago]]="30PP70-60D",Tabla146810[[#This Row],[Importe Total]]*0.7,Tabla146810[[#This Row],[Forma Pago]]="50PP50-60D",Tabla146810[[#This Row],[Importe Total]]*0.5,Tabla146810[[#This Row],[Forma Pago]]="100PP",Tabla146810[[#This Row],[Importe Total]],Tabla146810[[#This Row],[Forma Pago]]="0D",Tabla146810[[#This Row],[Importe Total]],Tabla146810[[#This Row],[Forma Pago]]="60D",Tabla146810[[#This Row],[Importe Total]],Tabla146810[[#This Row],[Forma Pago]]="30D",Tabla146810[[#This Row],[Importe Total]],Tabla146810[[#This Row],[Forma Pago]]="DOMICILIADO",Tabla146810[[#This Row],[Importe Total]],Tabla146810[[#This Row],[Forma Pago]]="DOMICILIADO 30D",Tabla146810[[#This Row],[Importe Total]],Tabla146810[[#This Row],[Forma Pago]]="DOMICILIADO 60D",Tabla146810[[#This Row],[Importe Total]])</f>
        <v>1908.78</v>
      </c>
      <c r="K3" s="1">
        <f>_xlfn.IFS(Tabla146810[[#This Row],[Forma Pago]]="30PP70-60D",IF(Tabla146810[[#This Row],[Fecha Factura]]="","",Tabla146810[[#This Row],[Fecha Factura]]+60),Tabla146810[[#This Row],[Forma Pago]]="50PP50-60D",IF(Tabla146810[[#This Row],[Fecha Factura]]="","",Tabla146810[[#This Row],[Fecha Factura]]+60),Tabla146810[[#This Row],[Forma Pago]]="100PP",IF(Tabla146810[[#This Row],[Fecha Prep.]]="","",Tabla146810[[#This Row],[Fecha Prep.]]),Tabla146810[[#This Row],[Forma Pago]]="0D",IF(Tabla146810[[#This Row],[Fecha Factura]]="","",Tabla146810[[#This Row],[Fecha Factura]]),Tabla146810[[#This Row],[Forma Pago]]="60D",IF(Tabla146810[[#This Row],[Fecha Factura]]="","",Tabla146810[[#This Row],[Fecha Factura]]+60),Tabla146810[[#This Row],[Forma Pago]]="30D",IF(Tabla146810[[#This Row],[Fecha Factura]]="","",Tabla146810[[#This Row],[Fecha Factura]]+60),Tabla146810[[#This Row],[Forma Pago]]="DOMICILIADO","")</f>
        <v>46051</v>
      </c>
      <c r="L3" t="s">
        <v>25</v>
      </c>
      <c r="M3" t="s">
        <v>3742</v>
      </c>
      <c r="N3" s="1">
        <v>46051</v>
      </c>
      <c r="O3" t="s">
        <v>2624</v>
      </c>
    </row>
    <row r="4" spans="2:16">
      <c r="B4" s="1"/>
      <c r="D4" s="28">
        <v>46022</v>
      </c>
      <c r="E4" s="39" t="s">
        <v>3743</v>
      </c>
      <c r="F4" s="1"/>
      <c r="G4" t="s">
        <v>3744</v>
      </c>
      <c r="H4" s="2">
        <v>149.71</v>
      </c>
      <c r="I4" s="2" t="s">
        <v>43</v>
      </c>
      <c r="J4" s="10">
        <f>_xlfn.IFS(Tabla146810[[#This Row],[Forma Pago]]="30PP70-60D",Tabla146810[[#This Row],[Importe Total]]*0.7,Tabla146810[[#This Row],[Forma Pago]]="50PP50-60D",Tabla146810[[#This Row],[Importe Total]]*0.5,Tabla146810[[#This Row],[Forma Pago]]="100PP",Tabla146810[[#This Row],[Importe Total]],Tabla146810[[#This Row],[Forma Pago]]="0D",Tabla146810[[#This Row],[Importe Total]],Tabla146810[[#This Row],[Forma Pago]]="60D",Tabla146810[[#This Row],[Importe Total]],Tabla146810[[#This Row],[Forma Pago]]="30D",Tabla146810[[#This Row],[Importe Total]],Tabla146810[[#This Row],[Forma Pago]]="DOMICILIADO",Tabla146810[[#This Row],[Importe Total]],Tabla146810[[#This Row],[Forma Pago]]="DOMICILIADO 30D",Tabla146810[[#This Row],[Importe Total]],Tabla146810[[#This Row],[Forma Pago]]="DOMICILIADO 60D",Tabla146810[[#This Row],[Importe Total]])</f>
        <v>149.71</v>
      </c>
      <c r="K4" s="3">
        <v>46058</v>
      </c>
      <c r="L4" t="s">
        <v>25</v>
      </c>
      <c r="N4" s="1">
        <v>46058</v>
      </c>
      <c r="O4" t="s">
        <v>94</v>
      </c>
    </row>
    <row r="5" spans="2:16">
      <c r="B5" s="1"/>
      <c r="D5" s="1">
        <v>46057</v>
      </c>
      <c r="E5" t="s">
        <v>3745</v>
      </c>
      <c r="F5" s="1"/>
      <c r="G5" t="s">
        <v>3744</v>
      </c>
      <c r="H5" s="2">
        <v>159</v>
      </c>
      <c r="I5" s="2" t="s">
        <v>43</v>
      </c>
      <c r="J5" s="10">
        <f>_xlfn.IFS(Tabla146810[[#This Row],[Forma Pago]]="30PP70-60D",Tabla146810[[#This Row],[Importe Total]]*0.7,Tabla146810[[#This Row],[Forma Pago]]="50PP50-60D",Tabla146810[[#This Row],[Importe Total]]*0.5,Tabla146810[[#This Row],[Forma Pago]]="100PP",Tabla146810[[#This Row],[Importe Total]],Tabla146810[[#This Row],[Forma Pago]]="0D",Tabla146810[[#This Row],[Importe Total]],Tabla146810[[#This Row],[Forma Pago]]="60D",Tabla146810[[#This Row],[Importe Total]],Tabla146810[[#This Row],[Forma Pago]]="30D",Tabla146810[[#This Row],[Importe Total]],Tabla146810[[#This Row],[Forma Pago]]="DOMICILIADO",Tabla146810[[#This Row],[Importe Total]],Tabla146810[[#This Row],[Forma Pago]]="DOMICILIADO 30D",Tabla146810[[#This Row],[Importe Total]],Tabla146810[[#This Row],[Forma Pago]]="DOMICILIADO 60D",Tabla146810[[#This Row],[Importe Total]])</f>
        <v>159</v>
      </c>
      <c r="K5" s="3">
        <v>46058</v>
      </c>
      <c r="L5" t="s">
        <v>25</v>
      </c>
      <c r="N5" s="1">
        <v>46058</v>
      </c>
      <c r="O5" t="s">
        <v>94</v>
      </c>
    </row>
    <row r="6" spans="2:16">
      <c r="B6" s="1"/>
      <c r="D6" s="1">
        <v>46057</v>
      </c>
      <c r="F6" s="1"/>
      <c r="G6" t="s">
        <v>3744</v>
      </c>
      <c r="H6" s="2">
        <v>3360</v>
      </c>
      <c r="I6" s="2" t="s">
        <v>55</v>
      </c>
      <c r="J6" s="10">
        <f>_xlfn.IFS(Tabla146810[[#This Row],[Forma Pago]]="30PP70-60D",Tabla146810[[#This Row],[Importe Total]]*0.7,Tabla146810[[#This Row],[Forma Pago]]="50PP50-60D",Tabla146810[[#This Row],[Importe Total]]*0.5,Tabla146810[[#This Row],[Forma Pago]]="100PP",Tabla146810[[#This Row],[Importe Total]],Tabla146810[[#This Row],[Forma Pago]]="0D",Tabla146810[[#This Row],[Importe Total]],Tabla146810[[#This Row],[Forma Pago]]="60D",Tabla146810[[#This Row],[Importe Total]],Tabla146810[[#This Row],[Forma Pago]]="30D",Tabla146810[[#This Row],[Importe Total]],Tabla146810[[#This Row],[Forma Pago]]="DOMICILIADO",Tabla146810[[#This Row],[Importe Total]],Tabla146810[[#This Row],[Forma Pago]]="DOMICILIADO 30D",Tabla146810[[#This Row],[Importe Total]],Tabla146810[[#This Row],[Forma Pago]]="DOMICILIADO 60D",Tabla146810[[#This Row],[Importe Total]])</f>
        <v>3360</v>
      </c>
      <c r="K6" s="3">
        <v>46058</v>
      </c>
      <c r="L6" t="s">
        <v>25</v>
      </c>
      <c r="N6" s="1">
        <v>46058</v>
      </c>
      <c r="O6" t="s">
        <v>94</v>
      </c>
    </row>
    <row r="7" spans="2:16">
      <c r="B7" s="1"/>
      <c r="D7" s="1">
        <v>46064</v>
      </c>
      <c r="E7" t="s">
        <v>3746</v>
      </c>
      <c r="F7" s="1"/>
      <c r="G7" t="s">
        <v>3747</v>
      </c>
      <c r="H7" s="2">
        <v>150</v>
      </c>
      <c r="I7" s="2" t="s">
        <v>43</v>
      </c>
      <c r="J7" s="2">
        <f>_xlfn.IFS(Tabla146810[[#This Row],[Forma Pago]]="30PP70-60D",Tabla146810[[#This Row],[Importe Total]]*0.7,Tabla146810[[#This Row],[Forma Pago]]="50PP50-60D",Tabla146810[[#This Row],[Importe Total]]*0.5,Tabla146810[[#This Row],[Forma Pago]]="100PP",Tabla146810[[#This Row],[Importe Total]],Tabla146810[[#This Row],[Forma Pago]]="0D",Tabla146810[[#This Row],[Importe Total]],Tabla146810[[#This Row],[Forma Pago]]="60D",Tabla146810[[#This Row],[Importe Total]],Tabla146810[[#This Row],[Forma Pago]]="30D",Tabla146810[[#This Row],[Importe Total]],Tabla146810[[#This Row],[Forma Pago]]="DOMICILIADO",Tabla146810[[#This Row],[Importe Total]],Tabla146810[[#This Row],[Forma Pago]]="DOMICILIADO 30D",Tabla146810[[#This Row],[Importe Total]],Tabla146810[[#This Row],[Forma Pago]]="DOMICILIADO 60D",Tabla146810[[#This Row],[Importe Total]])</f>
        <v>150</v>
      </c>
      <c r="K7" s="3">
        <f>_xlfn.IFS(Tabla146810[[#This Row],[Forma Pago]]="30PP70-60D",IF(Tabla146810[[#This Row],[Fecha Factura]]="","",Tabla146810[[#This Row],[Fecha Factura]]+60),Tabla146810[[#This Row],[Forma Pago]]="50PP50-60D",IF(Tabla146810[[#This Row],[Fecha Factura]]="","",Tabla146810[[#This Row],[Fecha Factura]]+60),Tabla146810[[#This Row],[Forma Pago]]="100PP",IF(Tabla146810[[#This Row],[Fecha Prep.]]="","",Tabla146810[[#This Row],[Fecha Prep.]]),Tabla146810[[#This Row],[Forma Pago]]="0D",IF(Tabla146810[[#This Row],[Fecha Factura]]="","",Tabla146810[[#This Row],[Fecha Factura]]),Tabla146810[[#This Row],[Forma Pago]]="60D",IF(Tabla146810[[#This Row],[Fecha Factura]]="","",Tabla146810[[#This Row],[Fecha Factura]]+60),Tabla146810[[#This Row],[Forma Pago]]="30D",IF(Tabla146810[[#This Row],[Fecha Factura]]="","",Tabla146810[[#This Row],[Fecha Factura]]+60),Tabla146810[[#This Row],[Forma Pago]]="DOMICILIADO","")</f>
        <v>46064</v>
      </c>
      <c r="L7" t="s">
        <v>25</v>
      </c>
      <c r="M7" s="102" t="s">
        <v>3748</v>
      </c>
    </row>
    <row r="8" spans="2:16" s="49" customFormat="1">
      <c r="B8" s="48"/>
      <c r="D8" s="48">
        <v>46099</v>
      </c>
      <c r="E8" s="49" t="s">
        <v>3749</v>
      </c>
      <c r="F8" s="48"/>
      <c r="G8" s="49" t="s">
        <v>3747</v>
      </c>
      <c r="H8" s="51">
        <v>203.93</v>
      </c>
      <c r="I8" s="51" t="s">
        <v>43</v>
      </c>
      <c r="J8" s="51">
        <f>_xlfn.IFS(Tabla146810[[#This Row],[Forma Pago]]="30PP70-60D",Tabla146810[[#This Row],[Importe Total]]*0.7,Tabla146810[[#This Row],[Forma Pago]]="50PP50-60D",Tabla146810[[#This Row],[Importe Total]]*0.5,Tabla146810[[#This Row],[Forma Pago]]="100PP",Tabla146810[[#This Row],[Importe Total]],Tabla146810[[#This Row],[Forma Pago]]="0D",Tabla146810[[#This Row],[Importe Total]],Tabla146810[[#This Row],[Forma Pago]]="60D",Tabla146810[[#This Row],[Importe Total]],Tabla146810[[#This Row],[Forma Pago]]="30D",Tabla146810[[#This Row],[Importe Total]],Tabla146810[[#This Row],[Forma Pago]]="DOMICILIADO",Tabla146810[[#This Row],[Importe Total]],Tabla146810[[#This Row],[Forma Pago]]="DOMICILIADO 30D",Tabla146810[[#This Row],[Importe Total]],Tabla146810[[#This Row],[Forma Pago]]="DOMICILIADO 60D",Tabla146810[[#This Row],[Importe Total]])</f>
        <v>203.93</v>
      </c>
      <c r="K8" s="52">
        <f>_xlfn.IFS(Tabla146810[[#This Row],[Forma Pago]]="30PP70-60D",IF(Tabla146810[[#This Row],[Fecha Factura]]="","",Tabla146810[[#This Row],[Fecha Factura]]+60),Tabla146810[[#This Row],[Forma Pago]]="50PP50-60D",IF(Tabla146810[[#This Row],[Fecha Factura]]="","",Tabla146810[[#This Row],[Fecha Factura]]+60),Tabla146810[[#This Row],[Forma Pago]]="100PP",IF(Tabla146810[[#This Row],[Fecha Prep.]]="","",Tabla146810[[#This Row],[Fecha Prep.]]),Tabla146810[[#This Row],[Forma Pago]]="0D",IF(Tabla146810[[#This Row],[Fecha Factura]]="","",Tabla146810[[#This Row],[Fecha Factura]]),Tabla146810[[#This Row],[Forma Pago]]="60D",IF(Tabla146810[[#This Row],[Fecha Factura]]="","",Tabla146810[[#This Row],[Fecha Factura]]+60),Tabla146810[[#This Row],[Forma Pago]]="30D",IF(Tabla146810[[#This Row],[Fecha Factura]]="","",Tabla146810[[#This Row],[Fecha Factura]]+60),Tabla146810[[#This Row],[Forma Pago]]="DOMICILIADO","")</f>
        <v>46099</v>
      </c>
      <c r="L8" s="49" t="s">
        <v>25</v>
      </c>
      <c r="M8" s="49" t="s">
        <v>3750</v>
      </c>
    </row>
    <row r="9" spans="2:16" s="49" customFormat="1">
      <c r="B9" s="48"/>
      <c r="D9" s="48">
        <v>46118</v>
      </c>
      <c r="E9" s="49" t="s">
        <v>3751</v>
      </c>
      <c r="F9" s="48"/>
      <c r="G9" s="49" t="s">
        <v>3752</v>
      </c>
      <c r="H9" s="51">
        <v>78.650000000000006</v>
      </c>
      <c r="I9" s="51" t="s">
        <v>55</v>
      </c>
      <c r="J9" s="51">
        <f>_xlfn.IFS(Tabla146810[[#This Row],[Forma Pago]]="30PP70-60D",Tabla146810[[#This Row],[Importe Total]]*0.7,Tabla146810[[#This Row],[Forma Pago]]="50PP50-60D",Tabla146810[[#This Row],[Importe Total]]*0.5,Tabla146810[[#This Row],[Forma Pago]]="100PP",Tabla146810[[#This Row],[Importe Total]],Tabla146810[[#This Row],[Forma Pago]]="0D",Tabla146810[[#This Row],[Importe Total]],Tabla146810[[#This Row],[Forma Pago]]="60D",Tabla146810[[#This Row],[Importe Total]],Tabla146810[[#This Row],[Forma Pago]]="30D",Tabla146810[[#This Row],[Importe Total]],Tabla146810[[#This Row],[Forma Pago]]="DOMICILIADO",Tabla146810[[#This Row],[Importe Total]],Tabla146810[[#This Row],[Forma Pago]]="DOMICILIADO 30D",Tabla146810[[#This Row],[Importe Total]],Tabla146810[[#This Row],[Forma Pago]]="DOMICILIADO 60D",Tabla146810[[#This Row],[Importe Total]])</f>
        <v>78.650000000000006</v>
      </c>
      <c r="K9" s="52">
        <v>46209</v>
      </c>
      <c r="L9" s="49" t="s">
        <v>25</v>
      </c>
      <c r="M9" s="49" t="s">
        <v>3753</v>
      </c>
      <c r="O9" s="49" t="s">
        <v>183</v>
      </c>
    </row>
    <row r="10" spans="2:16" s="49" customFormat="1">
      <c r="B10" s="48"/>
      <c r="D10" s="48">
        <v>46094</v>
      </c>
      <c r="E10" s="49" t="s">
        <v>3754</v>
      </c>
      <c r="F10" s="48"/>
      <c r="G10" s="49" t="s">
        <v>3755</v>
      </c>
      <c r="H10" s="51">
        <v>280.44</v>
      </c>
      <c r="I10" s="51" t="s">
        <v>43</v>
      </c>
      <c r="J10" s="62">
        <f>_xlfn.IFS(Tabla146810[[#This Row],[Forma Pago]]="30PP70-60D",Tabla146810[[#This Row],[Importe Total]]*0.7,Tabla146810[[#This Row],[Forma Pago]]="50PP50-60D",Tabla146810[[#This Row],[Importe Total]]*0.5,Tabla146810[[#This Row],[Forma Pago]]="100PP",Tabla146810[[#This Row],[Importe Total]],Tabla146810[[#This Row],[Forma Pago]]="0D",Tabla146810[[#This Row],[Importe Total]],Tabla146810[[#This Row],[Forma Pago]]="60D",Tabla146810[[#This Row],[Importe Total]],Tabla146810[[#This Row],[Forma Pago]]="30D",Tabla146810[[#This Row],[Importe Total]],Tabla146810[[#This Row],[Forma Pago]]="DOMICILIADO",Tabla146810[[#This Row],[Importe Total]],Tabla146810[[#This Row],[Forma Pago]]="DOMICILIADO 30D",Tabla146810[[#This Row],[Importe Total]],Tabla146810[[#This Row],[Forma Pago]]="DOMICILIADO 60D",Tabla146810[[#This Row],[Importe Total]])</f>
        <v>280.44</v>
      </c>
      <c r="K10" s="52">
        <f>_xlfn.IFS(Tabla146810[[#This Row],[Forma Pago]]="30PP70-60D",IF(Tabla146810[[#This Row],[Fecha Factura]]="","",Tabla146810[[#This Row],[Fecha Factura]]+60),Tabla146810[[#This Row],[Forma Pago]]="50PP50-60D",IF(Tabla146810[[#This Row],[Fecha Factura]]="","",Tabla146810[[#This Row],[Fecha Factura]]+60),Tabla146810[[#This Row],[Forma Pago]]="100PP",IF(Tabla146810[[#This Row],[Fecha Prep.]]="","",Tabla146810[[#This Row],[Fecha Prep.]]),Tabla146810[[#This Row],[Forma Pago]]="0D",IF(Tabla146810[[#This Row],[Fecha Factura]]="","",Tabla146810[[#This Row],[Fecha Factura]]),Tabla146810[[#This Row],[Forma Pago]]="60D",IF(Tabla146810[[#This Row],[Fecha Factura]]="","",Tabla146810[[#This Row],[Fecha Factura]]+60),Tabla146810[[#This Row],[Forma Pago]]="30D",IF(Tabla146810[[#This Row],[Fecha Factura]]="","",Tabla146810[[#This Row],[Fecha Factura]]+60),Tabla146810[[#This Row],[Forma Pago]]="DOMICILIADO","")</f>
        <v>46094</v>
      </c>
      <c r="L10" s="49" t="s">
        <v>25</v>
      </c>
      <c r="M10" s="49" t="s">
        <v>2845</v>
      </c>
      <c r="N10" s="48">
        <v>46121</v>
      </c>
      <c r="O10" s="49" t="s">
        <v>94</v>
      </c>
    </row>
    <row r="11" spans="2:16" s="49" customFormat="1">
      <c r="B11" s="48"/>
      <c r="D11" s="48">
        <v>46099</v>
      </c>
      <c r="E11" s="49" t="s">
        <v>3756</v>
      </c>
      <c r="F11" s="48"/>
      <c r="G11" s="49" t="s">
        <v>3757</v>
      </c>
      <c r="H11" s="51">
        <v>145.47</v>
      </c>
      <c r="I11" s="51" t="s">
        <v>43</v>
      </c>
      <c r="J11" s="62">
        <f>_xlfn.IFS(Tabla146810[[#This Row],[Forma Pago]]="30PP70-60D",Tabla146810[[#This Row],[Importe Total]]*0.7,Tabla146810[[#This Row],[Forma Pago]]="50PP50-60D",Tabla146810[[#This Row],[Importe Total]]*0.5,Tabla146810[[#This Row],[Forma Pago]]="100PP",Tabla146810[[#This Row],[Importe Total]],Tabla146810[[#This Row],[Forma Pago]]="0D",Tabla146810[[#This Row],[Importe Total]],Tabla146810[[#This Row],[Forma Pago]]="60D",Tabla146810[[#This Row],[Importe Total]],Tabla146810[[#This Row],[Forma Pago]]="30D",Tabla146810[[#This Row],[Importe Total]],Tabla146810[[#This Row],[Forma Pago]]="DOMICILIADO",Tabla146810[[#This Row],[Importe Total]],Tabla146810[[#This Row],[Forma Pago]]="DOMICILIADO 30D",Tabla146810[[#This Row],[Importe Total]],Tabla146810[[#This Row],[Forma Pago]]="DOMICILIADO 60D",Tabla146810[[#This Row],[Importe Total]])</f>
        <v>145.47</v>
      </c>
      <c r="K11" s="52">
        <f>_xlfn.IFS(Tabla146810[[#This Row],[Forma Pago]]="30PP70-60D",IF(Tabla146810[[#This Row],[Fecha Factura]]="","",Tabla146810[[#This Row],[Fecha Factura]]+60),Tabla146810[[#This Row],[Forma Pago]]="50PP50-60D",IF(Tabla146810[[#This Row],[Fecha Factura]]="","",Tabla146810[[#This Row],[Fecha Factura]]+60),Tabla146810[[#This Row],[Forma Pago]]="100PP",IF(Tabla146810[[#This Row],[Fecha Prep.]]="","",Tabla146810[[#This Row],[Fecha Prep.]]),Tabla146810[[#This Row],[Forma Pago]]="0D",IF(Tabla146810[[#This Row],[Fecha Factura]]="","",Tabla146810[[#This Row],[Fecha Factura]]),Tabla146810[[#This Row],[Forma Pago]]="60D",IF(Tabla146810[[#This Row],[Fecha Factura]]="","",Tabla146810[[#This Row],[Fecha Factura]]+60),Tabla146810[[#This Row],[Forma Pago]]="30D",IF(Tabla146810[[#This Row],[Fecha Factura]]="","",Tabla146810[[#This Row],[Fecha Factura]]+60),Tabla146810[[#This Row],[Forma Pago]]="DOMICILIADO","")</f>
        <v>46099</v>
      </c>
      <c r="L11" s="49" t="s">
        <v>25</v>
      </c>
      <c r="M11" s="49" t="s">
        <v>2848</v>
      </c>
      <c r="N11" s="48">
        <v>46121</v>
      </c>
      <c r="O11" s="49" t="s">
        <v>94</v>
      </c>
    </row>
    <row r="12" spans="2:16">
      <c r="B12" s="1"/>
      <c r="D12" s="1">
        <v>46127</v>
      </c>
      <c r="E12" t="s">
        <v>3758</v>
      </c>
      <c r="F12" s="1"/>
      <c r="G12" t="s">
        <v>3759</v>
      </c>
      <c r="H12" s="2">
        <v>1846.94</v>
      </c>
      <c r="I12" s="2" t="s">
        <v>43</v>
      </c>
      <c r="J12" s="10">
        <f>_xlfn.IFS(Tabla146810[[#This Row],[Forma Pago]]="30PP70-60D",Tabla146810[[#This Row],[Importe Total]]*0.7,Tabla146810[[#This Row],[Forma Pago]]="50PP50-60D",Tabla146810[[#This Row],[Importe Total]]*0.5,Tabla146810[[#This Row],[Forma Pago]]="100PP",Tabla146810[[#This Row],[Importe Total]],Tabla146810[[#This Row],[Forma Pago]]="0D",Tabla146810[[#This Row],[Importe Total]],Tabla146810[[#This Row],[Forma Pago]]="60D",Tabla146810[[#This Row],[Importe Total]],Tabla146810[[#This Row],[Forma Pago]]="30D",Tabla146810[[#This Row],[Importe Total]],Tabla146810[[#This Row],[Forma Pago]]="DOMICILIADO",Tabla146810[[#This Row],[Importe Total]],Tabla146810[[#This Row],[Forma Pago]]="DOMICILIADO 30D",Tabla146810[[#This Row],[Importe Total]],Tabla146810[[#This Row],[Forma Pago]]="DOMICILIADO 60D",Tabla146810[[#This Row],[Importe Total]])</f>
        <v>1846.94</v>
      </c>
      <c r="K12" s="3">
        <f>_xlfn.IFS(Tabla146810[[#This Row],[Forma Pago]]="30PP70-60D",IF(Tabla146810[[#This Row],[Fecha Factura]]="","",Tabla146810[[#This Row],[Fecha Factura]]+60),Tabla146810[[#This Row],[Forma Pago]]="50PP50-60D",IF(Tabla146810[[#This Row],[Fecha Factura]]="","",Tabla146810[[#This Row],[Fecha Factura]]+60),Tabla146810[[#This Row],[Forma Pago]]="100PP",IF(Tabla146810[[#This Row],[Fecha Prep.]]="","",Tabla146810[[#This Row],[Fecha Prep.]]),Tabla146810[[#This Row],[Forma Pago]]="0D",IF(Tabla146810[[#This Row],[Fecha Factura]]="","",Tabla146810[[#This Row],[Fecha Factura]]),Tabla146810[[#This Row],[Forma Pago]]="60D",IF(Tabla146810[[#This Row],[Fecha Factura]]="","",Tabla146810[[#This Row],[Fecha Factura]]+60),Tabla146810[[#This Row],[Forma Pago]]="30D",IF(Tabla146810[[#This Row],[Fecha Factura]]="","",Tabla146810[[#This Row],[Fecha Factura]]+60),Tabla146810[[#This Row],[Forma Pago]]="DOMICILIADO","")</f>
        <v>46127</v>
      </c>
      <c r="L12" t="s">
        <v>25</v>
      </c>
      <c r="M12" t="s">
        <v>3760</v>
      </c>
      <c r="N12" s="1">
        <v>46142</v>
      </c>
      <c r="O12" t="s">
        <v>2624</v>
      </c>
    </row>
    <row r="13" spans="2:16" s="49" customFormat="1">
      <c r="B13" s="48"/>
      <c r="D13" s="48">
        <v>46121</v>
      </c>
      <c r="E13" s="49" t="s">
        <v>3761</v>
      </c>
      <c r="F13" s="48"/>
      <c r="G13" s="49" t="s">
        <v>3762</v>
      </c>
      <c r="H13" s="51">
        <v>1577.5</v>
      </c>
      <c r="I13" s="51" t="s">
        <v>43</v>
      </c>
      <c r="J13" s="51">
        <f>_xlfn.IFS(Tabla146810[[#This Row],[Forma Pago]]="30PP70-60D",Tabla146810[[#This Row],[Importe Total]]*0.7,Tabla146810[[#This Row],[Forma Pago]]="50PP50-60D",Tabla146810[[#This Row],[Importe Total]]*0.5,Tabla146810[[#This Row],[Forma Pago]]="100PP",Tabla146810[[#This Row],[Importe Total]],Tabla146810[[#This Row],[Forma Pago]]="0D",Tabla146810[[#This Row],[Importe Total]],Tabla146810[[#This Row],[Forma Pago]]="60D",Tabla146810[[#This Row],[Importe Total]],Tabla146810[[#This Row],[Forma Pago]]="30D",Tabla146810[[#This Row],[Importe Total]],Tabla146810[[#This Row],[Forma Pago]]="DOMICILIADO",Tabla146810[[#This Row],[Importe Total]],Tabla146810[[#This Row],[Forma Pago]]="DOMICILIADO 30D",Tabla146810[[#This Row],[Importe Total]],Tabla146810[[#This Row],[Forma Pago]]="DOMICILIADO 60D",Tabla146810[[#This Row],[Importe Total]])</f>
        <v>1577.5</v>
      </c>
      <c r="K13" s="52">
        <f>_xlfn.IFS(Tabla146810[[#This Row],[Forma Pago]]="30PP70-60D",IF(Tabla146810[[#This Row],[Fecha Factura]]="","",Tabla146810[[#This Row],[Fecha Factura]]+60),Tabla146810[[#This Row],[Forma Pago]]="50PP50-60D",IF(Tabla146810[[#This Row],[Fecha Factura]]="","",Tabla146810[[#This Row],[Fecha Factura]]+60),Tabla146810[[#This Row],[Forma Pago]]="100PP",IF(Tabla146810[[#This Row],[Fecha Prep.]]="","",Tabla146810[[#This Row],[Fecha Prep.]]),Tabla146810[[#This Row],[Forma Pago]]="0D",IF(Tabla146810[[#This Row],[Fecha Factura]]="","",Tabla146810[[#This Row],[Fecha Factura]]),Tabla146810[[#This Row],[Forma Pago]]="60D",IF(Tabla146810[[#This Row],[Fecha Factura]]="","",Tabla146810[[#This Row],[Fecha Factura]]+60),Tabla146810[[#This Row],[Forma Pago]]="30D",IF(Tabla146810[[#This Row],[Fecha Factura]]="","",Tabla146810[[#This Row],[Fecha Factura]]+60),Tabla146810[[#This Row],[Forma Pago]]="DOMICILIADO","")</f>
        <v>46121</v>
      </c>
      <c r="L13" s="49" t="s">
        <v>25</v>
      </c>
      <c r="M13" s="49" t="s">
        <v>3763</v>
      </c>
      <c r="N13" s="48">
        <v>46150</v>
      </c>
      <c r="O13" s="49" t="s">
        <v>183</v>
      </c>
    </row>
    <row r="14" spans="2:16" s="49" customFormat="1">
      <c r="B14" s="48"/>
      <c r="D14" s="48">
        <v>46154</v>
      </c>
      <c r="E14" s="49" t="s">
        <v>3764</v>
      </c>
      <c r="F14" s="48"/>
      <c r="G14" s="49" t="s">
        <v>3765</v>
      </c>
      <c r="H14" s="51">
        <v>550</v>
      </c>
      <c r="I14" s="51" t="s">
        <v>43</v>
      </c>
      <c r="J14" s="51">
        <f>_xlfn.IFS(Tabla146810[[#This Row],[Forma Pago]]="30PP70-60D",Tabla146810[[#This Row],[Importe Total]]*0.7,Tabla146810[[#This Row],[Forma Pago]]="50PP50-60D",Tabla146810[[#This Row],[Importe Total]]*0.5,Tabla146810[[#This Row],[Forma Pago]]="100PP",Tabla146810[[#This Row],[Importe Total]],Tabla146810[[#This Row],[Forma Pago]]="0D",Tabla146810[[#This Row],[Importe Total]],Tabla146810[[#This Row],[Forma Pago]]="60D",Tabla146810[[#This Row],[Importe Total]],Tabla146810[[#This Row],[Forma Pago]]="30D",Tabla146810[[#This Row],[Importe Total]],Tabla146810[[#This Row],[Forma Pago]]="DOMICILIADO",Tabla146810[[#This Row],[Importe Total]],Tabla146810[[#This Row],[Forma Pago]]="DOMICILIADO 30D",Tabla146810[[#This Row],[Importe Total]],Tabla146810[[#This Row],[Forma Pago]]="DOMICILIADO 60D",Tabla146810[[#This Row],[Importe Total]])</f>
        <v>550</v>
      </c>
      <c r="K14" s="52">
        <f>_xlfn.IFS(Tabla146810[[#This Row],[Forma Pago]]="30PP70-60D",IF(Tabla146810[[#This Row],[Fecha Factura]]="","",Tabla146810[[#This Row],[Fecha Factura]]+60),Tabla146810[[#This Row],[Forma Pago]]="50PP50-60D",IF(Tabla146810[[#This Row],[Fecha Factura]]="","",Tabla146810[[#This Row],[Fecha Factura]]+60),Tabla146810[[#This Row],[Forma Pago]]="100PP",IF(Tabla146810[[#This Row],[Fecha Prep.]]="","",Tabla146810[[#This Row],[Fecha Prep.]]),Tabla146810[[#This Row],[Forma Pago]]="0D",IF(Tabla146810[[#This Row],[Fecha Factura]]="","",Tabla146810[[#This Row],[Fecha Factura]]),Tabla146810[[#This Row],[Forma Pago]]="60D",IF(Tabla146810[[#This Row],[Fecha Factura]]="","",Tabla146810[[#This Row],[Fecha Factura]]+60),Tabla146810[[#This Row],[Forma Pago]]="30D",IF(Tabla146810[[#This Row],[Fecha Factura]]="","",Tabla146810[[#This Row],[Fecha Factura]]+60),Tabla146810[[#This Row],[Forma Pago]]="DOMICILIADO","")</f>
        <v>46154</v>
      </c>
      <c r="L14" s="49" t="s">
        <v>25</v>
      </c>
      <c r="M14" s="49" t="s">
        <v>3766</v>
      </c>
      <c r="O14" s="49" t="s">
        <v>2624</v>
      </c>
    </row>
    <row r="15" spans="2:16" s="49" customFormat="1">
      <c r="B15" s="48"/>
      <c r="D15" s="48">
        <v>46164</v>
      </c>
      <c r="E15" s="49" t="s">
        <v>3767</v>
      </c>
      <c r="F15" s="48"/>
      <c r="G15" s="49" t="s">
        <v>3765</v>
      </c>
      <c r="H15" s="51">
        <v>579.21</v>
      </c>
      <c r="I15" s="51" t="s">
        <v>43</v>
      </c>
      <c r="J15" s="51">
        <f>_xlfn.IFS(Tabla146810[[#This Row],[Forma Pago]]="30PP70-60D",Tabla146810[[#This Row],[Importe Total]]*0.7,Tabla146810[[#This Row],[Forma Pago]]="50PP50-60D",Tabla146810[[#This Row],[Importe Total]]*0.5,Tabla146810[[#This Row],[Forma Pago]]="100PP",Tabla146810[[#This Row],[Importe Total]],Tabla146810[[#This Row],[Forma Pago]]="0D",Tabla146810[[#This Row],[Importe Total]],Tabla146810[[#This Row],[Forma Pago]]="60D",Tabla146810[[#This Row],[Importe Total]],Tabla146810[[#This Row],[Forma Pago]]="30D",Tabla146810[[#This Row],[Importe Total]],Tabla146810[[#This Row],[Forma Pago]]="DOMICILIADO",Tabla146810[[#This Row],[Importe Total]],Tabla146810[[#This Row],[Forma Pago]]="DOMICILIADO 30D",Tabla146810[[#This Row],[Importe Total]],Tabla146810[[#This Row],[Forma Pago]]="DOMICILIADO 60D",Tabla146810[[#This Row],[Importe Total]])</f>
        <v>579.21</v>
      </c>
      <c r="K15" s="52">
        <f>_xlfn.IFS(Tabla146810[[#This Row],[Forma Pago]]="30PP70-60D",IF(Tabla146810[[#This Row],[Fecha Factura]]="","",Tabla146810[[#This Row],[Fecha Factura]]+60),Tabla146810[[#This Row],[Forma Pago]]="50PP50-60D",IF(Tabla146810[[#This Row],[Fecha Factura]]="","",Tabla146810[[#This Row],[Fecha Factura]]+60),Tabla146810[[#This Row],[Forma Pago]]="100PP",IF(Tabla146810[[#This Row],[Fecha Prep.]]="","",Tabla146810[[#This Row],[Fecha Prep.]]),Tabla146810[[#This Row],[Forma Pago]]="0D",IF(Tabla146810[[#This Row],[Fecha Factura]]="","",Tabla146810[[#This Row],[Fecha Factura]]),Tabla146810[[#This Row],[Forma Pago]]="60D",IF(Tabla146810[[#This Row],[Fecha Factura]]="","",Tabla146810[[#This Row],[Fecha Factura]]+60),Tabla146810[[#This Row],[Forma Pago]]="30D",IF(Tabla146810[[#This Row],[Fecha Factura]]="","",Tabla146810[[#This Row],[Fecha Factura]]+60),Tabla146810[[#This Row],[Forma Pago]]="DOMICILIADO","")</f>
        <v>46164</v>
      </c>
      <c r="L15" s="49" t="s">
        <v>25</v>
      </c>
      <c r="M15" s="49" t="s">
        <v>3766</v>
      </c>
      <c r="O15" s="49" t="s">
        <v>2624</v>
      </c>
    </row>
    <row r="16" spans="2:16" s="49" customFormat="1">
      <c r="B16" s="48"/>
      <c r="D16" s="48">
        <v>46154</v>
      </c>
      <c r="E16" s="49" t="s">
        <v>3768</v>
      </c>
      <c r="F16" s="48"/>
      <c r="G16" s="49" t="s">
        <v>3765</v>
      </c>
      <c r="H16" s="51">
        <v>14870.78</v>
      </c>
      <c r="I16" s="51" t="s">
        <v>43</v>
      </c>
      <c r="J16" s="51">
        <f>_xlfn.IFS(Tabla146810[[#This Row],[Forma Pago]]="30PP70-60D",Tabla146810[[#This Row],[Importe Total]]*0.7,Tabla146810[[#This Row],[Forma Pago]]="50PP50-60D",Tabla146810[[#This Row],[Importe Total]]*0.5,Tabla146810[[#This Row],[Forma Pago]]="100PP",Tabla146810[[#This Row],[Importe Total]],Tabla146810[[#This Row],[Forma Pago]]="0D",Tabla146810[[#This Row],[Importe Total]],Tabla146810[[#This Row],[Forma Pago]]="60D",Tabla146810[[#This Row],[Importe Total]],Tabla146810[[#This Row],[Forma Pago]]="30D",Tabla146810[[#This Row],[Importe Total]],Tabla146810[[#This Row],[Forma Pago]]="DOMICILIADO",Tabla146810[[#This Row],[Importe Total]],Tabla146810[[#This Row],[Forma Pago]]="DOMICILIADO 30D",Tabla146810[[#This Row],[Importe Total]],Tabla146810[[#This Row],[Forma Pago]]="DOMICILIADO 60D",Tabla146810[[#This Row],[Importe Total]])</f>
        <v>14870.78</v>
      </c>
      <c r="K16" s="52">
        <f>_xlfn.IFS(Tabla146810[[#This Row],[Forma Pago]]="30PP70-60D",IF(Tabla146810[[#This Row],[Fecha Factura]]="","",Tabla146810[[#This Row],[Fecha Factura]]+60),Tabla146810[[#This Row],[Forma Pago]]="50PP50-60D",IF(Tabla146810[[#This Row],[Fecha Factura]]="","",Tabla146810[[#This Row],[Fecha Factura]]+60),Tabla146810[[#This Row],[Forma Pago]]="100PP",IF(Tabla146810[[#This Row],[Fecha Prep.]]="","",Tabla146810[[#This Row],[Fecha Prep.]]),Tabla146810[[#This Row],[Forma Pago]]="0D",IF(Tabla146810[[#This Row],[Fecha Factura]]="","",Tabla146810[[#This Row],[Fecha Factura]]),Tabla146810[[#This Row],[Forma Pago]]="60D",IF(Tabla146810[[#This Row],[Fecha Factura]]="","",Tabla146810[[#This Row],[Fecha Factura]]+60),Tabla146810[[#This Row],[Forma Pago]]="30D",IF(Tabla146810[[#This Row],[Fecha Factura]]="","",Tabla146810[[#This Row],[Fecha Factura]]+60),Tabla146810[[#This Row],[Forma Pago]]="DOMICILIADO","")</f>
        <v>46154</v>
      </c>
      <c r="L16" s="49" t="s">
        <v>25</v>
      </c>
      <c r="M16" s="49" t="s">
        <v>3766</v>
      </c>
      <c r="O16" s="49" t="s">
        <v>2624</v>
      </c>
    </row>
    <row r="17" spans="2:15" s="49" customFormat="1" ht="13.5" customHeight="1">
      <c r="B17" s="48"/>
      <c r="D17" s="48">
        <v>46157</v>
      </c>
      <c r="E17" s="49">
        <v>2026001146</v>
      </c>
      <c r="F17" s="48"/>
      <c r="G17" s="59" t="s">
        <v>3769</v>
      </c>
      <c r="H17" s="51">
        <v>121</v>
      </c>
      <c r="I17" s="51" t="s">
        <v>43</v>
      </c>
      <c r="J17" s="51">
        <f>_xlfn.IFS(Tabla146810[[#This Row],[Forma Pago]]="30PP70-60D",Tabla146810[[#This Row],[Importe Total]]*0.7,Tabla146810[[#This Row],[Forma Pago]]="50PP50-60D",Tabla146810[[#This Row],[Importe Total]]*0.5,Tabla146810[[#This Row],[Forma Pago]]="100PP",Tabla146810[[#This Row],[Importe Total]],Tabla146810[[#This Row],[Forma Pago]]="0D",Tabla146810[[#This Row],[Importe Total]],Tabla146810[[#This Row],[Forma Pago]]="60D",Tabla146810[[#This Row],[Importe Total]],Tabla146810[[#This Row],[Forma Pago]]="30D",Tabla146810[[#This Row],[Importe Total]],Tabla146810[[#This Row],[Forma Pago]]="DOMICILIADO",Tabla146810[[#This Row],[Importe Total]],Tabla146810[[#This Row],[Forma Pago]]="DOMICILIADO 30D",Tabla146810[[#This Row],[Importe Total]],Tabla146810[[#This Row],[Forma Pago]]="DOMICILIADO 60D",Tabla146810[[#This Row],[Importe Total]])</f>
        <v>121</v>
      </c>
      <c r="K17" s="52">
        <f>_xlfn.IFS(Tabla146810[[#This Row],[Forma Pago]]="30PP70-60D",IF(Tabla146810[[#This Row],[Fecha Factura]]="","",Tabla146810[[#This Row],[Fecha Factura]]+60),Tabla146810[[#This Row],[Forma Pago]]="50PP50-60D",IF(Tabla146810[[#This Row],[Fecha Factura]]="","",Tabla146810[[#This Row],[Fecha Factura]]+60),Tabla146810[[#This Row],[Forma Pago]]="100PP",IF(Tabla146810[[#This Row],[Fecha Prep.]]="","",Tabla146810[[#This Row],[Fecha Prep.]]),Tabla146810[[#This Row],[Forma Pago]]="0D",IF(Tabla146810[[#This Row],[Fecha Factura]]="","",Tabla146810[[#This Row],[Fecha Factura]]),Tabla146810[[#This Row],[Forma Pago]]="60D",IF(Tabla146810[[#This Row],[Fecha Factura]]="","",Tabla146810[[#This Row],[Fecha Factura]]+60),Tabla146810[[#This Row],[Forma Pago]]="30D",IF(Tabla146810[[#This Row],[Fecha Factura]]="","",Tabla146810[[#This Row],[Fecha Factura]]+60),Tabla146810[[#This Row],[Forma Pago]]="DOMICILIADO","")</f>
        <v>46157</v>
      </c>
      <c r="L17" s="49" t="s">
        <v>25</v>
      </c>
      <c r="M17" s="49" t="s">
        <v>3770</v>
      </c>
    </row>
    <row r="18" spans="2:15" s="49" customFormat="1">
      <c r="B18" s="48"/>
      <c r="D18" s="48">
        <v>46182</v>
      </c>
      <c r="E18" s="49" t="s">
        <v>3771</v>
      </c>
      <c r="F18" s="48"/>
      <c r="G18" s="49" t="s">
        <v>3772</v>
      </c>
      <c r="H18" s="58">
        <v>9317</v>
      </c>
      <c r="I18" s="51" t="s">
        <v>43</v>
      </c>
      <c r="J18" s="62">
        <f>_xlfn.IFS(Tabla146810[[#This Row],[Forma Pago]]="30PP70-60D",Tabla146810[[#This Row],[Importe Total]]*0.7,Tabla146810[[#This Row],[Forma Pago]]="50PP50-60D",Tabla146810[[#This Row],[Importe Total]]*0.5,Tabla146810[[#This Row],[Forma Pago]]="100PP",Tabla146810[[#This Row],[Importe Total]],Tabla146810[[#This Row],[Forma Pago]]="0D",Tabla146810[[#This Row],[Importe Total]],Tabla146810[[#This Row],[Forma Pago]]="60D",Tabla146810[[#This Row],[Importe Total]],Tabla146810[[#This Row],[Forma Pago]]="30D",Tabla146810[[#This Row],[Importe Total]],Tabla146810[[#This Row],[Forma Pago]]="DOMICILIADO",Tabla146810[[#This Row],[Importe Total]],Tabla146810[[#This Row],[Forma Pago]]="DOMICILIADO 30D",Tabla146810[[#This Row],[Importe Total]],Tabla146810[[#This Row],[Forma Pago]]="DOMICILIADO 60D",Tabla146810[[#This Row],[Importe Total]])</f>
        <v>9317</v>
      </c>
      <c r="K18" s="52">
        <f>_xlfn.IFS(Tabla146810[[#This Row],[Forma Pago]]="30PP70-60D",IF(Tabla146810[[#This Row],[Fecha Factura]]="","",Tabla146810[[#This Row],[Fecha Factura]]+60),Tabla146810[[#This Row],[Forma Pago]]="50PP50-60D",IF(Tabla146810[[#This Row],[Fecha Factura]]="","",Tabla146810[[#This Row],[Fecha Factura]]+60),Tabla146810[[#This Row],[Forma Pago]]="100PP",IF(Tabla146810[[#This Row],[Fecha Prep.]]="","",Tabla146810[[#This Row],[Fecha Prep.]]),Tabla146810[[#This Row],[Forma Pago]]="0D",IF(Tabla146810[[#This Row],[Fecha Factura]]="","",Tabla146810[[#This Row],[Fecha Factura]]),Tabla146810[[#This Row],[Forma Pago]]="60D",IF(Tabla146810[[#This Row],[Fecha Factura]]="","",Tabla146810[[#This Row],[Fecha Factura]]+60),Tabla146810[[#This Row],[Forma Pago]]="30D",IF(Tabla146810[[#This Row],[Fecha Factura]]="","",Tabla146810[[#This Row],[Fecha Factura]]+60),Tabla146810[[#This Row],[Forma Pago]]="DOMICILIADO","")</f>
        <v>46182</v>
      </c>
      <c r="L18" s="49" t="s">
        <v>25</v>
      </c>
      <c r="M18" s="49" t="s">
        <v>3773</v>
      </c>
      <c r="N18" s="48">
        <v>46184</v>
      </c>
      <c r="O18" s="49" t="s">
        <v>183</v>
      </c>
    </row>
    <row r="19" spans="2:15" s="49" customFormat="1">
      <c r="B19" s="48"/>
      <c r="D19" s="48">
        <v>46183</v>
      </c>
      <c r="E19" s="49" t="s">
        <v>3774</v>
      </c>
      <c r="F19" s="48"/>
      <c r="G19" s="49" t="s">
        <v>3775</v>
      </c>
      <c r="H19" s="51">
        <v>1076.9000000000001</v>
      </c>
      <c r="I19" s="51" t="s">
        <v>43</v>
      </c>
      <c r="J19" s="62">
        <f>_xlfn.IFS(Tabla146810[[#This Row],[Forma Pago]]="30PP70-60D",Tabla146810[[#This Row],[Importe Total]]*0.7,Tabla146810[[#This Row],[Forma Pago]]="50PP50-60D",Tabla146810[[#This Row],[Importe Total]]*0.5,Tabla146810[[#This Row],[Forma Pago]]="100PP",Tabla146810[[#This Row],[Importe Total]],Tabla146810[[#This Row],[Forma Pago]]="0D",Tabla146810[[#This Row],[Importe Total]],Tabla146810[[#This Row],[Forma Pago]]="60D",Tabla146810[[#This Row],[Importe Total]],Tabla146810[[#This Row],[Forma Pago]]="30D",Tabla146810[[#This Row],[Importe Total]],Tabla146810[[#This Row],[Forma Pago]]="DOMICILIADO",Tabla146810[[#This Row],[Importe Total]],Tabla146810[[#This Row],[Forma Pago]]="DOMICILIADO 30D",Tabla146810[[#This Row],[Importe Total]],Tabla146810[[#This Row],[Forma Pago]]="DOMICILIADO 60D",Tabla146810[[#This Row],[Importe Total]])</f>
        <v>1076.9000000000001</v>
      </c>
      <c r="K19" s="52">
        <f>_xlfn.IFS(Tabla146810[[#This Row],[Forma Pago]]="30PP70-60D",IF(Tabla146810[[#This Row],[Fecha Factura]]="","",Tabla146810[[#This Row],[Fecha Factura]]+60),Tabla146810[[#This Row],[Forma Pago]]="50PP50-60D",IF(Tabla146810[[#This Row],[Fecha Factura]]="","",Tabla146810[[#This Row],[Fecha Factura]]+60),Tabla146810[[#This Row],[Forma Pago]]="100PP",IF(Tabla146810[[#This Row],[Fecha Prep.]]="","",Tabla146810[[#This Row],[Fecha Prep.]]),Tabla146810[[#This Row],[Forma Pago]]="0D",IF(Tabla146810[[#This Row],[Fecha Factura]]="","",Tabla146810[[#This Row],[Fecha Factura]]),Tabla146810[[#This Row],[Forma Pago]]="60D",IF(Tabla146810[[#This Row],[Fecha Factura]]="","",Tabla146810[[#This Row],[Fecha Factura]]+60),Tabla146810[[#This Row],[Forma Pago]]="30D",IF(Tabla146810[[#This Row],[Fecha Factura]]="","",Tabla146810[[#This Row],[Fecha Factura]]+60),Tabla146810[[#This Row],[Forma Pago]]="DOMICILIADO","")</f>
        <v>46183</v>
      </c>
      <c r="L19" s="49" t="s">
        <v>25</v>
      </c>
      <c r="M19" s="49" t="s">
        <v>3776</v>
      </c>
      <c r="N19" s="48">
        <v>46184</v>
      </c>
      <c r="O19" s="49" t="s">
        <v>27</v>
      </c>
    </row>
    <row r="20" spans="2:15" s="49" customFormat="1">
      <c r="B20" s="48"/>
      <c r="D20" s="48">
        <v>46179</v>
      </c>
      <c r="E20" s="49" t="s">
        <v>3777</v>
      </c>
      <c r="F20" s="48"/>
      <c r="G20" s="49" t="s">
        <v>3778</v>
      </c>
      <c r="H20" s="51">
        <v>2310.33</v>
      </c>
      <c r="I20" s="51" t="s">
        <v>43</v>
      </c>
      <c r="J20" s="62">
        <f>_xlfn.IFS(Tabla146810[[#This Row],[Forma Pago]]="30PP70-60D",Tabla146810[[#This Row],[Importe Total]]*0.7,Tabla146810[[#This Row],[Forma Pago]]="50PP50-60D",Tabla146810[[#This Row],[Importe Total]]*0.5,Tabla146810[[#This Row],[Forma Pago]]="100PP",Tabla146810[[#This Row],[Importe Total]],Tabla146810[[#This Row],[Forma Pago]]="0D",Tabla146810[[#This Row],[Importe Total]],Tabla146810[[#This Row],[Forma Pago]]="60D",Tabla146810[[#This Row],[Importe Total]],Tabla146810[[#This Row],[Forma Pago]]="30D",Tabla146810[[#This Row],[Importe Total]],Tabla146810[[#This Row],[Forma Pago]]="DOMICILIADO",Tabla146810[[#This Row],[Importe Total]],Tabla146810[[#This Row],[Forma Pago]]="DOMICILIADO 30D",Tabla146810[[#This Row],[Importe Total]],Tabla146810[[#This Row],[Forma Pago]]="DOMICILIADO 60D",Tabla146810[[#This Row],[Importe Total]])</f>
        <v>2310.33</v>
      </c>
      <c r="K20" s="52">
        <f>_xlfn.IFS(Tabla146810[[#This Row],[Forma Pago]]="30PP70-60D",IF(Tabla146810[[#This Row],[Fecha Factura]]="","",Tabla146810[[#This Row],[Fecha Factura]]+60),Tabla146810[[#This Row],[Forma Pago]]="50PP50-60D",IF(Tabla146810[[#This Row],[Fecha Factura]]="","",Tabla146810[[#This Row],[Fecha Factura]]+60),Tabla146810[[#This Row],[Forma Pago]]="100PP",IF(Tabla146810[[#This Row],[Fecha Prep.]]="","",Tabla146810[[#This Row],[Fecha Prep.]]),Tabla146810[[#This Row],[Forma Pago]]="0D",IF(Tabla146810[[#This Row],[Fecha Factura]]="","",Tabla146810[[#This Row],[Fecha Factura]]),Tabla146810[[#This Row],[Forma Pago]]="60D",IF(Tabla146810[[#This Row],[Fecha Factura]]="","",Tabla146810[[#This Row],[Fecha Factura]]+60),Tabla146810[[#This Row],[Forma Pago]]="30D",IF(Tabla146810[[#This Row],[Fecha Factura]]="","",Tabla146810[[#This Row],[Fecha Factura]]+60),Tabla146810[[#This Row],[Forma Pago]]="DOMICILIADO","")</f>
        <v>46179</v>
      </c>
      <c r="L20" s="49" t="s">
        <v>25</v>
      </c>
      <c r="M20" s="49" t="s">
        <v>3779</v>
      </c>
      <c r="N20" s="48">
        <v>46185</v>
      </c>
      <c r="O20" s="49" t="s">
        <v>27</v>
      </c>
    </row>
    <row r="21" spans="2:15" s="49" customFormat="1">
      <c r="B21" s="48"/>
      <c r="D21" s="48">
        <v>46157</v>
      </c>
      <c r="E21" s="49" t="s">
        <v>3780</v>
      </c>
      <c r="F21" s="48"/>
      <c r="G21" s="49" t="s">
        <v>3775</v>
      </c>
      <c r="H21" s="51">
        <v>544.5</v>
      </c>
      <c r="I21" s="51" t="s">
        <v>43</v>
      </c>
      <c r="J21" s="62">
        <f>_xlfn.IFS(Tabla146810[[#This Row],[Forma Pago]]="30PP70-60D",Tabla146810[[#This Row],[Importe Total]]*0.7,Tabla146810[[#This Row],[Forma Pago]]="50PP50-60D",Tabla146810[[#This Row],[Importe Total]]*0.5,Tabla146810[[#This Row],[Forma Pago]]="100PP",Tabla146810[[#This Row],[Importe Total]],Tabla146810[[#This Row],[Forma Pago]]="0D",Tabla146810[[#This Row],[Importe Total]],Tabla146810[[#This Row],[Forma Pago]]="60D",Tabla146810[[#This Row],[Importe Total]],Tabla146810[[#This Row],[Forma Pago]]="30D",Tabla146810[[#This Row],[Importe Total]],Tabla146810[[#This Row],[Forma Pago]]="DOMICILIADO",Tabla146810[[#This Row],[Importe Total]],Tabla146810[[#This Row],[Forma Pago]]="DOMICILIADO 30D",Tabla146810[[#This Row],[Importe Total]],Tabla146810[[#This Row],[Forma Pago]]="DOMICILIADO 60D",Tabla146810[[#This Row],[Importe Total]])</f>
        <v>544.5</v>
      </c>
      <c r="K21" s="52">
        <f>_xlfn.IFS(Tabla146810[[#This Row],[Forma Pago]]="30PP70-60D",IF(Tabla146810[[#This Row],[Fecha Factura]]="","",Tabla146810[[#This Row],[Fecha Factura]]+60),Tabla146810[[#This Row],[Forma Pago]]="50PP50-60D",IF(Tabla146810[[#This Row],[Fecha Factura]]="","",Tabla146810[[#This Row],[Fecha Factura]]+60),Tabla146810[[#This Row],[Forma Pago]]="100PP",IF(Tabla146810[[#This Row],[Fecha Prep.]]="","",Tabla146810[[#This Row],[Fecha Prep.]]),Tabla146810[[#This Row],[Forma Pago]]="0D",IF(Tabla146810[[#This Row],[Fecha Factura]]="","",Tabla146810[[#This Row],[Fecha Factura]]),Tabla146810[[#This Row],[Forma Pago]]="60D",IF(Tabla146810[[#This Row],[Fecha Factura]]="","",Tabla146810[[#This Row],[Fecha Factura]]+60),Tabla146810[[#This Row],[Forma Pago]]="30D",IF(Tabla146810[[#This Row],[Fecha Factura]]="","",Tabla146810[[#This Row],[Fecha Factura]]+60),Tabla146810[[#This Row],[Forma Pago]]="DOMICILIADO","")</f>
        <v>46157</v>
      </c>
      <c r="L21" s="49" t="s">
        <v>25</v>
      </c>
      <c r="M21" s="49" t="s">
        <v>3781</v>
      </c>
      <c r="N21" s="48">
        <v>46191</v>
      </c>
      <c r="O21" s="49" t="s">
        <v>183</v>
      </c>
    </row>
  </sheetData>
  <conditionalFormatting sqref="B3:O21">
    <cfRule type="expression" dxfId="72" priority="1">
      <formula>$L3="PAGADO"</formula>
    </cfRule>
  </conditionalFormatting>
  <dataValidations count="2">
    <dataValidation type="list" allowBlank="1" showInputMessage="1" showErrorMessage="1" sqref="I3:I21" xr:uid="{BC96EB3A-6B67-4B5F-A68A-26A1133191B2}">
      <formula1>INDIRECT("tablaformapago[Forma pago]")</formula1>
    </dataValidation>
    <dataValidation type="list" allowBlank="1" showInputMessage="1" showErrorMessage="1" sqref="L3:L21" xr:uid="{238C8FC4-94C9-4AAB-98F4-1594379D065A}">
      <formula1>INDIRECT("tablaestado[ESTADO]")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E9313-BE2F-4F73-9B48-20A735BF5636}">
  <dimension ref="A1:T7"/>
  <sheetViews>
    <sheetView workbookViewId="0">
      <selection activeCell="M11" sqref="M11"/>
    </sheetView>
  </sheetViews>
  <sheetFormatPr defaultRowHeight="15"/>
  <cols>
    <col min="1" max="1" width="6" customWidth="1"/>
    <col min="2" max="2" width="17.7109375" bestFit="1" customWidth="1"/>
    <col min="3" max="3" width="14.7109375" customWidth="1"/>
    <col min="4" max="4" width="15.85546875" bestFit="1" customWidth="1"/>
    <col min="5" max="5" width="19.140625" customWidth="1"/>
    <col min="6" max="6" width="13.7109375" bestFit="1" customWidth="1"/>
    <col min="7" max="7" width="69.140625" customWidth="1"/>
    <col min="8" max="8" width="17.85546875" style="221" customWidth="1"/>
    <col min="9" max="9" width="14" customWidth="1"/>
    <col min="10" max="10" width="14.140625" style="221" customWidth="1"/>
    <col min="11" max="11" width="21.140625" customWidth="1"/>
    <col min="12" max="12" width="9.42578125" bestFit="1" customWidth="1"/>
    <col min="13" max="13" width="39" customWidth="1"/>
    <col min="14" max="14" width="19.140625" style="1" customWidth="1"/>
    <col min="15" max="15" width="15.85546875" bestFit="1" customWidth="1"/>
    <col min="16" max="16" width="9.85546875" bestFit="1" customWidth="1"/>
    <col min="17" max="17" width="16.5703125" bestFit="1" customWidth="1"/>
    <col min="18" max="18" width="28.5703125" bestFit="1" customWidth="1"/>
  </cols>
  <sheetData>
    <row r="1" spans="1:20" ht="15.75">
      <c r="A1" s="219"/>
      <c r="B1" t="s">
        <v>3782</v>
      </c>
    </row>
    <row r="2" spans="1:20" ht="30.75">
      <c r="B2" s="217" t="s">
        <v>2451</v>
      </c>
      <c r="C2" s="217" t="s">
        <v>2</v>
      </c>
      <c r="D2" s="217" t="s">
        <v>3</v>
      </c>
      <c r="E2" s="217" t="s">
        <v>4</v>
      </c>
      <c r="F2" s="217" t="s">
        <v>5</v>
      </c>
      <c r="G2" s="217" t="s">
        <v>7</v>
      </c>
      <c r="H2" s="222" t="s">
        <v>8</v>
      </c>
      <c r="I2" s="217" t="s">
        <v>9</v>
      </c>
      <c r="J2" s="222" t="s">
        <v>2452</v>
      </c>
      <c r="K2" s="217" t="s">
        <v>2453</v>
      </c>
      <c r="L2" s="217" t="s">
        <v>2454</v>
      </c>
      <c r="M2" s="218" t="s">
        <v>2455</v>
      </c>
      <c r="N2" s="220" t="s">
        <v>2456</v>
      </c>
      <c r="O2" s="217" t="s">
        <v>2457</v>
      </c>
      <c r="P2" s="217" t="s">
        <v>2458</v>
      </c>
      <c r="Q2" s="217" t="s">
        <v>19</v>
      </c>
      <c r="R2" s="217" t="s">
        <v>2459</v>
      </c>
    </row>
    <row r="3" spans="1:20" s="49" customFormat="1">
      <c r="B3" s="225"/>
      <c r="C3" s="226"/>
      <c r="D3" s="227">
        <v>46157</v>
      </c>
      <c r="E3" s="226" t="s">
        <v>3780</v>
      </c>
      <c r="F3" s="227"/>
      <c r="G3" s="226" t="s">
        <v>3775</v>
      </c>
      <c r="H3" s="228">
        <v>544.5</v>
      </c>
      <c r="I3" s="228" t="s">
        <v>43</v>
      </c>
      <c r="J3" s="229">
        <f>_xlfn.IFS(Tabla146810[[#This Row],[Forma Pago]]="30PP70-60D",Tabla146810[[#This Row],[Importe Total]]*0.7,Tabla146810[[#This Row],[Forma Pago]]="50PP50-60D",Tabla146810[[#This Row],[Importe Total]]*0.5,Tabla146810[[#This Row],[Forma Pago]]="100PP",Tabla146810[[#This Row],[Importe Total]],Tabla146810[[#This Row],[Forma Pago]]="0D",Tabla146810[[#This Row],[Importe Total]],Tabla146810[[#This Row],[Forma Pago]]="60D",Tabla146810[[#This Row],[Importe Total]],Tabla146810[[#This Row],[Forma Pago]]="30D",Tabla146810[[#This Row],[Importe Total]],Tabla146810[[#This Row],[Forma Pago]]="DOMICILIADO",Tabla146810[[#This Row],[Importe Total]],Tabla146810[[#This Row],[Forma Pago]]="DOMICILIADO 30D",Tabla146810[[#This Row],[Importe Total]],Tabla146810[[#This Row],[Forma Pago]]="DOMICILIADO 60D",Tabla146810[[#This Row],[Importe Total]])</f>
        <v>1908.78</v>
      </c>
      <c r="K3" s="230">
        <f>_xlfn.IFS(Tabla19[[#This Row],[Forma Pago]]="30PP70-60D",IF(Tabla19[[#This Row],[Fecha Factura]]="","",Tabla19[[#This Row],[Fecha Factura]]+60),Tabla19[[#This Row],[Forma Pago]]="50PP50-60D",IF(Tabla19[[#This Row],[Fecha Factura]]="","",Tabla19[[#This Row],[Fecha Factura]]+60),Tabla19[[#This Row],[Forma Pago]]="100PP",IF(Tabla19[[#This Row],[Fecha Prep.]]="","",Tabla19[[#This Row],[Fecha Prep.]]),Tabla19[[#This Row],[Forma Pago]]="0D",IF(Tabla19[[#This Row],[Fecha Factura]]="","",Tabla19[[#This Row],[Fecha Factura]]),Tabla19[[#This Row],[Forma Pago]]="60D",IF(Tabla19[[#This Row],[Fecha Factura]]="","",Tabla19[[#This Row],[Fecha Factura]]+60),Tabla19[[#This Row],[Forma Pago]]="30D",IF(Tabla19[[#This Row],[Fecha Factura]]="","",Tabla19[[#This Row],[Fecha Factura]]+60),Tabla19[[#This Row],[Forma Pago]]="DOMICILIADO","")</f>
        <v>46157</v>
      </c>
      <c r="L3" s="226" t="s">
        <v>25</v>
      </c>
      <c r="M3" s="226" t="s">
        <v>3781</v>
      </c>
      <c r="N3" s="227">
        <v>46191</v>
      </c>
      <c r="O3" s="226" t="s">
        <v>183</v>
      </c>
      <c r="P3" s="226"/>
      <c r="Q3" s="226"/>
      <c r="R3" s="226"/>
      <c r="S3" s="59"/>
    </row>
    <row r="4" spans="1:20" s="49" customFormat="1">
      <c r="B4" s="225"/>
      <c r="C4" s="226"/>
      <c r="D4" s="227">
        <v>46163</v>
      </c>
      <c r="E4" s="226" t="s">
        <v>3783</v>
      </c>
      <c r="F4" s="227"/>
      <c r="G4" s="226" t="s">
        <v>2503</v>
      </c>
      <c r="H4" s="228">
        <v>29.63</v>
      </c>
      <c r="I4" s="228" t="s">
        <v>43</v>
      </c>
      <c r="J4" s="229">
        <f>H4</f>
        <v>29.63</v>
      </c>
      <c r="K4" s="230">
        <f>_xlfn.IFS(Tabla19[[#This Row],[Forma Pago]]="30PP70-60D",IF(Tabla19[[#This Row],[Fecha Factura]]="","",Tabla19[[#This Row],[Fecha Factura]]+60),Tabla19[[#This Row],[Forma Pago]]="50PP50-60D",IF(Tabla19[[#This Row],[Fecha Factura]]="","",Tabla19[[#This Row],[Fecha Factura]]+60),Tabla19[[#This Row],[Forma Pago]]="100PP",IF(Tabla19[[#This Row],[Fecha Prep.]]="","",Tabla19[[#This Row],[Fecha Prep.]]),Tabla19[[#This Row],[Forma Pago]]="0D",IF(Tabla19[[#This Row],[Fecha Factura]]="","",Tabla19[[#This Row],[Fecha Factura]]),Tabla19[[#This Row],[Forma Pago]]="60D",IF(Tabla19[[#This Row],[Fecha Factura]]="","",Tabla19[[#This Row],[Fecha Factura]]+60),Tabla19[[#This Row],[Forma Pago]]="30D",IF(Tabla19[[#This Row],[Fecha Factura]]="","",Tabla19[[#This Row],[Fecha Factura]]+60),Tabla19[[#This Row],[Forma Pago]]="DOMICILIADO","")</f>
        <v>46163</v>
      </c>
      <c r="L4" s="226" t="s">
        <v>25</v>
      </c>
      <c r="M4" s="226" t="s">
        <v>3784</v>
      </c>
      <c r="N4" s="227">
        <v>46191</v>
      </c>
      <c r="O4" s="226" t="s">
        <v>94</v>
      </c>
      <c r="P4" s="226"/>
      <c r="Q4" s="226"/>
      <c r="R4" s="226"/>
      <c r="S4" s="59"/>
    </row>
    <row r="5" spans="1:20">
      <c r="A5" s="49"/>
      <c r="B5" s="225"/>
      <c r="C5" s="226"/>
      <c r="D5" s="227">
        <v>46155</v>
      </c>
      <c r="E5" s="226" t="s">
        <v>3785</v>
      </c>
      <c r="F5" s="227"/>
      <c r="G5" s="226" t="s">
        <v>2503</v>
      </c>
      <c r="H5" s="228">
        <v>693.28</v>
      </c>
      <c r="I5" s="228" t="s">
        <v>43</v>
      </c>
      <c r="J5" s="229">
        <v>693.28</v>
      </c>
      <c r="K5" s="230">
        <f>_xlfn.IFS(Tabla19[[#This Row],[Forma Pago]]="30PP70-60D",IF(Tabla19[[#This Row],[Fecha Factura]]="","",Tabla19[[#This Row],[Fecha Factura]]+60),Tabla19[[#This Row],[Forma Pago]]="50PP50-60D",IF(Tabla19[[#This Row],[Fecha Factura]]="","",Tabla19[[#This Row],[Fecha Factura]]+60),Tabla19[[#This Row],[Forma Pago]]="100PP",IF(Tabla19[[#This Row],[Fecha Prep.]]="","",Tabla19[[#This Row],[Fecha Prep.]]),Tabla19[[#This Row],[Forma Pago]]="0D",IF(Tabla19[[#This Row],[Fecha Factura]]="","",Tabla19[[#This Row],[Fecha Factura]]),Tabla19[[#This Row],[Forma Pago]]="60D",IF(Tabla19[[#This Row],[Fecha Factura]]="","",Tabla19[[#This Row],[Fecha Factura]]+60),Tabla19[[#This Row],[Forma Pago]]="30D",IF(Tabla19[[#This Row],[Fecha Factura]]="","",Tabla19[[#This Row],[Fecha Factura]]+60),Tabla19[[#This Row],[Forma Pago]]="DOMICILIADO","")</f>
        <v>46155</v>
      </c>
      <c r="L5" s="226" t="s">
        <v>25</v>
      </c>
      <c r="M5" s="226" t="s">
        <v>3786</v>
      </c>
      <c r="N5" s="227">
        <v>46191</v>
      </c>
      <c r="O5" s="226" t="s">
        <v>94</v>
      </c>
      <c r="P5" s="226"/>
      <c r="Q5" s="226"/>
      <c r="R5" s="226"/>
      <c r="S5" s="59"/>
      <c r="T5" s="49"/>
    </row>
    <row r="6" spans="1:20" s="49" customFormat="1">
      <c r="B6" s="225"/>
      <c r="C6" s="226"/>
      <c r="D6" s="227">
        <v>46190</v>
      </c>
      <c r="E6" s="226" t="s">
        <v>3787</v>
      </c>
      <c r="F6" s="227"/>
      <c r="G6" s="226" t="s">
        <v>2503</v>
      </c>
      <c r="H6" s="228">
        <v>143.87</v>
      </c>
      <c r="I6" s="228" t="s">
        <v>43</v>
      </c>
      <c r="J6" s="229">
        <f>_xlfn.IFS(Tabla19[[#This Row],[Forma Pago]]="30PP70-60D",Tabla19[[#This Row],[Importe Total]]*0.7,Tabla19[[#This Row],[Forma Pago]]="50PP50-60D",Tabla19[[#This Row],[Importe Total]]*0.5,Tabla19[[#This Row],[Forma Pago]]="100PP",Tabla19[[#This Row],[Importe Total]],Tabla19[[#This Row],[Forma Pago]]="0D",Tabla19[[#This Row],[Importe Total]],Tabla19[[#This Row],[Forma Pago]]="60D",Tabla19[[#This Row],[Importe Total]],Tabla19[[#This Row],[Forma Pago]]="30D",Tabla19[[#This Row],[Importe Total]],Tabla19[[#This Row],[Forma Pago]]="DOMICILIADO",Tabla19[[#This Row],[Importe Total]],Tabla19[[#This Row],[Forma Pago]]="DOMICILIADO 30D",Tabla19[[#This Row],[Importe Total]],Tabla19[[#This Row],[Forma Pago]]="DOMICILIADO 60D",Tabla19[[#This Row],[Importe Total]])</f>
        <v>143.87</v>
      </c>
      <c r="K6" s="230"/>
      <c r="L6" s="226" t="s">
        <v>25</v>
      </c>
      <c r="M6" s="226" t="s">
        <v>3788</v>
      </c>
      <c r="N6" s="227">
        <v>46205</v>
      </c>
      <c r="O6" s="226" t="s">
        <v>94</v>
      </c>
      <c r="P6" s="226"/>
      <c r="Q6" s="226"/>
      <c r="R6" s="226"/>
      <c r="S6" s="59"/>
    </row>
    <row r="7" spans="1:20" s="49" customFormat="1">
      <c r="B7" s="225"/>
      <c r="C7" s="226"/>
      <c r="D7" s="227">
        <v>46189</v>
      </c>
      <c r="E7" s="226" t="s">
        <v>3789</v>
      </c>
      <c r="F7" s="227"/>
      <c r="G7" s="226" t="s">
        <v>2503</v>
      </c>
      <c r="H7" s="228">
        <v>224.58</v>
      </c>
      <c r="I7" s="228" t="s">
        <v>43</v>
      </c>
      <c r="J7" s="229">
        <f>_xlfn.IFS(Tabla19[[#This Row],[Forma Pago]]="30PP70-60D",Tabla19[[#This Row],[Importe Total]]*0.7,Tabla19[[#This Row],[Forma Pago]]="50PP50-60D",Tabla19[[#This Row],[Importe Total]]*0.5,Tabla19[[#This Row],[Forma Pago]]="100PP",Tabla19[[#This Row],[Importe Total]],Tabla19[[#This Row],[Forma Pago]]="0D",Tabla19[[#This Row],[Importe Total]],Tabla19[[#This Row],[Forma Pago]]="60D",Tabla19[[#This Row],[Importe Total]],Tabla19[[#This Row],[Forma Pago]]="30D",Tabla19[[#This Row],[Importe Total]],Tabla19[[#This Row],[Forma Pago]]="DOMICILIADO",Tabla19[[#This Row],[Importe Total]],Tabla19[[#This Row],[Forma Pago]]="DOMICILIADO 30D",Tabla19[[#This Row],[Importe Total]],Tabla19[[#This Row],[Forma Pago]]="DOMICILIADO 60D",Tabla19[[#This Row],[Importe Total]])</f>
        <v>224.58</v>
      </c>
      <c r="K7" s="230"/>
      <c r="L7" s="226" t="s">
        <v>25</v>
      </c>
      <c r="M7" s="226" t="s">
        <v>3535</v>
      </c>
      <c r="N7" s="227">
        <v>46205</v>
      </c>
      <c r="O7" s="226" t="s">
        <v>94</v>
      </c>
      <c r="P7" s="226"/>
      <c r="Q7" s="226"/>
      <c r="R7" s="226"/>
      <c r="S7" s="59"/>
    </row>
  </sheetData>
  <conditionalFormatting sqref="S3:U3 U4 S4:T5">
    <cfRule type="expression" dxfId="65" priority="4">
      <formula>$P3="PAGADO"</formula>
    </cfRule>
  </conditionalFormatting>
  <conditionalFormatting sqref="B3:R7">
    <cfRule type="expression" dxfId="64" priority="3">
      <formula>$L3="PAGADO"</formula>
    </cfRule>
  </conditionalFormatting>
  <conditionalFormatting sqref="S6:T6">
    <cfRule type="expression" dxfId="63" priority="2">
      <formula>$P6="PAGADO"</formula>
    </cfRule>
  </conditionalFormatting>
  <conditionalFormatting sqref="S7:T7">
    <cfRule type="expression" dxfId="62" priority="1">
      <formula>$P7="PAGADO"</formula>
    </cfRule>
  </conditionalFormatting>
  <dataValidations count="2">
    <dataValidation type="list" allowBlank="1" showInputMessage="1" showErrorMessage="1" sqref="L3" xr:uid="{98DE9FC2-3C0C-4F9D-B77D-4FEF75F7E320}">
      <formula1>INDIRECT("tablaestado[ESTADO]")</formula1>
    </dataValidation>
    <dataValidation type="list" allowBlank="1" showInputMessage="1" showErrorMessage="1" sqref="I3:I7" xr:uid="{9D8C82EF-554D-4C92-910D-4547C603BAAF}">
      <formula1>INDIRECT("tablaformapago[Forma pago]")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0D6CB-43F6-4D3B-912A-04D99504C4C8}">
  <dimension ref="B1:P3"/>
  <sheetViews>
    <sheetView showGridLines="0" workbookViewId="0">
      <selection activeCell="J3" sqref="J3"/>
    </sheetView>
  </sheetViews>
  <sheetFormatPr defaultColWidth="8.7109375" defaultRowHeight="15"/>
  <cols>
    <col min="1" max="1" width="5.42578125" customWidth="1"/>
    <col min="2" max="2" width="17.140625" bestFit="1" customWidth="1"/>
    <col min="3" max="3" width="14.42578125" bestFit="1" customWidth="1"/>
    <col min="4" max="4" width="11.85546875" customWidth="1"/>
    <col min="5" max="5" width="10.7109375" customWidth="1"/>
    <col min="6" max="6" width="8.42578125" customWidth="1"/>
    <col min="7" max="7" width="25.42578125" bestFit="1" customWidth="1"/>
    <col min="8" max="8" width="15.28515625" bestFit="1" customWidth="1"/>
    <col min="9" max="9" width="13.5703125" bestFit="1" customWidth="1"/>
    <col min="10" max="10" width="11" bestFit="1" customWidth="1"/>
    <col min="11" max="11" width="11.85546875" customWidth="1"/>
    <col min="12" max="12" width="9.140625" bestFit="1" customWidth="1"/>
    <col min="13" max="13" width="31.42578125" bestFit="1" customWidth="1"/>
    <col min="14" max="14" width="12.7109375" bestFit="1" customWidth="1"/>
    <col min="15" max="15" width="26.85546875" customWidth="1"/>
  </cols>
  <sheetData>
    <row r="1" spans="2:16" ht="21">
      <c r="B1" s="100" t="s">
        <v>3790</v>
      </c>
    </row>
    <row r="2" spans="2:16">
      <c r="B2" t="s">
        <v>2451</v>
      </c>
      <c r="C2" t="s">
        <v>2</v>
      </c>
      <c r="D2" t="s">
        <v>3</v>
      </c>
      <c r="E2" t="s">
        <v>4</v>
      </c>
      <c r="F2" t="s">
        <v>5</v>
      </c>
      <c r="G2" t="s">
        <v>7</v>
      </c>
      <c r="H2" t="s">
        <v>8</v>
      </c>
      <c r="I2" t="s">
        <v>9</v>
      </c>
      <c r="J2" t="s">
        <v>2452</v>
      </c>
      <c r="K2" t="s">
        <v>2453</v>
      </c>
      <c r="L2" t="s">
        <v>2454</v>
      </c>
      <c r="M2" t="s">
        <v>2455</v>
      </c>
      <c r="N2" t="s">
        <v>3540</v>
      </c>
      <c r="O2" t="s">
        <v>18</v>
      </c>
      <c r="P2" t="s">
        <v>3541</v>
      </c>
    </row>
    <row r="3" spans="2:16" s="49" customFormat="1">
      <c r="B3" s="48">
        <v>46176</v>
      </c>
      <c r="C3" s="48">
        <v>46176</v>
      </c>
      <c r="D3" s="48"/>
      <c r="F3" s="101"/>
      <c r="G3" s="49" t="s">
        <v>92</v>
      </c>
      <c r="H3" s="51">
        <v>25</v>
      </c>
      <c r="I3" s="51" t="s">
        <v>43</v>
      </c>
      <c r="J3" s="62">
        <f>_xlfn.IFS(Tabla146891113[[#This Row],[Forma Pago]]="30PP70-60D",Tabla146891113[[#This Row],[Importe Total]]*0.7,Tabla146891113[[#This Row],[Forma Pago]]="50PP50-60D",Tabla146891113[[#This Row],[Importe Total]]*0.5,Tabla146891113[[#This Row],[Forma Pago]]="100PP",Tabla146891113[[#This Row],[Importe Total]],Tabla146891113[[#This Row],[Forma Pago]]="0D",Tabla146891113[[#This Row],[Importe Total]],Tabla146891113[[#This Row],[Forma Pago]]="60D",Tabla146891113[[#This Row],[Importe Total]],Tabla146891113[[#This Row],[Forma Pago]]="30D",Tabla146891113[[#This Row],[Importe Total]],Tabla146891113[[#This Row],[Forma Pago]]="DOMICILIADO",Tabla146891113[[#This Row],[Importe Total]],Tabla146891113[[#This Row],[Forma Pago]]="DOMICILIADO 30D",Tabla146891113[[#This Row],[Importe Total]],Tabla146891113[[#This Row],[Forma Pago]]="DOMICILIADO 60D",Tabla146891113[[#This Row],[Importe Total]])</f>
        <v>25</v>
      </c>
      <c r="K3" s="48" t="str">
        <f>_xlfn.IFS(Tabla146891113[[#This Row],[Forma Pago]]="30PP70-60D",IF(Tabla146891113[[#This Row],[Fecha Factura]]="","",Tabla146891113[[#This Row],[Fecha Factura]]+60),Tabla146891113[[#This Row],[Forma Pago]]="50PP50-60D",IF(Tabla146891113[[#This Row],[Fecha Factura]]="","",Tabla146891113[[#This Row],[Fecha Factura]]+60),Tabla146891113[[#This Row],[Forma Pago]]="100PP",IF(Tabla146891113[[#This Row],[Fecha Prep.]]="","",Tabla146891113[[#This Row],[Fecha Prep.]]),Tabla146891113[[#This Row],[Forma Pago]]="0D",IF(Tabla146891113[[#This Row],[Fecha Factura]]="","",Tabla146891113[[#This Row],[Fecha Factura]]),Tabla146891113[[#This Row],[Forma Pago]]="60D",IF(Tabla146891113[[#This Row],[Fecha Factura]]="","",Tabla146891113[[#This Row],[Fecha Factura]]+60),Tabla146891113[[#This Row],[Forma Pago]]="30D",IF(Tabla146891113[[#This Row],[Fecha Factura]]="","",Tabla146891113[[#This Row],[Fecha Factura]]+60),Tabla146891113[[#This Row],[Forma Pago]]="DOMICILIADO","")</f>
        <v/>
      </c>
      <c r="L3" s="49" t="s">
        <v>25</v>
      </c>
      <c r="M3" s="49" t="s">
        <v>3791</v>
      </c>
      <c r="N3" s="48">
        <v>46184</v>
      </c>
      <c r="O3" s="49" t="s">
        <v>94</v>
      </c>
    </row>
  </sheetData>
  <conditionalFormatting sqref="B3:N3">
    <cfRule type="expression" dxfId="47" priority="1">
      <formula>$L3="PAGADO"</formula>
    </cfRule>
  </conditionalFormatting>
  <dataValidations disablePrompts="1" count="2">
    <dataValidation type="list" allowBlank="1" showInputMessage="1" showErrorMessage="1" sqref="I3" xr:uid="{ED21469B-77D3-4A30-ACCF-0271D7E8AB89}">
      <formula1>INDIRECT("tablaformapago[Forma pago]")</formula1>
    </dataValidation>
    <dataValidation type="list" allowBlank="1" showInputMessage="1" showErrorMessage="1" sqref="L3" xr:uid="{6A17A1D0-332C-48C8-9BBE-01915512FBFE}">
      <formula1>INDIRECT("tablaestado[ESTADO]")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D896-6434-44B8-AB8A-00F31F61AA82}">
  <dimension ref="B1:P9"/>
  <sheetViews>
    <sheetView showGridLines="0" workbookViewId="0">
      <selection activeCell="J6" sqref="J6:J9"/>
    </sheetView>
  </sheetViews>
  <sheetFormatPr defaultColWidth="8.7109375" defaultRowHeight="15"/>
  <cols>
    <col min="1" max="1" width="3.42578125" customWidth="1"/>
    <col min="2" max="2" width="17.140625" bestFit="1" customWidth="1"/>
    <col min="3" max="3" width="14.42578125" bestFit="1" customWidth="1"/>
    <col min="4" max="4" width="15.28515625" bestFit="1" customWidth="1"/>
    <col min="5" max="5" width="12.5703125" bestFit="1" customWidth="1"/>
    <col min="6" max="6" width="12.5703125" customWidth="1"/>
    <col min="7" max="7" width="36.42578125" customWidth="1"/>
    <col min="8" max="8" width="15.28515625" bestFit="1" customWidth="1"/>
    <col min="9" max="9" width="13.5703125" bestFit="1" customWidth="1"/>
    <col min="10" max="10" width="11" bestFit="1" customWidth="1"/>
    <col min="11" max="11" width="20.85546875" bestFit="1" customWidth="1"/>
    <col min="12" max="12" width="9.140625" bestFit="1" customWidth="1"/>
    <col min="13" max="13" width="13.5703125" bestFit="1" customWidth="1"/>
    <col min="14" max="14" width="18" bestFit="1" customWidth="1"/>
    <col min="15" max="15" width="18" customWidth="1"/>
    <col min="16" max="16" width="6.7109375" bestFit="1" customWidth="1"/>
  </cols>
  <sheetData>
    <row r="1" spans="2:16" ht="21">
      <c r="B1" s="100" t="s">
        <v>3792</v>
      </c>
    </row>
    <row r="2" spans="2:16">
      <c r="B2" t="s">
        <v>2451</v>
      </c>
      <c r="C2" t="s">
        <v>2</v>
      </c>
      <c r="D2" t="s">
        <v>3</v>
      </c>
      <c r="E2" t="s">
        <v>4</v>
      </c>
      <c r="F2" t="s">
        <v>5</v>
      </c>
      <c r="G2" t="s">
        <v>7</v>
      </c>
      <c r="H2" t="s">
        <v>8</v>
      </c>
      <c r="I2" t="s">
        <v>9</v>
      </c>
      <c r="J2" t="s">
        <v>2452</v>
      </c>
      <c r="K2" t="s">
        <v>2453</v>
      </c>
      <c r="L2" t="s">
        <v>2454</v>
      </c>
      <c r="M2" t="s">
        <v>2455</v>
      </c>
      <c r="N2" t="s">
        <v>3540</v>
      </c>
      <c r="O2" t="s">
        <v>18</v>
      </c>
      <c r="P2" t="s">
        <v>3541</v>
      </c>
    </row>
    <row r="3" spans="2:16">
      <c r="B3" s="1"/>
      <c r="D3" s="1">
        <v>46062</v>
      </c>
      <c r="E3" t="s">
        <v>3793</v>
      </c>
      <c r="F3" s="26"/>
      <c r="G3" t="s">
        <v>2503</v>
      </c>
      <c r="H3" s="2">
        <v>648.38</v>
      </c>
      <c r="I3" s="2" t="s">
        <v>55</v>
      </c>
      <c r="J3" s="10">
        <f>_xlfn.IFS(Tabla146891112[[#This Row],[Forma Pago]]="30PP70-60D",Tabla146891112[[#This Row],[Importe Total]]*0.7,Tabla146891112[[#This Row],[Forma Pago]]="50PP50-60D",Tabla146891112[[#This Row],[Importe Total]]*0.5,Tabla146891112[[#This Row],[Forma Pago]]="100PP",Tabla146891112[[#This Row],[Importe Total]],Tabla146891112[[#This Row],[Forma Pago]]="0D",Tabla146891112[[#This Row],[Importe Total]],Tabla146891112[[#This Row],[Forma Pago]]="60D",Tabla146891112[[#This Row],[Importe Total]],Tabla146891112[[#This Row],[Forma Pago]]="30D",Tabla146891112[[#This Row],[Importe Total]],Tabla146891112[[#This Row],[Forma Pago]]="DOMICILIADO",Tabla146891112[[#This Row],[Importe Total]],Tabla146891112[[#This Row],[Forma Pago]]="DOMICILIADO 30D",Tabla146891112[[#This Row],[Importe Total]],Tabla146891112[[#This Row],[Forma Pago]]="DOMICILIADO 60D",Tabla146891112[[#This Row],[Importe Total]])</f>
        <v>648.38</v>
      </c>
      <c r="K3" s="1" t="str">
        <f>_xlfn.IFS(Tabla146891112[[#This Row],[Forma Pago]]="30PP70-60D",IF(Tabla146891112[[#This Row],[Fecha Factura]]="","",Tabla146891112[[#This Row],[Fecha Factura]]+60),Tabla146891112[[#This Row],[Forma Pago]]="50PP50-60D",IF(Tabla146891112[[#This Row],[Fecha Factura]]="","",Tabla146891112[[#This Row],[Fecha Factura]]+60),Tabla146891112[[#This Row],[Forma Pago]]="100PP",IF(Tabla146891112[[#This Row],[Fecha Prep.]]="","",Tabla146891112[[#This Row],[Fecha Prep.]]),Tabla146891112[[#This Row],[Forma Pago]]="0D",IF(Tabla146891112[[#This Row],[Fecha Factura]]="","",Tabla146891112[[#This Row],[Fecha Factura]]),Tabla146891112[[#This Row],[Forma Pago]]="60D",IF(Tabla146891112[[#This Row],[Fecha Factura]]="","",Tabla146891112[[#This Row],[Fecha Factura]]+60),Tabla146891112[[#This Row],[Forma Pago]]="30D",IF(Tabla146891112[[#This Row],[Fecha Factura]]="","",Tabla146891112[[#This Row],[Fecha Factura]]+60),Tabla146891112[[#This Row],[Forma Pago]]="DOMICILIADO","")</f>
        <v/>
      </c>
      <c r="L3" t="s">
        <v>25</v>
      </c>
      <c r="M3" t="s">
        <v>3794</v>
      </c>
      <c r="N3" s="1">
        <v>46100</v>
      </c>
      <c r="O3" s="1" t="s">
        <v>94</v>
      </c>
    </row>
    <row r="4" spans="2:16" s="49" customFormat="1">
      <c r="B4" s="48"/>
      <c r="D4" s="48">
        <v>46106</v>
      </c>
      <c r="E4" s="49" t="s">
        <v>3795</v>
      </c>
      <c r="G4" s="49" t="s">
        <v>3796</v>
      </c>
      <c r="H4" s="51">
        <v>61271</v>
      </c>
      <c r="I4" s="51" t="s">
        <v>55</v>
      </c>
      <c r="J4" s="58"/>
      <c r="K4" s="52"/>
      <c r="L4" s="49" t="s">
        <v>25</v>
      </c>
      <c r="M4" s="49" t="s">
        <v>3797</v>
      </c>
      <c r="N4" s="48">
        <v>46107</v>
      </c>
      <c r="O4" s="48" t="s">
        <v>183</v>
      </c>
    </row>
    <row r="5" spans="2:16" s="49" customFormat="1">
      <c r="B5" s="48"/>
      <c r="D5" s="48">
        <v>46111</v>
      </c>
      <c r="E5" s="49" t="s">
        <v>3798</v>
      </c>
      <c r="G5" s="49" t="s">
        <v>3799</v>
      </c>
      <c r="H5" s="51">
        <v>205.48</v>
      </c>
      <c r="I5" s="51" t="s">
        <v>43</v>
      </c>
      <c r="J5" s="62">
        <f>_xlfn.IFS(Tabla146891112[[#This Row],[Forma Pago]]="30PP70-60D",Tabla146891112[[#This Row],[Importe Total]]*0.7,Tabla146891112[[#This Row],[Forma Pago]]="50PP50-60D",Tabla146891112[[#This Row],[Importe Total]]*0.5,Tabla146891112[[#This Row],[Forma Pago]]="100PP",Tabla146891112[[#This Row],[Importe Total]],Tabla146891112[[#This Row],[Forma Pago]]="0D",Tabla146891112[[#This Row],[Importe Total]],Tabla146891112[[#This Row],[Forma Pago]]="60D",Tabla146891112[[#This Row],[Importe Total]],Tabla146891112[[#This Row],[Forma Pago]]="30D",Tabla146891112[[#This Row],[Importe Total]],Tabla146891112[[#This Row],[Forma Pago]]="DOMICILIADO",Tabla146891112[[#This Row],[Importe Total]],Tabla146891112[[#This Row],[Forma Pago]]="DOMICILIADO 30D",Tabla146891112[[#This Row],[Importe Total]],Tabla146891112[[#This Row],[Forma Pago]]="DOMICILIADO 60D",Tabla146891112[[#This Row],[Importe Total]])</f>
        <v>205.48</v>
      </c>
      <c r="K5" s="52">
        <f>_xlfn.IFS(Tabla146891112[[#This Row],[Forma Pago]]="30PP70-60D",IF(Tabla146891112[[#This Row],[Fecha Factura]]="","",Tabla146891112[[#This Row],[Fecha Factura]]+60),Tabla146891112[[#This Row],[Forma Pago]]="50PP50-60D",IF(Tabla146891112[[#This Row],[Fecha Factura]]="","",Tabla146891112[[#This Row],[Fecha Factura]]+60),Tabla146891112[[#This Row],[Forma Pago]]="100PP",IF(Tabla146891112[[#This Row],[Fecha Prep.]]="","",Tabla146891112[[#This Row],[Fecha Prep.]]),Tabla146891112[[#This Row],[Forma Pago]]="0D",IF(Tabla146891112[[#This Row],[Fecha Factura]]="","",Tabla146891112[[#This Row],[Fecha Factura]]),Tabla146891112[[#This Row],[Forma Pago]]="60D",IF(Tabla146891112[[#This Row],[Fecha Factura]]="","",Tabla146891112[[#This Row],[Fecha Factura]]+60),Tabla146891112[[#This Row],[Forma Pago]]="30D",IF(Tabla146891112[[#This Row],[Fecha Factura]]="","",Tabla146891112[[#This Row],[Fecha Factura]]+60),Tabla146891112[[#This Row],[Forma Pago]]="DOMICILIADO","")</f>
        <v>46111</v>
      </c>
      <c r="L5" s="49" t="s">
        <v>25</v>
      </c>
      <c r="M5" s="49" t="s">
        <v>3800</v>
      </c>
      <c r="N5" s="48">
        <v>46121</v>
      </c>
      <c r="O5" s="48" t="s">
        <v>94</v>
      </c>
    </row>
    <row r="6" spans="2:16" s="49" customFormat="1">
      <c r="B6" s="48"/>
      <c r="D6" s="48">
        <v>46062</v>
      </c>
      <c r="E6" s="49" t="s">
        <v>3801</v>
      </c>
      <c r="G6" s="49" t="s">
        <v>2503</v>
      </c>
      <c r="H6" s="51">
        <v>222.5</v>
      </c>
      <c r="I6" s="51" t="s">
        <v>55</v>
      </c>
      <c r="J6" s="62">
        <f>_xlfn.IFS(Tabla146891112[[#This Row],[Forma Pago]]="30PP70-60D",Tabla146891112[[#This Row],[Importe Total]]*0.7,Tabla146891112[[#This Row],[Forma Pago]]="50PP50-60D",Tabla146891112[[#This Row],[Importe Total]]*0.5,Tabla146891112[[#This Row],[Forma Pago]]="100PP",Tabla146891112[[#This Row],[Importe Total]],Tabla146891112[[#This Row],[Forma Pago]]="0D",Tabla146891112[[#This Row],[Importe Total]],Tabla146891112[[#This Row],[Forma Pago]]="60D",Tabla146891112[[#This Row],[Importe Total]],Tabla146891112[[#This Row],[Forma Pago]]="30D",Tabla146891112[[#This Row],[Importe Total]],Tabla146891112[[#This Row],[Forma Pago]]="DOMICILIADO",Tabla146891112[[#This Row],[Importe Total]],Tabla146891112[[#This Row],[Forma Pago]]="DOMICILIADO 30D",Tabla146891112[[#This Row],[Importe Total]],Tabla146891112[[#This Row],[Forma Pago]]="DOMICILIADO 60D",Tabla146891112[[#This Row],[Importe Total]])</f>
        <v>222.5</v>
      </c>
      <c r="K6" s="52" t="str">
        <f>_xlfn.IFS(Tabla146891112[[#This Row],[Forma Pago]]="30PP70-60D",IF(Tabla146891112[[#This Row],[Fecha Factura]]="","",Tabla146891112[[#This Row],[Fecha Factura]]+60),Tabla146891112[[#This Row],[Forma Pago]]="50PP50-60D",IF(Tabla146891112[[#This Row],[Fecha Factura]]="","",Tabla146891112[[#This Row],[Fecha Factura]]+60),Tabla146891112[[#This Row],[Forma Pago]]="100PP",IF(Tabla146891112[[#This Row],[Fecha Prep.]]="","",Tabla146891112[[#This Row],[Fecha Prep.]]),Tabla146891112[[#This Row],[Forma Pago]]="0D",IF(Tabla146891112[[#This Row],[Fecha Factura]]="","",Tabla146891112[[#This Row],[Fecha Factura]]),Tabla146891112[[#This Row],[Forma Pago]]="60D",IF(Tabla146891112[[#This Row],[Fecha Factura]]="","",Tabla146891112[[#This Row],[Fecha Factura]]+60),Tabla146891112[[#This Row],[Forma Pago]]="30D",IF(Tabla146891112[[#This Row],[Fecha Factura]]="","",Tabla146891112[[#This Row],[Fecha Factura]]+60),Tabla146891112[[#This Row],[Forma Pago]]="DOMICILIADO","")</f>
        <v/>
      </c>
      <c r="L6" s="49" t="s">
        <v>25</v>
      </c>
      <c r="M6" s="49" t="s">
        <v>3802</v>
      </c>
      <c r="N6" s="48">
        <v>46205</v>
      </c>
      <c r="O6" s="48" t="s">
        <v>94</v>
      </c>
    </row>
    <row r="7" spans="2:16" s="49" customFormat="1">
      <c r="B7" s="48"/>
      <c r="D7" s="48">
        <v>46094</v>
      </c>
      <c r="E7" s="49" t="s">
        <v>3803</v>
      </c>
      <c r="G7" s="49" t="s">
        <v>2503</v>
      </c>
      <c r="H7" s="51">
        <v>214.13</v>
      </c>
      <c r="I7" s="51" t="s">
        <v>55</v>
      </c>
      <c r="J7" s="62">
        <f>_xlfn.IFS(Tabla146891112[[#This Row],[Forma Pago]]="30PP70-60D",Tabla146891112[[#This Row],[Importe Total]]*0.7,Tabla146891112[[#This Row],[Forma Pago]]="50PP50-60D",Tabla146891112[[#This Row],[Importe Total]]*0.5,Tabla146891112[[#This Row],[Forma Pago]]="100PP",Tabla146891112[[#This Row],[Importe Total]],Tabla146891112[[#This Row],[Forma Pago]]="0D",Tabla146891112[[#This Row],[Importe Total]],Tabla146891112[[#This Row],[Forma Pago]]="60D",Tabla146891112[[#This Row],[Importe Total]],Tabla146891112[[#This Row],[Forma Pago]]="30D",Tabla146891112[[#This Row],[Importe Total]],Tabla146891112[[#This Row],[Forma Pago]]="DOMICILIADO",Tabla146891112[[#This Row],[Importe Total]],Tabla146891112[[#This Row],[Forma Pago]]="DOMICILIADO 30D",Tabla146891112[[#This Row],[Importe Total]],Tabla146891112[[#This Row],[Forma Pago]]="DOMICILIADO 60D",Tabla146891112[[#This Row],[Importe Total]])</f>
        <v>214.13</v>
      </c>
      <c r="K7" s="52" t="str">
        <f>_xlfn.IFS(Tabla146891112[[#This Row],[Forma Pago]]="30PP70-60D",IF(Tabla146891112[[#This Row],[Fecha Factura]]="","",Tabla146891112[[#This Row],[Fecha Factura]]+60),Tabla146891112[[#This Row],[Forma Pago]]="50PP50-60D",IF(Tabla146891112[[#This Row],[Fecha Factura]]="","",Tabla146891112[[#This Row],[Fecha Factura]]+60),Tabla146891112[[#This Row],[Forma Pago]]="100PP",IF(Tabla146891112[[#This Row],[Fecha Prep.]]="","",Tabla146891112[[#This Row],[Fecha Prep.]]),Tabla146891112[[#This Row],[Forma Pago]]="0D",IF(Tabla146891112[[#This Row],[Fecha Factura]]="","",Tabla146891112[[#This Row],[Fecha Factura]]),Tabla146891112[[#This Row],[Forma Pago]]="60D",IF(Tabla146891112[[#This Row],[Fecha Factura]]="","",Tabla146891112[[#This Row],[Fecha Factura]]+60),Tabla146891112[[#This Row],[Forma Pago]]="30D",IF(Tabla146891112[[#This Row],[Fecha Factura]]="","",Tabla146891112[[#This Row],[Fecha Factura]]+60),Tabla146891112[[#This Row],[Forma Pago]]="DOMICILIADO","")</f>
        <v/>
      </c>
      <c r="L7" s="49" t="s">
        <v>25</v>
      </c>
      <c r="M7" s="49" t="s">
        <v>3802</v>
      </c>
      <c r="N7" s="48">
        <v>46205</v>
      </c>
      <c r="O7" s="48" t="s">
        <v>94</v>
      </c>
    </row>
    <row r="8" spans="2:16" s="49" customFormat="1">
      <c r="B8" s="48"/>
      <c r="D8" s="48">
        <v>46129</v>
      </c>
      <c r="E8" s="49" t="s">
        <v>3804</v>
      </c>
      <c r="G8" s="49" t="s">
        <v>2503</v>
      </c>
      <c r="H8" s="51">
        <v>139.88999999999999</v>
      </c>
      <c r="I8" s="51" t="s">
        <v>55</v>
      </c>
      <c r="J8" s="62">
        <f>_xlfn.IFS(Tabla146891112[[#This Row],[Forma Pago]]="30PP70-60D",Tabla146891112[[#This Row],[Importe Total]]*0.7,Tabla146891112[[#This Row],[Forma Pago]]="50PP50-60D",Tabla146891112[[#This Row],[Importe Total]]*0.5,Tabla146891112[[#This Row],[Forma Pago]]="100PP",Tabla146891112[[#This Row],[Importe Total]],Tabla146891112[[#This Row],[Forma Pago]]="0D",Tabla146891112[[#This Row],[Importe Total]],Tabla146891112[[#This Row],[Forma Pago]]="60D",Tabla146891112[[#This Row],[Importe Total]],Tabla146891112[[#This Row],[Forma Pago]]="30D",Tabla146891112[[#This Row],[Importe Total]],Tabla146891112[[#This Row],[Forma Pago]]="DOMICILIADO",Tabla146891112[[#This Row],[Importe Total]],Tabla146891112[[#This Row],[Forma Pago]]="DOMICILIADO 30D",Tabla146891112[[#This Row],[Importe Total]],Tabla146891112[[#This Row],[Forma Pago]]="DOMICILIADO 60D",Tabla146891112[[#This Row],[Importe Total]])</f>
        <v>139.88999999999999</v>
      </c>
      <c r="K8" s="52" t="str">
        <f>_xlfn.IFS(Tabla146891112[[#This Row],[Forma Pago]]="30PP70-60D",IF(Tabla146891112[[#This Row],[Fecha Factura]]="","",Tabla146891112[[#This Row],[Fecha Factura]]+60),Tabla146891112[[#This Row],[Forma Pago]]="50PP50-60D",IF(Tabla146891112[[#This Row],[Fecha Factura]]="","",Tabla146891112[[#This Row],[Fecha Factura]]+60),Tabla146891112[[#This Row],[Forma Pago]]="100PP",IF(Tabla146891112[[#This Row],[Fecha Prep.]]="","",Tabla146891112[[#This Row],[Fecha Prep.]]),Tabla146891112[[#This Row],[Forma Pago]]="0D",IF(Tabla146891112[[#This Row],[Fecha Factura]]="","",Tabla146891112[[#This Row],[Fecha Factura]]),Tabla146891112[[#This Row],[Forma Pago]]="60D",IF(Tabla146891112[[#This Row],[Fecha Factura]]="","",Tabla146891112[[#This Row],[Fecha Factura]]+60),Tabla146891112[[#This Row],[Forma Pago]]="30D",IF(Tabla146891112[[#This Row],[Fecha Factura]]="","",Tabla146891112[[#This Row],[Fecha Factura]]+60),Tabla146891112[[#This Row],[Forma Pago]]="DOMICILIADO","")</f>
        <v/>
      </c>
      <c r="L8" s="49" t="s">
        <v>25</v>
      </c>
      <c r="M8" s="49" t="s">
        <v>3788</v>
      </c>
      <c r="N8" s="48">
        <v>46205</v>
      </c>
      <c r="O8" s="48" t="s">
        <v>94</v>
      </c>
    </row>
    <row r="9" spans="2:16" s="49" customFormat="1">
      <c r="B9" s="48"/>
      <c r="D9" s="48">
        <v>46192</v>
      </c>
      <c r="E9" s="49" t="s">
        <v>3805</v>
      </c>
      <c r="G9" s="49" t="s">
        <v>2503</v>
      </c>
      <c r="H9" s="51">
        <v>186.59</v>
      </c>
      <c r="I9" s="51" t="s">
        <v>55</v>
      </c>
      <c r="J9" s="62">
        <f>_xlfn.IFS(Tabla146891112[[#This Row],[Forma Pago]]="30PP70-60D",Tabla146891112[[#This Row],[Importe Total]]*0.7,Tabla146891112[[#This Row],[Forma Pago]]="50PP50-60D",Tabla146891112[[#This Row],[Importe Total]]*0.5,Tabla146891112[[#This Row],[Forma Pago]]="100PP",Tabla146891112[[#This Row],[Importe Total]],Tabla146891112[[#This Row],[Forma Pago]]="0D",Tabla146891112[[#This Row],[Importe Total]],Tabla146891112[[#This Row],[Forma Pago]]="60D",Tabla146891112[[#This Row],[Importe Total]],Tabla146891112[[#This Row],[Forma Pago]]="30D",Tabla146891112[[#This Row],[Importe Total]],Tabla146891112[[#This Row],[Forma Pago]]="DOMICILIADO",Tabla146891112[[#This Row],[Importe Total]],Tabla146891112[[#This Row],[Forma Pago]]="DOMICILIADO 30D",Tabla146891112[[#This Row],[Importe Total]],Tabla146891112[[#This Row],[Forma Pago]]="DOMICILIADO 60D",Tabla146891112[[#This Row],[Importe Total]])</f>
        <v>186.59</v>
      </c>
      <c r="K9" s="52" t="str">
        <f>_xlfn.IFS(Tabla146891112[[#This Row],[Forma Pago]]="30PP70-60D",IF(Tabla146891112[[#This Row],[Fecha Factura]]="","",Tabla146891112[[#This Row],[Fecha Factura]]+60),Tabla146891112[[#This Row],[Forma Pago]]="50PP50-60D",IF(Tabla146891112[[#This Row],[Fecha Factura]]="","",Tabla146891112[[#This Row],[Fecha Factura]]+60),Tabla146891112[[#This Row],[Forma Pago]]="100PP",IF(Tabla146891112[[#This Row],[Fecha Prep.]]="","",Tabla146891112[[#This Row],[Fecha Prep.]]),Tabla146891112[[#This Row],[Forma Pago]]="0D",IF(Tabla146891112[[#This Row],[Fecha Factura]]="","",Tabla146891112[[#This Row],[Fecha Factura]]),Tabla146891112[[#This Row],[Forma Pago]]="60D",IF(Tabla146891112[[#This Row],[Fecha Factura]]="","",Tabla146891112[[#This Row],[Fecha Factura]]+60),Tabla146891112[[#This Row],[Forma Pago]]="30D",IF(Tabla146891112[[#This Row],[Fecha Factura]]="","",Tabla146891112[[#This Row],[Fecha Factura]]+60),Tabla146891112[[#This Row],[Forma Pago]]="DOMICILIADO","")</f>
        <v/>
      </c>
      <c r="L9" s="49" t="s">
        <v>25</v>
      </c>
      <c r="M9" s="49" t="s">
        <v>3788</v>
      </c>
      <c r="N9" s="48">
        <v>46205</v>
      </c>
      <c r="O9" s="48" t="s">
        <v>94</v>
      </c>
    </row>
  </sheetData>
  <conditionalFormatting sqref="B3:O9">
    <cfRule type="expression" dxfId="30" priority="1">
      <formula>$L3="PAGADO"</formula>
    </cfRule>
  </conditionalFormatting>
  <dataValidations count="2">
    <dataValidation type="list" allowBlank="1" showInputMessage="1" showErrorMessage="1" sqref="I3:I9" xr:uid="{E02F7863-CE1F-4C98-BD2B-7F3CCFB05E44}">
      <formula1>INDIRECT("tablaformapago[Forma pago]")</formula1>
    </dataValidation>
    <dataValidation type="list" allowBlank="1" showInputMessage="1" showErrorMessage="1" sqref="L3:L9" xr:uid="{0369EFEF-1D53-4BCE-9221-D7D8F58BEFF2}">
      <formula1>INDIRECT("tablaestado[ESTADO]")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BAD5B-4BC1-49BD-978D-4901F39A370C}">
  <dimension ref="B1:P5"/>
  <sheetViews>
    <sheetView showGridLines="0" workbookViewId="0">
      <selection activeCell="P6" sqref="P6"/>
    </sheetView>
  </sheetViews>
  <sheetFormatPr defaultColWidth="8.7109375" defaultRowHeight="15"/>
  <cols>
    <col min="2" max="2" width="17.140625" bestFit="1" customWidth="1"/>
    <col min="3" max="3" width="14.42578125" bestFit="1" customWidth="1"/>
    <col min="4" max="4" width="15.28515625" bestFit="1" customWidth="1"/>
    <col min="5" max="5" width="12.5703125" bestFit="1" customWidth="1"/>
    <col min="6" max="6" width="12.5703125" customWidth="1"/>
    <col min="7" max="7" width="31.28515625" customWidth="1"/>
    <col min="8" max="8" width="15.28515625" bestFit="1" customWidth="1"/>
    <col min="9" max="9" width="13.5703125" bestFit="1" customWidth="1"/>
    <col min="10" max="10" width="11" bestFit="1" customWidth="1"/>
    <col min="11" max="11" width="20.85546875" bestFit="1" customWidth="1"/>
    <col min="12" max="12" width="9.140625" bestFit="1" customWidth="1"/>
    <col min="13" max="13" width="13.5703125" bestFit="1" customWidth="1"/>
    <col min="14" max="14" width="13.5703125" style="1" customWidth="1"/>
    <col min="15" max="15" width="12.7109375" bestFit="1" customWidth="1"/>
    <col min="16" max="16" width="28.42578125" bestFit="1" customWidth="1"/>
  </cols>
  <sheetData>
    <row r="1" spans="2:16" ht="21">
      <c r="B1" s="100" t="s">
        <v>3806</v>
      </c>
    </row>
    <row r="2" spans="2:16">
      <c r="B2" t="s">
        <v>2451</v>
      </c>
      <c r="C2" t="s">
        <v>2</v>
      </c>
      <c r="D2" t="s">
        <v>3</v>
      </c>
      <c r="E2" t="s">
        <v>4</v>
      </c>
      <c r="F2" t="s">
        <v>5</v>
      </c>
      <c r="G2" t="s">
        <v>7</v>
      </c>
      <c r="H2" t="s">
        <v>8</v>
      </c>
      <c r="I2" t="s">
        <v>9</v>
      </c>
      <c r="J2" t="s">
        <v>2452</v>
      </c>
      <c r="K2" t="s">
        <v>2453</v>
      </c>
      <c r="L2" t="s">
        <v>2454</v>
      </c>
      <c r="M2" t="s">
        <v>2455</v>
      </c>
      <c r="N2" s="1" t="s">
        <v>2456</v>
      </c>
      <c r="O2" t="s">
        <v>3688</v>
      </c>
      <c r="P2" t="s">
        <v>3541</v>
      </c>
    </row>
    <row r="3" spans="2:16">
      <c r="B3" s="1"/>
      <c r="D3" s="1">
        <v>46070</v>
      </c>
      <c r="F3" s="26"/>
      <c r="G3" t="s">
        <v>92</v>
      </c>
      <c r="H3" s="2">
        <v>25</v>
      </c>
      <c r="I3" s="2" t="s">
        <v>43</v>
      </c>
      <c r="J3" s="10">
        <f>_xlfn.IFS(Tabla14689111314[[#This Row],[Forma Pago]]="30PP70-60D",Tabla14689111314[[#This Row],[Importe Total]]*0.7,Tabla14689111314[[#This Row],[Forma Pago]]="50PP50-60D",Tabla14689111314[[#This Row],[Importe Total]]*0.5,Tabla14689111314[[#This Row],[Forma Pago]]="100PP",Tabla14689111314[[#This Row],[Importe Total]],Tabla14689111314[[#This Row],[Forma Pago]]="0D",Tabla14689111314[[#This Row],[Importe Total]],Tabla14689111314[[#This Row],[Forma Pago]]="60D",Tabla14689111314[[#This Row],[Importe Total]],Tabla14689111314[[#This Row],[Forma Pago]]="30D",Tabla14689111314[[#This Row],[Importe Total]],Tabla14689111314[[#This Row],[Forma Pago]]="DOMICILIADO",Tabla14689111314[[#This Row],[Importe Total]],Tabla14689111314[[#This Row],[Forma Pago]]="DOMICILIADO 30D",Tabla14689111314[[#This Row],[Importe Total]],Tabla14689111314[[#This Row],[Forma Pago]]="DOMICILIADO 60D",Tabla14689111314[[#This Row],[Importe Total]])</f>
        <v>25</v>
      </c>
      <c r="K3" s="1">
        <f>_xlfn.IFS(Tabla14689111314[[#This Row],[Forma Pago]]="30PP70-60D",IF(Tabla14689111314[[#This Row],[Fecha Factura]]="","",Tabla14689111314[[#This Row],[Fecha Factura]]+60),Tabla14689111314[[#This Row],[Forma Pago]]="50PP50-60D",IF(Tabla14689111314[[#This Row],[Fecha Factura]]="","",Tabla14689111314[[#This Row],[Fecha Factura]]+60),Tabla14689111314[[#This Row],[Forma Pago]]="100PP",IF(Tabla14689111314[[#This Row],[Fecha Prep.]]="","",Tabla14689111314[[#This Row],[Fecha Prep.]]),Tabla14689111314[[#This Row],[Forma Pago]]="0D",IF(Tabla14689111314[[#This Row],[Fecha Factura]]="","",Tabla14689111314[[#This Row],[Fecha Factura]]),Tabla14689111314[[#This Row],[Forma Pago]]="60D",IF(Tabla14689111314[[#This Row],[Fecha Factura]]="","",Tabla14689111314[[#This Row],[Fecha Factura]]+60),Tabla14689111314[[#This Row],[Forma Pago]]="30D",IF(Tabla14689111314[[#This Row],[Fecha Factura]]="","",Tabla14689111314[[#This Row],[Fecha Factura]]+60),Tabla14689111314[[#This Row],[Forma Pago]]="DOMICILIADO","")</f>
        <v>46070</v>
      </c>
      <c r="L3" t="s">
        <v>25</v>
      </c>
      <c r="N3" s="1">
        <v>46079</v>
      </c>
      <c r="O3" t="s">
        <v>94</v>
      </c>
      <c r="P3" t="s">
        <v>3807</v>
      </c>
    </row>
    <row r="4" spans="2:16">
      <c r="B4" s="1"/>
      <c r="D4" s="1">
        <v>46072</v>
      </c>
      <c r="G4" t="s">
        <v>92</v>
      </c>
      <c r="H4" s="2">
        <v>1740</v>
      </c>
      <c r="I4" s="2" t="s">
        <v>43</v>
      </c>
      <c r="J4" s="10">
        <f>_xlfn.IFS(Tabla14689111314[[#This Row],[Forma Pago]]="30PP70-60D",Tabla14689111314[[#This Row],[Importe Total]]*0.7,Tabla14689111314[[#This Row],[Forma Pago]]="50PP50-60D",Tabla14689111314[[#This Row],[Importe Total]]*0.5,Tabla14689111314[[#This Row],[Forma Pago]]="100PP",Tabla14689111314[[#This Row],[Importe Total]],Tabla14689111314[[#This Row],[Forma Pago]]="0D",Tabla14689111314[[#This Row],[Importe Total]],Tabla14689111314[[#This Row],[Forma Pago]]="60D",Tabla14689111314[[#This Row],[Importe Total]],Tabla14689111314[[#This Row],[Forma Pago]]="30D",Tabla14689111314[[#This Row],[Importe Total]],Tabla14689111314[[#This Row],[Forma Pago]]="DOMICILIADO",Tabla14689111314[[#This Row],[Importe Total]],Tabla14689111314[[#This Row],[Forma Pago]]="DOMICILIADO 30D",Tabla14689111314[[#This Row],[Importe Total]],Tabla14689111314[[#This Row],[Forma Pago]]="DOMICILIADO 60D",Tabla14689111314[[#This Row],[Importe Total]])</f>
        <v>1740</v>
      </c>
      <c r="K4" s="3">
        <f>_xlfn.IFS(Tabla14689111314[[#This Row],[Forma Pago]]="30PP70-60D",IF(Tabla14689111314[[#This Row],[Fecha Factura]]="","",Tabla14689111314[[#This Row],[Fecha Factura]]+60),Tabla14689111314[[#This Row],[Forma Pago]]="50PP50-60D",IF(Tabla14689111314[[#This Row],[Fecha Factura]]="","",Tabla14689111314[[#This Row],[Fecha Factura]]+60),Tabla14689111314[[#This Row],[Forma Pago]]="100PP",IF(Tabla14689111314[[#This Row],[Fecha Prep.]]="","",Tabla14689111314[[#This Row],[Fecha Prep.]]),Tabla14689111314[[#This Row],[Forma Pago]]="0D",IF(Tabla14689111314[[#This Row],[Fecha Factura]]="","",Tabla14689111314[[#This Row],[Fecha Factura]]),Tabla14689111314[[#This Row],[Forma Pago]]="60D",IF(Tabla14689111314[[#This Row],[Fecha Factura]]="","",Tabla14689111314[[#This Row],[Fecha Factura]]+60),Tabla14689111314[[#This Row],[Forma Pago]]="30D",IF(Tabla14689111314[[#This Row],[Fecha Factura]]="","",Tabla14689111314[[#This Row],[Fecha Factura]]+60),Tabla14689111314[[#This Row],[Forma Pago]]="DOMICILIADO","")</f>
        <v>46072</v>
      </c>
      <c r="L4" t="s">
        <v>25</v>
      </c>
      <c r="N4" s="1">
        <v>46079</v>
      </c>
      <c r="O4" t="s">
        <v>94</v>
      </c>
      <c r="P4" t="s">
        <v>3808</v>
      </c>
    </row>
    <row r="5" spans="2:16" s="49" customFormat="1">
      <c r="B5" s="48"/>
      <c r="D5" s="48">
        <v>46155</v>
      </c>
      <c r="G5" s="49" t="s">
        <v>3809</v>
      </c>
      <c r="H5" s="51">
        <v>62.88</v>
      </c>
      <c r="I5" s="51" t="s">
        <v>43</v>
      </c>
      <c r="J5" s="62">
        <f>_xlfn.IFS(Tabla14689111314[[#This Row],[Forma Pago]]="30PP70-60D",Tabla14689111314[[#This Row],[Importe Total]]*0.7,Tabla14689111314[[#This Row],[Forma Pago]]="50PP50-60D",Tabla14689111314[[#This Row],[Importe Total]]*0.5,Tabla14689111314[[#This Row],[Forma Pago]]="100PP",Tabla14689111314[[#This Row],[Importe Total]],Tabla14689111314[[#This Row],[Forma Pago]]="0D",Tabla14689111314[[#This Row],[Importe Total]],Tabla14689111314[[#This Row],[Forma Pago]]="60D",Tabla14689111314[[#This Row],[Importe Total]],Tabla14689111314[[#This Row],[Forma Pago]]="30D",Tabla14689111314[[#This Row],[Importe Total]],Tabla14689111314[[#This Row],[Forma Pago]]="DOMICILIADO",Tabla14689111314[[#This Row],[Importe Total]],Tabla14689111314[[#This Row],[Forma Pago]]="DOMICILIADO 30D",Tabla14689111314[[#This Row],[Importe Total]],Tabla14689111314[[#This Row],[Forma Pago]]="DOMICILIADO 60D",Tabla14689111314[[#This Row],[Importe Total]])</f>
        <v>62.88</v>
      </c>
      <c r="K5" s="52">
        <f>_xlfn.IFS(Tabla14689111314[[#This Row],[Forma Pago]]="30PP70-60D",IF(Tabla14689111314[[#This Row],[Fecha Factura]]="","",Tabla14689111314[[#This Row],[Fecha Factura]]+60),Tabla14689111314[[#This Row],[Forma Pago]]="50PP50-60D",IF(Tabla14689111314[[#This Row],[Fecha Factura]]="","",Tabla14689111314[[#This Row],[Fecha Factura]]+60),Tabla14689111314[[#This Row],[Forma Pago]]="100PP",IF(Tabla14689111314[[#This Row],[Fecha Prep.]]="","",Tabla14689111314[[#This Row],[Fecha Prep.]]),Tabla14689111314[[#This Row],[Forma Pago]]="0D",IF(Tabla14689111314[[#This Row],[Fecha Factura]]="","",Tabla14689111314[[#This Row],[Fecha Factura]]),Tabla14689111314[[#This Row],[Forma Pago]]="60D",IF(Tabla14689111314[[#This Row],[Fecha Factura]]="","",Tabla14689111314[[#This Row],[Fecha Factura]]+60),Tabla14689111314[[#This Row],[Forma Pago]]="30D",IF(Tabla14689111314[[#This Row],[Fecha Factura]]="","",Tabla14689111314[[#This Row],[Fecha Factura]]+60),Tabla14689111314[[#This Row],[Forma Pago]]="DOMICILIADO","")</f>
        <v>46155</v>
      </c>
      <c r="L5" s="49" t="s">
        <v>25</v>
      </c>
      <c r="N5" s="48">
        <v>46191</v>
      </c>
      <c r="O5" s="49" t="s">
        <v>94</v>
      </c>
      <c r="P5" s="49" t="s">
        <v>3810</v>
      </c>
    </row>
  </sheetData>
  <conditionalFormatting sqref="B3:O5">
    <cfRule type="expression" dxfId="22" priority="1">
      <formula>$L3="PAGADO"</formula>
    </cfRule>
  </conditionalFormatting>
  <dataValidations count="2">
    <dataValidation type="list" allowBlank="1" showInputMessage="1" showErrorMessage="1" sqref="L3:L5" xr:uid="{DFD63063-38AA-4A38-8924-36C714506F94}">
      <formula1>INDIRECT("tablaestado[ESTADO]")</formula1>
    </dataValidation>
    <dataValidation type="list" allowBlank="1" showInputMessage="1" showErrorMessage="1" sqref="I3:I5" xr:uid="{3B65A14E-3B3B-4307-ADAE-CC4917D14CB3}">
      <formula1>INDIRECT("tablaformapago[Forma pago]")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8953D-57A3-40D8-9093-6C165082F4DC}">
  <dimension ref="B1:P4"/>
  <sheetViews>
    <sheetView showGridLines="0" workbookViewId="0">
      <selection activeCell="L33" sqref="L33"/>
    </sheetView>
  </sheetViews>
  <sheetFormatPr defaultColWidth="8.7109375" defaultRowHeight="15"/>
  <cols>
    <col min="1" max="1" width="3.42578125" customWidth="1"/>
    <col min="2" max="2" width="17.140625" bestFit="1" customWidth="1"/>
    <col min="3" max="3" width="14.42578125" bestFit="1" customWidth="1"/>
    <col min="4" max="4" width="15.28515625" bestFit="1" customWidth="1"/>
    <col min="5" max="5" width="12.5703125" bestFit="1" customWidth="1"/>
    <col min="6" max="6" width="12.5703125" customWidth="1"/>
    <col min="7" max="7" width="30.42578125" customWidth="1"/>
    <col min="8" max="8" width="15.28515625" bestFit="1" customWidth="1"/>
    <col min="9" max="9" width="13.5703125" bestFit="1" customWidth="1"/>
    <col min="10" max="10" width="11" bestFit="1" customWidth="1"/>
    <col min="11" max="11" width="20.85546875" bestFit="1" customWidth="1"/>
    <col min="12" max="12" width="9.140625" bestFit="1" customWidth="1"/>
    <col min="13" max="13" width="13.5703125" bestFit="1" customWidth="1"/>
    <col min="14" max="14" width="18" bestFit="1" customWidth="1"/>
    <col min="15" max="15" width="18" customWidth="1"/>
    <col min="16" max="16" width="24.28515625" bestFit="1" customWidth="1"/>
  </cols>
  <sheetData>
    <row r="1" spans="2:16" ht="21">
      <c r="B1" s="100" t="s">
        <v>3811</v>
      </c>
    </row>
    <row r="2" spans="2:16">
      <c r="B2" t="s">
        <v>2451</v>
      </c>
      <c r="C2" t="s">
        <v>2</v>
      </c>
      <c r="D2" t="s">
        <v>3</v>
      </c>
      <c r="E2" t="s">
        <v>4</v>
      </c>
      <c r="F2" t="s">
        <v>5</v>
      </c>
      <c r="G2" t="s">
        <v>7</v>
      </c>
      <c r="H2" t="s">
        <v>8</v>
      </c>
      <c r="I2" t="s">
        <v>9</v>
      </c>
      <c r="J2" t="s">
        <v>2452</v>
      </c>
      <c r="K2" t="s">
        <v>2453</v>
      </c>
      <c r="L2" t="s">
        <v>2454</v>
      </c>
      <c r="M2" t="s">
        <v>2455</v>
      </c>
      <c r="N2" t="s">
        <v>3540</v>
      </c>
      <c r="O2" t="s">
        <v>18</v>
      </c>
      <c r="P2" t="s">
        <v>3541</v>
      </c>
    </row>
    <row r="3" spans="2:16">
      <c r="B3" s="1"/>
      <c r="D3" s="1">
        <v>46062</v>
      </c>
      <c r="E3" t="s">
        <v>3812</v>
      </c>
      <c r="F3" s="26"/>
      <c r="G3" t="s">
        <v>2503</v>
      </c>
      <c r="H3" s="2">
        <v>137.85</v>
      </c>
      <c r="I3" s="2" t="s">
        <v>55</v>
      </c>
      <c r="J3" s="10">
        <f>_xlfn.IFS(Tabla14689111215[[#This Row],[Forma Pago]]="30PP70-60D",Tabla14689111215[[#This Row],[Importe Total]]*0.7,Tabla14689111215[[#This Row],[Forma Pago]]="50PP50-60D",Tabla14689111215[[#This Row],[Importe Total]]*0.5,Tabla14689111215[[#This Row],[Forma Pago]]="100PP",Tabla14689111215[[#This Row],[Importe Total]],Tabla14689111215[[#This Row],[Forma Pago]]="0D",Tabla14689111215[[#This Row],[Importe Total]],Tabla14689111215[[#This Row],[Forma Pago]]="60D",Tabla14689111215[[#This Row],[Importe Total]],Tabla14689111215[[#This Row],[Forma Pago]]="30D",Tabla14689111215[[#This Row],[Importe Total]],Tabla14689111215[[#This Row],[Forma Pago]]="DOMICILIADO",Tabla14689111215[[#This Row],[Importe Total]],Tabla14689111215[[#This Row],[Forma Pago]]="DOMICILIADO 30D",Tabla14689111215[[#This Row],[Importe Total]],Tabla14689111215[[#This Row],[Forma Pago]]="DOMICILIADO 60D",Tabla14689111215[[#This Row],[Importe Total]])</f>
        <v>137.85</v>
      </c>
      <c r="K3" s="1" t="str">
        <f>_xlfn.IFS(Tabla14689111215[[#This Row],[Forma Pago]]="30PP70-60D",IF(Tabla14689111215[[#This Row],[Fecha Factura]]="","",Tabla14689111215[[#This Row],[Fecha Factura]]+60),Tabla14689111215[[#This Row],[Forma Pago]]="50PP50-60D",IF(Tabla14689111215[[#This Row],[Fecha Factura]]="","",Tabla14689111215[[#This Row],[Fecha Factura]]+60),Tabla14689111215[[#This Row],[Forma Pago]]="100PP",IF(Tabla14689111215[[#This Row],[Fecha Prep.]]="","",Tabla14689111215[[#This Row],[Fecha Prep.]]),Tabla14689111215[[#This Row],[Forma Pago]]="0D",IF(Tabla14689111215[[#This Row],[Fecha Factura]]="","",Tabla14689111215[[#This Row],[Fecha Factura]]),Tabla14689111215[[#This Row],[Forma Pago]]="60D",IF(Tabla14689111215[[#This Row],[Fecha Factura]]="","",Tabla14689111215[[#This Row],[Fecha Factura]]+60),Tabla14689111215[[#This Row],[Forma Pago]]="30D",IF(Tabla14689111215[[#This Row],[Fecha Factura]]="","",Tabla14689111215[[#This Row],[Fecha Factura]]+60),Tabla14689111215[[#This Row],[Forma Pago]]="DOMICILIADO","")</f>
        <v/>
      </c>
      <c r="L3" t="s">
        <v>25</v>
      </c>
      <c r="M3" t="s">
        <v>3813</v>
      </c>
      <c r="N3" s="1">
        <v>46100</v>
      </c>
      <c r="O3" s="1" t="s">
        <v>94</v>
      </c>
      <c r="P3" t="s">
        <v>3814</v>
      </c>
    </row>
    <row r="4" spans="2:16">
      <c r="B4" s="1"/>
      <c r="D4" s="1"/>
      <c r="H4" s="2"/>
      <c r="I4" s="2"/>
      <c r="J4" s="2"/>
      <c r="K4" s="3"/>
      <c r="N4" s="1"/>
      <c r="O4" s="1"/>
    </row>
  </sheetData>
  <conditionalFormatting sqref="B3:O4">
    <cfRule type="expression" dxfId="15" priority="1">
      <formula>$L3="PAGADO"</formula>
    </cfRule>
  </conditionalFormatting>
  <dataValidations count="2">
    <dataValidation type="list" allowBlank="1" showInputMessage="1" showErrorMessage="1" sqref="L3:L4" xr:uid="{55DD33E9-1C76-415D-A433-B8065EFA125D}">
      <formula1>INDIRECT("tablaestado[ESTADO]")</formula1>
    </dataValidation>
    <dataValidation type="list" allowBlank="1" showInputMessage="1" showErrorMessage="1" sqref="I3:I4" xr:uid="{6FE310D7-4AAD-4A4A-8A3D-F563DD20F872}">
      <formula1>INDIRECT("tablaformapago[Forma pago]")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0FBC4-E6F6-46ED-B805-9C95AD3726CA}">
  <dimension ref="B1:P4"/>
  <sheetViews>
    <sheetView showGridLines="0" workbookViewId="0">
      <selection activeCell="A3" sqref="A3"/>
    </sheetView>
  </sheetViews>
  <sheetFormatPr defaultColWidth="8.7109375" defaultRowHeight="15"/>
  <cols>
    <col min="1" max="1" width="3.42578125" customWidth="1"/>
    <col min="2" max="2" width="17.140625" bestFit="1" customWidth="1"/>
    <col min="3" max="3" width="14.42578125" bestFit="1" customWidth="1"/>
    <col min="4" max="4" width="15.28515625" bestFit="1" customWidth="1"/>
    <col min="5" max="5" width="12.5703125" bestFit="1" customWidth="1"/>
    <col min="6" max="6" width="12.5703125" customWidth="1"/>
    <col min="7" max="7" width="30.42578125" customWidth="1"/>
    <col min="8" max="8" width="15.28515625" bestFit="1" customWidth="1"/>
    <col min="9" max="9" width="13.5703125" bestFit="1" customWidth="1"/>
    <col min="10" max="10" width="11" bestFit="1" customWidth="1"/>
    <col min="11" max="11" width="20.85546875" bestFit="1" customWidth="1"/>
    <col min="12" max="12" width="9.140625" bestFit="1" customWidth="1"/>
    <col min="13" max="13" width="13.5703125" bestFit="1" customWidth="1"/>
    <col min="14" max="14" width="17.42578125" bestFit="1" customWidth="1"/>
    <col min="15" max="15" width="17.42578125" customWidth="1"/>
    <col min="16" max="16" width="6.7109375" bestFit="1" customWidth="1"/>
  </cols>
  <sheetData>
    <row r="1" spans="2:16" ht="21">
      <c r="B1" s="100" t="s">
        <v>3815</v>
      </c>
    </row>
    <row r="2" spans="2:16">
      <c r="B2" t="s">
        <v>2451</v>
      </c>
      <c r="C2" t="s">
        <v>2</v>
      </c>
      <c r="D2" t="s">
        <v>3</v>
      </c>
      <c r="E2" t="s">
        <v>4</v>
      </c>
      <c r="F2" t="s">
        <v>5</v>
      </c>
      <c r="G2" t="s">
        <v>7</v>
      </c>
      <c r="H2" t="s">
        <v>8</v>
      </c>
      <c r="I2" t="s">
        <v>9</v>
      </c>
      <c r="J2" t="s">
        <v>2452</v>
      </c>
      <c r="K2" t="s">
        <v>2453</v>
      </c>
      <c r="L2" t="s">
        <v>2454</v>
      </c>
      <c r="M2" t="s">
        <v>2455</v>
      </c>
      <c r="N2" t="s">
        <v>3540</v>
      </c>
      <c r="O2" t="s">
        <v>18</v>
      </c>
      <c r="P2" t="s">
        <v>3541</v>
      </c>
    </row>
    <row r="3" spans="2:16" s="49" customFormat="1">
      <c r="B3" s="48"/>
      <c r="D3" s="48">
        <v>46094</v>
      </c>
      <c r="E3" s="49" t="s">
        <v>3816</v>
      </c>
      <c r="G3" s="49" t="s">
        <v>2503</v>
      </c>
      <c r="H3" s="51">
        <v>174.97</v>
      </c>
      <c r="I3" s="51" t="s">
        <v>55</v>
      </c>
      <c r="J3" s="62">
        <f>_xlfn.IFS(Tabla146891116[[#This Row],[Forma Pago]]="30PP70-60D",Tabla146891116[[#This Row],[Importe Total]]*0.7,Tabla146891116[[#This Row],[Forma Pago]]="50PP50-60D",Tabla146891116[[#This Row],[Importe Total]]*0.5,Tabla146891116[[#This Row],[Forma Pago]]="100PP",Tabla146891116[[#This Row],[Importe Total]],Tabla146891116[[#This Row],[Forma Pago]]="0D",Tabla146891116[[#This Row],[Importe Total]],Tabla146891116[[#This Row],[Forma Pago]]="60D",Tabla146891116[[#This Row],[Importe Total]],Tabla146891116[[#This Row],[Forma Pago]]="30D",Tabla146891116[[#This Row],[Importe Total]],Tabla146891116[[#This Row],[Forma Pago]]="DOMICILIADO",Tabla146891116[[#This Row],[Importe Total]],Tabla146891116[[#This Row],[Forma Pago]]="DOMICILIADO 30D",Tabla146891116[[#This Row],[Importe Total]],Tabla146891116[[#This Row],[Forma Pago]]="DOMICILIADO 60D",Tabla146891116[[#This Row],[Importe Total]])</f>
        <v>174.97</v>
      </c>
      <c r="K3" s="52" t="str">
        <f>_xlfn.IFS(Tabla146891116[[#This Row],[Forma Pago]]="30PP70-60D",IF(Tabla146891116[[#This Row],[Fecha Factura]]="","",Tabla146891116[[#This Row],[Fecha Factura]]+60),Tabla146891116[[#This Row],[Forma Pago]]="50PP50-60D",IF(Tabla146891116[[#This Row],[Fecha Factura]]="","",Tabla146891116[[#This Row],[Fecha Factura]]+60),Tabla146891116[[#This Row],[Forma Pago]]="100PP",IF(Tabla146891116[[#This Row],[Fecha Prep.]]="","",Tabla146891116[[#This Row],[Fecha Prep.]]),Tabla146891116[[#This Row],[Forma Pago]]="0D",IF(Tabla146891116[[#This Row],[Fecha Factura]]="","",Tabla146891116[[#This Row],[Fecha Factura]]),Tabla146891116[[#This Row],[Forma Pago]]="60D",IF(Tabla146891116[[#This Row],[Fecha Factura]]="","",Tabla146891116[[#This Row],[Fecha Factura]]+60),Tabla146891116[[#This Row],[Forma Pago]]="30D",IF(Tabla146891116[[#This Row],[Fecha Factura]]="","",Tabla146891116[[#This Row],[Fecha Factura]]+60),Tabla146891116[[#This Row],[Forma Pago]]="DOMICILIADO","")</f>
        <v/>
      </c>
      <c r="L3" s="49" t="s">
        <v>25</v>
      </c>
      <c r="M3" s="49" t="s">
        <v>2845</v>
      </c>
      <c r="N3" s="48">
        <v>46121</v>
      </c>
      <c r="O3" s="48" t="s">
        <v>94</v>
      </c>
    </row>
    <row r="4" spans="2:16" s="49" customFormat="1">
      <c r="B4" s="48"/>
      <c r="D4" s="48">
        <v>46106</v>
      </c>
      <c r="E4" s="49" t="s">
        <v>3817</v>
      </c>
      <c r="G4" s="49" t="s">
        <v>3553</v>
      </c>
      <c r="H4" s="51">
        <v>29.63</v>
      </c>
      <c r="I4" s="51" t="s">
        <v>43</v>
      </c>
      <c r="J4" s="62">
        <f>_xlfn.IFS(Tabla146891116[[#This Row],[Forma Pago]]="30PP70-60D",Tabla146891116[[#This Row],[Importe Total]]*0.7,Tabla146891116[[#This Row],[Forma Pago]]="50PP50-60D",Tabla146891116[[#This Row],[Importe Total]]*0.5,Tabla146891116[[#This Row],[Forma Pago]]="100PP",Tabla146891116[[#This Row],[Importe Total]],Tabla146891116[[#This Row],[Forma Pago]]="0D",Tabla146891116[[#This Row],[Importe Total]],Tabla146891116[[#This Row],[Forma Pago]]="60D",Tabla146891116[[#This Row],[Importe Total]],Tabla146891116[[#This Row],[Forma Pago]]="30D",Tabla146891116[[#This Row],[Importe Total]],Tabla146891116[[#This Row],[Forma Pago]]="DOMICILIADO",Tabla146891116[[#This Row],[Importe Total]],Tabla146891116[[#This Row],[Forma Pago]]="DOMICILIADO 30D",Tabla146891116[[#This Row],[Importe Total]],Tabla146891116[[#This Row],[Forma Pago]]="DOMICILIADO 60D",Tabla146891116[[#This Row],[Importe Total]])</f>
        <v>29.63</v>
      </c>
      <c r="K4" s="52">
        <f>_xlfn.IFS(Tabla146891116[[#This Row],[Forma Pago]]="30PP70-60D",IF(Tabla146891116[[#This Row],[Fecha Factura]]="","",Tabla146891116[[#This Row],[Fecha Factura]]+60),Tabla146891116[[#This Row],[Forma Pago]]="50PP50-60D",IF(Tabla146891116[[#This Row],[Fecha Factura]]="","",Tabla146891116[[#This Row],[Fecha Factura]]+60),Tabla146891116[[#This Row],[Forma Pago]]="100PP",IF(Tabla146891116[[#This Row],[Fecha Prep.]]="","",Tabla146891116[[#This Row],[Fecha Prep.]]),Tabla146891116[[#This Row],[Forma Pago]]="0D",IF(Tabla146891116[[#This Row],[Fecha Factura]]="","",Tabla146891116[[#This Row],[Fecha Factura]]),Tabla146891116[[#This Row],[Forma Pago]]="60D",IF(Tabla146891116[[#This Row],[Fecha Factura]]="","",Tabla146891116[[#This Row],[Fecha Factura]]+60),Tabla146891116[[#This Row],[Forma Pago]]="30D",IF(Tabla146891116[[#This Row],[Fecha Factura]]="","",Tabla146891116[[#This Row],[Fecha Factura]]+60),Tabla146891116[[#This Row],[Forma Pago]]="DOMICILIADO","")</f>
        <v>46106</v>
      </c>
      <c r="L4" s="49" t="s">
        <v>25</v>
      </c>
      <c r="M4" s="49" t="s">
        <v>2848</v>
      </c>
      <c r="N4" s="48">
        <v>46121</v>
      </c>
      <c r="O4" s="48" t="s">
        <v>94</v>
      </c>
    </row>
  </sheetData>
  <conditionalFormatting sqref="B3:O4">
    <cfRule type="expression" dxfId="7" priority="1">
      <formula>$L3="PAGADO"</formula>
    </cfRule>
  </conditionalFormatting>
  <dataValidations count="2">
    <dataValidation type="list" allowBlank="1" showInputMessage="1" showErrorMessage="1" sqref="I3:I4" xr:uid="{0BAA8B03-A486-4353-A761-A431C18AB9A9}">
      <formula1>INDIRECT("tablaformapago[Forma pago]")</formula1>
    </dataValidation>
    <dataValidation type="list" allowBlank="1" showInputMessage="1" showErrorMessage="1" sqref="L3:L4" xr:uid="{98A170E6-8691-4F7C-89CF-31929CA0A781}">
      <formula1>INDIRECT("tablaestado[ESTADO]")</formula1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74409-2FA4-430E-8867-11FD21FBCBCD}">
  <sheetPr codeName="Hoja4"/>
  <dimension ref="D7:F17"/>
  <sheetViews>
    <sheetView workbookViewId="0">
      <selection activeCell="F17" sqref="F17"/>
    </sheetView>
  </sheetViews>
  <sheetFormatPr defaultColWidth="11.42578125" defaultRowHeight="15"/>
  <cols>
    <col min="6" max="6" width="13.42578125" customWidth="1"/>
  </cols>
  <sheetData>
    <row r="7" spans="4:6">
      <c r="D7" t="s">
        <v>3818</v>
      </c>
      <c r="F7" t="s">
        <v>3819</v>
      </c>
    </row>
    <row r="8" spans="4:6">
      <c r="D8" t="s">
        <v>25</v>
      </c>
      <c r="F8" t="s">
        <v>330</v>
      </c>
    </row>
    <row r="9" spans="4:6">
      <c r="F9" t="s">
        <v>30</v>
      </c>
    </row>
    <row r="10" spans="4:6">
      <c r="F10" t="s">
        <v>55</v>
      </c>
    </row>
    <row r="11" spans="4:6">
      <c r="F11" t="s">
        <v>78</v>
      </c>
    </row>
    <row r="12" spans="4:6">
      <c r="F12" t="s">
        <v>24</v>
      </c>
    </row>
    <row r="13" spans="4:6">
      <c r="F13" t="s">
        <v>43</v>
      </c>
    </row>
    <row r="14" spans="4:6">
      <c r="F14" t="s">
        <v>98</v>
      </c>
    </row>
    <row r="15" spans="4:6">
      <c r="F15" t="s">
        <v>3820</v>
      </c>
    </row>
    <row r="16" spans="4:6">
      <c r="F16" t="s">
        <v>3821</v>
      </c>
    </row>
    <row r="17" spans="6:6">
      <c r="F17" t="s">
        <v>552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07A3F6-F935-466D-B78A-CDA9BB9D67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Repullo - AlphaTracker</dc:creator>
  <cp:keywords/>
  <dc:description/>
  <cp:lastModifiedBy>Rodrigo Ormazabal Allende - AlphaTracker</cp:lastModifiedBy>
  <cp:revision/>
  <dcterms:created xsi:type="dcterms:W3CDTF">2025-12-30T15:34:50Z</dcterms:created>
  <dcterms:modified xsi:type="dcterms:W3CDTF">2026-07-15T07:05:30Z</dcterms:modified>
  <cp:category/>
  <cp:contentStatus/>
</cp:coreProperties>
</file>